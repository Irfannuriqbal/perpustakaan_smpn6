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U FIKSI&amp;NON FIKSI" sheetId="1" r:id="rId5"/>
    <sheet state="visible" name="E book" sheetId="2" r:id="rId6"/>
    <sheet state="visible" name="BUKU PAKET" sheetId="3" r:id="rId7"/>
    <sheet state="visible" name="LAPORAN BUKU" sheetId="4" r:id="rId8"/>
  </sheets>
  <definedNames>
    <definedName hidden="1" localSheetId="0" name="_xlnm._FilterDatabase">'BUKU FIKSI&amp;NON FIKSI'!$A$1:$N$3002</definedName>
    <definedName hidden="1" localSheetId="1" name="_xlnm._FilterDatabase">'E book'!$A$1:$N$1737</definedName>
    <definedName hidden="1" localSheetId="2" name="_xlnm._FilterDatabase">'BUKU PAKET'!$A$1:$O$997</definedName>
    <definedName hidden="1" localSheetId="1" name="Z_09B636C8_FE7A_43DD_AC47_05471FF9A175_.wvu.FilterData">'E book'!$A$1:$N$3002</definedName>
    <definedName hidden="1" localSheetId="0" name="Z_09B636C8_FE7A_43DD_AC47_05471FF9A175_.wvu.FilterData">'BUKU FIKSI&amp;NON FIKSI'!$A$1:$N$3002</definedName>
    <definedName hidden="1" localSheetId="1" name="Z_E32ADFDF_A5FF_47E0_AEA9_FC15DD1BFC8D_.wvu.FilterData">'E book'!$A$1:$L$1514</definedName>
    <definedName hidden="1" localSheetId="0" name="Z_E32ADFDF_A5FF_47E0_AEA9_FC15DD1BFC8D_.wvu.FilterData">'BUKU FIKSI&amp;NON FIKSI'!$A$1:$L$1514</definedName>
  </definedNames>
  <calcPr/>
  <customWorkbookViews>
    <customWorkbookView activeSheetId="0" maximized="1" windowHeight="0" windowWidth="0" guid="{09B636C8-FE7A-43DD-AC47-05471FF9A175}" name="Filter 1"/>
    <customWorkbookView activeSheetId="0" maximized="1" windowHeight="0" windowWidth="0" guid="{E32ADFDF-A5FF-47E0-AEA9-FC15DD1BFC8D}" name="DAFTAR BUKU PERPUS 6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JUMLAH JUDUL BUKU</t>
      </text>
    </comment>
    <comment authorId="0" ref="R1">
      <text>
        <t xml:space="preserve">BUKU YANG SUDAH DILABEL</t>
      </text>
    </comment>
    <comment authorId="0" ref="S1">
      <text>
        <t xml:space="preserve">BUKU YANG BELUM DILABEL</t>
      </text>
    </comment>
    <comment authorId="0" ref="T1">
      <text>
        <t xml:space="preserve">PERSENTASE BUKU YANG SUDAH DILABEL</t>
      </text>
    </comment>
    <comment authorId="0" ref="U1">
      <text>
        <t xml:space="preserve">TOTAL EKSEMPLAR YANG BARU TERDATA</t>
      </text>
    </comment>
    <comment authorId="0" ref="O1">
      <text>
        <t xml:space="preserve">TOTAL JUDUL BUKU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JUMLAH JUDUL BUKU</t>
      </text>
    </comment>
    <comment authorId="0" ref="R1">
      <text>
        <t xml:space="preserve">BUKU YANG SUDAH DILABEL</t>
      </text>
    </comment>
    <comment authorId="0" ref="S1">
      <text>
        <t xml:space="preserve">BUKU YANG BELUM DILABEL</t>
      </text>
    </comment>
    <comment authorId="0" ref="T1">
      <text>
        <t xml:space="preserve">PERSENTASE BUKU YANG SUDAH DILABEL</t>
      </text>
    </comment>
    <comment authorId="0" ref="U1">
      <text>
        <t xml:space="preserve">TOTAL EKSEMPLAR YANG BARU TERDATA</t>
      </text>
    </comment>
    <comment authorId="0" ref="O1">
      <text>
        <t xml:space="preserve">TOTAL JUDUL BUKU</t>
      </text>
    </comment>
  </commentList>
</comments>
</file>

<file path=xl/sharedStrings.xml><?xml version="1.0" encoding="utf-8"?>
<sst xmlns="http://schemas.openxmlformats.org/spreadsheetml/2006/main" count="15700" uniqueCount="8257">
  <si>
    <t>d</t>
  </si>
  <si>
    <t>NO</t>
  </si>
  <si>
    <t>TANGGAL</t>
  </si>
  <si>
    <t>JUDUL BUKU</t>
  </si>
  <si>
    <t>KATEGORI</t>
  </si>
  <si>
    <t>DDC</t>
  </si>
  <si>
    <t>KETERANGAN</t>
  </si>
  <si>
    <t>PENULIS</t>
  </si>
  <si>
    <t>KELAS</t>
  </si>
  <si>
    <t>EDITOR</t>
  </si>
  <si>
    <t>PENERBIT</t>
  </si>
  <si>
    <t>KURIKULUM</t>
  </si>
  <si>
    <t>ISBN</t>
  </si>
  <si>
    <t>TAHUN</t>
  </si>
  <si>
    <t>JML HAL</t>
  </si>
  <si>
    <t>JML BUKU</t>
  </si>
  <si>
    <t>NOMOR INDUK</t>
  </si>
  <si>
    <t>GAMBAR</t>
  </si>
  <si>
    <t>KODE LABEL</t>
  </si>
  <si>
    <t>PENDIDIKAN PANCASILA DAN KEWARGANEGARAAN | KELAS VII | KEMDIKBUDRISTEK | KUMER</t>
  </si>
  <si>
    <t>VII</t>
  </si>
  <si>
    <t>BUKU PEGANGAN SISWA</t>
  </si>
  <si>
    <t>MERDEKA BELAJAR</t>
  </si>
  <si>
    <t>ZAIM UCHROWI
RUSLINAWATI</t>
  </si>
  <si>
    <t>SUNAN HASAN</t>
  </si>
  <si>
    <t>KEMENDIKBUDRISTEK</t>
  </si>
  <si>
    <t>978-602-244-312-4</t>
  </si>
  <si>
    <t>142 hlm.: 17,6 × 25 cm</t>
  </si>
  <si>
    <t>PENULIS / PENERJEMAH</t>
  </si>
  <si>
    <t>1 s/d 256</t>
  </si>
  <si>
    <t>PPKN KELAS VII.jpg</t>
  </si>
  <si>
    <t>000 | KARYA UMUM</t>
  </si>
  <si>
    <t>BAHASA INDONESIA | KELAS VII | KEMDIKBUDRISTEK | KUMER</t>
  </si>
  <si>
    <t>RAKHMA SUBARNA
SOFIE DEWAYANI
C. ERNI SETYOWATI</t>
  </si>
  <si>
    <t>TRI HARTINI</t>
  </si>
  <si>
    <t>978-602-244-298-1</t>
  </si>
  <si>
    <t>220 hlm. 17.6 x 25 cm</t>
  </si>
  <si>
    <t>BAHASA INDONESIA KELAS VII.png</t>
  </si>
  <si>
    <t>800 | KESUSASTRAAN</t>
  </si>
  <si>
    <t>MATEMATIKA | KELAS VII | KEMDIKBUDRISTEK | KUMER</t>
  </si>
  <si>
    <t>TIM GAKKO TOSHO</t>
  </si>
  <si>
    <t>ZULKARDI, LAMBAS, 
YUDI SATRIA,
FRISTALINA</t>
  </si>
  <si>
    <t>978-602-244-514-2</t>
  </si>
  <si>
    <t>314 hlm.: 18,2 x 25,7 cm</t>
  </si>
  <si>
    <t>MATEMATIKA KELAS VII.png</t>
  </si>
  <si>
    <t>ILMU PENGETAHUAN ALAM | KELAS VII | KEMDIKBUDRISTEK | KUMER</t>
  </si>
  <si>
    <t>VICTORIANI INABUY
CECE SUTIA
OKKY FAJAR TRI MARYANA
BUDIYANTI DWI HARDANIE
SRI HANDAYANI LESTARI</t>
  </si>
  <si>
    <t>ANDRI NURDIANSYAH
LALA TANSAH</t>
  </si>
  <si>
    <t>978-602-244-383-4</t>
  </si>
  <si>
    <t>264 hlm.: 17,6 x 25 cm</t>
  </si>
  <si>
    <t>IPA KELAS VII.png</t>
  </si>
  <si>
    <t>PENGENALAN KOMPUTER</t>
  </si>
  <si>
    <t>DUNIA SHOPIE : SEBUAH NOVEL FILSAFAT</t>
  </si>
  <si>
    <t>004</t>
  </si>
  <si>
    <t>PEMROSESAN DATA, ILMU KOMPUTER, TEKNIK INFORMATIKA</t>
  </si>
  <si>
    <t>DRAJAT MUKTI</t>
  </si>
  <si>
    <t>INFORMATIKA | KELAS VII | KEMDIKBUDRISTEK | KUMER</t>
  </si>
  <si>
    <t>EPSILON GRUP</t>
  </si>
  <si>
    <t>MARESHA CAROLINE WIJANTO, DKK.</t>
  </si>
  <si>
    <t>CECILIA ESTI NUGRAHENI,
CHRISTINA TULALESSY</t>
  </si>
  <si>
    <t>978-602-244-427-5</t>
  </si>
  <si>
    <t>286 hlm.: 17,6 x 25 cm</t>
  </si>
  <si>
    <t>1 s/d 194</t>
  </si>
  <si>
    <t>INFORMATIKA KELAS VII.jpg</t>
  </si>
  <si>
    <t>NOVEL</t>
  </si>
  <si>
    <t>92 hlm;
28 cm</t>
  </si>
  <si>
    <t>JOSTEIN GAARDER</t>
  </si>
  <si>
    <t>YULIANI LIPUTO,
ANDITYAS PRABANTORO</t>
  </si>
  <si>
    <t>PT. MIZAN PUSTAKA</t>
  </si>
  <si>
    <t>978-979-433-574-1</t>
  </si>
  <si>
    <t>004 Pengenalan Komputer.jpg</t>
  </si>
  <si>
    <t>e 813 Dunia Sophie .jpg</t>
  </si>
  <si>
    <t>ILMU PENGETAHUAN SOSIAL | KELAS VII | KEMDIKBUDRISTEK | KUMER</t>
  </si>
  <si>
    <t>M. NURSA’BAN, 
SUPARDI, 
MOHAMMAD RIZKY SATRIA, 
SARI OKTAFIANA</t>
  </si>
  <si>
    <t>EKA WARDANA,
HARTATI</t>
  </si>
  <si>
    <t>978-602-244-307-0</t>
  </si>
  <si>
    <t>286 hlm: 17,6 cm x 25 cm</t>
  </si>
  <si>
    <t>IPS KELAS VII.jpg</t>
  </si>
  <si>
    <t>ENGLISH FOR NUSANTARA | KELAS VII | KEMDIKBUDRISTEK | KUMER</t>
  </si>
  <si>
    <t>IKA LESTARI DAMAYANTI, DKK.</t>
  </si>
  <si>
    <t>KRISTINE ANN M. CAPA,
MADE AYU UTAMI CHANDRA DEWINA</t>
  </si>
  <si>
    <t>978-602-244-884-6</t>
  </si>
  <si>
    <t>BAHASA INGGRIS KELAS VII.png</t>
  </si>
  <si>
    <t>ANEKA POSTER FILM DENGAN PHOTOSHOP</t>
  </si>
  <si>
    <t>700 | SENI DAN OLAHRAGA</t>
  </si>
  <si>
    <t>741.6</t>
  </si>
  <si>
    <t>DESAIN GRAFIS</t>
  </si>
  <si>
    <t>AYU YUDHA</t>
  </si>
  <si>
    <t>PT. ELEX MEDIA KOMPUTINDO</t>
  </si>
  <si>
    <t>741.6 Aneka Poster Film dengan Photoshop.jpg</t>
  </si>
  <si>
    <t>PENDIDIKAN AGAMA ISLAM DAN BUDI PEKERTI | KELAS VII | KEMDIKBUDRISTEK | KUMER</t>
  </si>
  <si>
    <t>RUDI AHMAD SURYADI
SUMIYATI</t>
  </si>
  <si>
    <t>ASEP ANDI RAHMAN</t>
  </si>
  <si>
    <t>978-602-244-433-6</t>
  </si>
  <si>
    <t>272 hlm.: 17,6 x 25 cm</t>
  </si>
  <si>
    <t>PAI KELAS VII.jpg</t>
  </si>
  <si>
    <t>ANCIKA: DIA YANG BERSAMAKU TAHUN 1995</t>
  </si>
  <si>
    <t>PIDI BAIQ</t>
  </si>
  <si>
    <t>Esti Ayu Budihabsari
Ilham Miftahuddin</t>
  </si>
  <si>
    <t>PT Mizan Pustaka</t>
  </si>
  <si>
    <t>978-602-6716-90-3</t>
  </si>
  <si>
    <t>340 hal</t>
  </si>
  <si>
    <t>ASYIKNYA JADI PENELITI</t>
  </si>
  <si>
    <t>e 813 Ancika - Dia yang Bersamaku Tahun 1995.jpg</t>
  </si>
  <si>
    <t>001.42</t>
  </si>
  <si>
    <t>METODE RISET</t>
  </si>
  <si>
    <t>FAJAR M.N</t>
  </si>
  <si>
    <t>EDI WARSIDI</t>
  </si>
  <si>
    <t>PARIPUSTAKA</t>
  </si>
  <si>
    <t>195 s/d 256</t>
  </si>
  <si>
    <t>001.42 Asyiknya Jadi Peneliti.jpg</t>
  </si>
  <si>
    <t>MATEMATIKA | KELAS VIII | KEMDIKBUDRISTEK | KUMER</t>
  </si>
  <si>
    <t>VIII</t>
  </si>
  <si>
    <t>ULY AMALIA</t>
  </si>
  <si>
    <t>ANIMAL FARM</t>
  </si>
  <si>
    <t>262 hlm.: 21 × 29,7 cm</t>
  </si>
  <si>
    <t>1 s/d 252</t>
  </si>
  <si>
    <t>MATEMATIKA KELAS VIII.png</t>
  </si>
  <si>
    <t>AYO MEMBUAT KARYA ILMIAH</t>
  </si>
  <si>
    <t>GEORGE ORWELL / PROF. BAKDI SOEMANTO</t>
  </si>
  <si>
    <t>Ika Yuliana Kurniasih</t>
  </si>
  <si>
    <t>PT Bentang Pustaka, Yogyakarta</t>
  </si>
  <si>
    <t>978-602-291-283-5</t>
  </si>
  <si>
    <t>MARSA A.H.</t>
  </si>
  <si>
    <t>144 hlm,;
20,5 cm</t>
  </si>
  <si>
    <t>TIM ASSA GRAFIKA</t>
  </si>
  <si>
    <t>PT WANGSA JATRA LESTARI</t>
  </si>
  <si>
    <t>e 813 Animal Farm.jpg</t>
  </si>
  <si>
    <t>978-979-040-148-8</t>
  </si>
  <si>
    <t>001.42 Ayo, Membuat Karya Ilmiah.jpg</t>
  </si>
  <si>
    <t>ILMU PENGETAHUAN SOSIAL | KELAS VIII | KEMDIKBUDRISTEK | KUMER</t>
  </si>
  <si>
    <t>SUPARDI, DKK.</t>
  </si>
  <si>
    <t>978-602-244-468-8</t>
  </si>
  <si>
    <t>320 hlm: 17,6 cm x 25 cm</t>
  </si>
  <si>
    <t>IPS KELAS VIII.jpg</t>
  </si>
  <si>
    <t>ARGANTARA</t>
  </si>
  <si>
    <t>JURNALISTIK UNTUK REMAJA</t>
  </si>
  <si>
    <t>FALISTIYANA</t>
  </si>
  <si>
    <t>070.4</t>
  </si>
  <si>
    <t>Rahastri Fajar Puspasari</t>
  </si>
  <si>
    <t>JURNALISME, JURNALISTIK, PERS</t>
  </si>
  <si>
    <t>PT Sarana Kreasi Abadi, Depok</t>
  </si>
  <si>
    <t>BAMBANG TRIMANSYAH</t>
  </si>
  <si>
    <t>BAMBANG TRIMANSYAH &amp; FARIKA</t>
  </si>
  <si>
    <t>PT. KARYA KITA</t>
  </si>
  <si>
    <t>979-9282-83-7</t>
  </si>
  <si>
    <t>070.4 Jurnalistik untuk Remaja.jpg</t>
  </si>
  <si>
    <t>484 hal.;
14,5 x 20,5 cm</t>
  </si>
  <si>
    <t>PENDIDIKAN AGAMA ISLAM DAN BUDI PEKERTI | KELAS VIII | KEMDIKBUDRISTEK | KUMER</t>
  </si>
  <si>
    <t>e 813 Argantara.jpg</t>
  </si>
  <si>
    <t>TATIK PUDJIANI,
BAGUS MUSTAKIM</t>
  </si>
  <si>
    <t>KOKO KHOERUDIN</t>
  </si>
  <si>
    <t>292 hlm. : 17,6 x 25 cm.</t>
  </si>
  <si>
    <t>PAI KELAS VIII.jpg</t>
  </si>
  <si>
    <t>BELAJAR MICROSOFT EXCEL</t>
  </si>
  <si>
    <t>005.5</t>
  </si>
  <si>
    <t>PROGRAM APLIKASI DENGAN KEGUNAAN KHUSUS</t>
  </si>
  <si>
    <t>REZKY, M</t>
  </si>
  <si>
    <t>PT SARANA ILMU PUSTAKA</t>
  </si>
  <si>
    <t>978-602-8714-14-3</t>
  </si>
  <si>
    <t>005.5 Belajar Microsoft Excel.jpg</t>
  </si>
  <si>
    <t>ENGLISH FOR NUSANTARA | KELAS VIII | KEMDIKBUDRISTEK | KUMER</t>
  </si>
  <si>
    <t>IKA LESTARI DAMAYANTI
IYEN NURLAELAWATI
MAHMUD LAYAN HUTASUHUT
YUSNITA FEBRIANTI
RAYMON RAHMADHANI
GILANG ASRI DEVIANTY</t>
  </si>
  <si>
    <t>BIDADARI BERSAYAP BIRU</t>
  </si>
  <si>
    <t>KRISTINE ANN MANREAL CAPA</t>
  </si>
  <si>
    <t>312 hlm.: 17,6 x 25 cm</t>
  </si>
  <si>
    <t>AGNES JESSICA</t>
  </si>
  <si>
    <t>BAHASA INGGRIS KELAS VIII.jpg</t>
  </si>
  <si>
    <t>PT Gramedia Pustaka Utama, Jakarta</t>
  </si>
  <si>
    <t>978-602-03-7594-6</t>
  </si>
  <si>
    <t>224 hlm.;
20 cm</t>
  </si>
  <si>
    <t>e 813 Bidadari Bersayap Biru.jpg</t>
  </si>
  <si>
    <t>MAHIR MENGGUNAKAN MICROSOFT POWER POINT</t>
  </si>
  <si>
    <t>AMINUDIN</t>
  </si>
  <si>
    <t>PT PURI DELCO</t>
  </si>
  <si>
    <t>005.5 Mahir Menggunakan Microsoft Power Point.jpg</t>
  </si>
  <si>
    <t>BUMI</t>
  </si>
  <si>
    <t>TERE LIYE</t>
  </si>
  <si>
    <t>Danya Putri
Triana Rahmawati</t>
  </si>
  <si>
    <t>978-602-03-0112-9</t>
  </si>
  <si>
    <t>440 hal;
20 cm</t>
  </si>
  <si>
    <t>PJOK | KELAS VIII | MEDIA MANDIRI | KUMER</t>
  </si>
  <si>
    <t>e 813 Bumi.jpg</t>
  </si>
  <si>
    <t>TIM MEDIA MANDIRI</t>
  </si>
  <si>
    <t>MEDIA MANDIRI</t>
  </si>
  <si>
    <t>192 hlm : 17,6 x 25 cm</t>
  </si>
  <si>
    <t>MENGENAL MICROSOFT WORD</t>
  </si>
  <si>
    <t>PJOK KELAS VIII.jpeg</t>
  </si>
  <si>
    <t>978-602-95715-4-7</t>
  </si>
  <si>
    <t>005.5 Mengenal Microsoft Word.jpg</t>
  </si>
  <si>
    <t>JUMLAH JUDUL BUKU</t>
  </si>
  <si>
    <t>CANDIDE (Candide ou l’OptimIsme)</t>
  </si>
  <si>
    <t>VOLTAIRE / IDA SUNDARI HUSEIN</t>
  </si>
  <si>
    <t>KATEGORI BUKU</t>
  </si>
  <si>
    <t>Kepustakaan Populer Gramedia, Jakarta</t>
  </si>
  <si>
    <t>978-602-424-160-5</t>
  </si>
  <si>
    <t>SENI RUPA | KELAS VIII | MEDIA MANDIRI | KUMER</t>
  </si>
  <si>
    <t>154 hlm.;
14 x 21 cm</t>
  </si>
  <si>
    <t>e 813 Candide.jpg</t>
  </si>
  <si>
    <t>978-623-09-0926-9</t>
  </si>
  <si>
    <t>MENULIS KARANGAN ILMIAH</t>
  </si>
  <si>
    <t>118 hlm : 17,6 x 25 cm</t>
  </si>
  <si>
    <t>1 s/d 138</t>
  </si>
  <si>
    <t>SENI RUPA KELAS VIII.webp</t>
  </si>
  <si>
    <t>KOSASIH, M.Pd (E)</t>
  </si>
  <si>
    <t>NURHASANAH</t>
  </si>
  <si>
    <t>NOBEL EDUMEDIA</t>
  </si>
  <si>
    <t>001.42 Menulis Karangan Ilmiah.jpg</t>
  </si>
  <si>
    <t>JUMLAH</t>
  </si>
  <si>
    <t>ENIGMA 2: MENGUAK FAKTA-FAKTA MISTERIUS PALING FENOMENAL DI DUNIA</t>
  </si>
  <si>
    <t>001</t>
  </si>
  <si>
    <t>PANDUAN GURU - PENDIDIKAN KEWARGANEGARAAN | KELAS VIII | KEMDIKBUDRISTEK | KUMER</t>
  </si>
  <si>
    <t>KRIPTOGRAFI / MISTERI</t>
  </si>
  <si>
    <t>SAM</t>
  </si>
  <si>
    <t>BUKU PEGANGAN GURU</t>
  </si>
  <si>
    <t>Tina Leoni</t>
  </si>
  <si>
    <t>Tangga Pustaka, Jakarta</t>
  </si>
  <si>
    <t xml:space="preserve"> 978-979-083-086-6</t>
  </si>
  <si>
    <t>viii + 284 hlm.;
20 cm</t>
  </si>
  <si>
    <t>KETERAMPILAN DASAR KOMPUTER</t>
  </si>
  <si>
    <t>e 813 Enigma 2.jpg</t>
  </si>
  <si>
    <t>978-602-95715-1-6</t>
  </si>
  <si>
    <t>1 s/d 2</t>
  </si>
  <si>
    <t>004 Keterampilan Dasar Komputer.jpg</t>
  </si>
  <si>
    <t>PPKN PG KELAS VIII.jpg</t>
  </si>
  <si>
    <t>100 | FILSAFAT &amp; PSIKOLOGI</t>
  </si>
  <si>
    <t>200 | AGAMA</t>
  </si>
  <si>
    <t>ENIGMA: MENGUAK FAKTA-FAKTA MISTERIUS PALING FENOMENAL DI DUNIA (JILID 1)</t>
  </si>
  <si>
    <t>MISTERI / HOAKS DUNIA</t>
  </si>
  <si>
    <t>300 | ILMU SOSIAL</t>
  </si>
  <si>
    <t>MENGENAL DAN MEMANFAATKAN INTERNET</t>
  </si>
  <si>
    <t>046.78</t>
  </si>
  <si>
    <t>INTERNET</t>
  </si>
  <si>
    <t>TEDI RUSTENDI</t>
  </si>
  <si>
    <t>TIM SPKN</t>
  </si>
  <si>
    <t>400 | BAHASA</t>
  </si>
  <si>
    <t>PT. SARANA</t>
  </si>
  <si>
    <t>978-979-678-403-5</t>
  </si>
  <si>
    <t>PANDUAN GURU - BAHASA INDONESIA | KELAS VIII | KEMDIKBUDRISTEK | KUMER</t>
  </si>
  <si>
    <t>046.78 Mengenal dan Memanfaatkan Internet.jpg</t>
  </si>
  <si>
    <t>979-083-077-7</t>
  </si>
  <si>
    <t>MAYA LESTARI GUSFITRI,
ELLY DELFIA</t>
  </si>
  <si>
    <t>CICILIA HENI LESTARI</t>
  </si>
  <si>
    <t>x + 286 hlm.;
20 cm</t>
  </si>
  <si>
    <t>978-602-244-398-8</t>
  </si>
  <si>
    <t>e 813 Enigma.jpg</t>
  </si>
  <si>
    <t>500 | ILMU MURNI</t>
  </si>
  <si>
    <t>214 hlm. 17.6 x 25 cm</t>
  </si>
  <si>
    <t>BAHASA INDONESIA PG KELAS VIII.png</t>
  </si>
  <si>
    <t>600 | ILMU TERAPAN</t>
  </si>
  <si>
    <t>TERAMPIL MENGGUNAKAN INTERNET</t>
  </si>
  <si>
    <t>004.678</t>
  </si>
  <si>
    <t>PANDUAN GURU - MATEMATIKA | KELAS VIII | KEMDIKBUDRISTEK | KUMER</t>
  </si>
  <si>
    <t>PT. PURI DELCO</t>
  </si>
  <si>
    <t>978-602-244-516-6</t>
  </si>
  <si>
    <t>ERAGON (WARISAN: BUKU SATU)</t>
  </si>
  <si>
    <t>004.678 Terampil Menggunakan Internet.jpg</t>
  </si>
  <si>
    <t>MATEMATIKA PG KELAS VIII.png</t>
  </si>
  <si>
    <t>CHRISTOPHER PAOLINI / SENDRA B. TANUWIDJAYA</t>
  </si>
  <si>
    <t>978-979-22-0862-7</t>
  </si>
  <si>
    <t>568 hlm.;
23 cm</t>
  </si>
  <si>
    <t>e 813 Eragon.jpg</t>
  </si>
  <si>
    <t>900 | SEJARAH &amp; GEOGRAFI</t>
  </si>
  <si>
    <t>TOTAL</t>
  </si>
  <si>
    <t>MARI MENGENAL KOMPUTER</t>
  </si>
  <si>
    <t>PANDUAN GURU - ILMU PENGETAHUAN ALAM | KELAS VIII | KEMDIKBUDRISTEK | KUMER</t>
  </si>
  <si>
    <t>SRI HANDAYANI LESTARI, DKK.</t>
  </si>
  <si>
    <t>LALA TANSAH
ANDRI NURDIANSYAH</t>
  </si>
  <si>
    <t>ZAMRUD TUALEKA - MANSHUR TUALEKA, dkk</t>
  </si>
  <si>
    <t>ROHMAT</t>
  </si>
  <si>
    <t>978-602-244-381-0</t>
  </si>
  <si>
    <t>PT MITRA AKSARA PANAITAN</t>
  </si>
  <si>
    <t>198 hlm.: 17,6 × 25 cm</t>
  </si>
  <si>
    <t>978-602-8262-15-6</t>
  </si>
  <si>
    <t>IPA PG KELAS VIII.png</t>
  </si>
  <si>
    <t>FUNICULI FUNICULA 2: KISAH-KISAH YANG BARU TERUNGKAP</t>
  </si>
  <si>
    <t>TOSHIKAZU KAWAGUCHI</t>
  </si>
  <si>
    <t>978-602-06-6384-5</t>
  </si>
  <si>
    <t>200 hlm.;
20 cm</t>
  </si>
  <si>
    <t>004 Mari Mengenal Komputer.jpg</t>
  </si>
  <si>
    <t>e 813 funiculi funicula - Kisah-kisah yang baru terungkap.jpg</t>
  </si>
  <si>
    <t>PANDUAN GURU - ILMU PENGETAHUAN SOSIAL | KELAS VIII | KEMDIKBUDRISTEK | KUMER</t>
  </si>
  <si>
    <t>EKA WARDANA, HARTATI</t>
  </si>
  <si>
    <t>978-602-244-326-1</t>
  </si>
  <si>
    <t>376 hlm: 17,6 cm x 25 cm</t>
  </si>
  <si>
    <t>1 S/d 2</t>
  </si>
  <si>
    <t>IPS PG KELAS VIII.png</t>
  </si>
  <si>
    <t>MARI MENGENAL LEMBAR KERJA (Ms. EXCEL)</t>
  </si>
  <si>
    <t xml:space="preserve">FUNICULI FUNICULA : BEFORE THE COFFEE GETS COLD </t>
  </si>
  <si>
    <t>WULAN ANGGRAENI</t>
  </si>
  <si>
    <t>978-602-8262-17-0</t>
  </si>
  <si>
    <t>978-602-06-5194-1</t>
  </si>
  <si>
    <t>224 hal.;
20 cm</t>
  </si>
  <si>
    <t>005.5 Mari Mengenal Lembar Kerja (Ms. Excel).jpg</t>
  </si>
  <si>
    <t>e 813 Funiculi Funicula Before the Coffee Gets Cold.jpg</t>
  </si>
  <si>
    <t>PANDUAN GURU - SENI RUPA | KELAS VIII | KEMDIKBUDRISTEK | KUMER</t>
  </si>
  <si>
    <t>RASJOYO,
AHMAD MUTOHAR</t>
  </si>
  <si>
    <t>MESRA</t>
  </si>
  <si>
    <t>978-602-244-621-7</t>
  </si>
  <si>
    <t>226 hlm.: 17,6 X 25 cm</t>
  </si>
  <si>
    <t>SENI RUPA PG KELAS VIII.png</t>
  </si>
  <si>
    <t>JENIS-JENIS PUBLIKASI ILMIAH &amp; SISTEMATIKA PENULISANNYA</t>
  </si>
  <si>
    <t>SUWANTO, M.Pd.</t>
  </si>
  <si>
    <t>AMIN MUSTOFA</t>
  </si>
  <si>
    <t>PUSTAKA INTERMEDIA</t>
  </si>
  <si>
    <t>DONA DONA (FUNICULI FUNICULA #3)</t>
  </si>
  <si>
    <t>128 hlm; 14 x 21 cm</t>
  </si>
  <si>
    <t>001.42 Jenis-Jenis Publikasi Ilmiah &amp; Sistematika Penulisannya.jpg</t>
  </si>
  <si>
    <t>978-602-06-7172-7</t>
  </si>
  <si>
    <t>264 hlm.;
20 cm</t>
  </si>
  <si>
    <t>e 813 Funiculi Funicula3 Dona Dona.jpg</t>
  </si>
  <si>
    <t>PANDUAN GURU - SENI MUSIK | KELAS VIII | KEMDIKBUDRISTEK | KUMER</t>
  </si>
  <si>
    <t>CAECILIA HARDIARINI, DKK</t>
  </si>
  <si>
    <t>SENI ASIATI</t>
  </si>
  <si>
    <t>978-602-244-603-3</t>
  </si>
  <si>
    <t>218 hlm., 17.6 x 25 cm</t>
  </si>
  <si>
    <t>SENI MUSIK PG KELAS VIII.png</t>
  </si>
  <si>
    <t>MENYUSUN KARYA TULIS ILMIAH UNTUK MEMPEROLEH ANGKA KARYA KREDIT</t>
  </si>
  <si>
    <t>NANA SUDJANA, (DR.R H. ),
DRS. H. ULUNG LAKSAMANA</t>
  </si>
  <si>
    <t>HARRY SURYANA</t>
  </si>
  <si>
    <t>SINAR BARU ALGENSINDO</t>
  </si>
  <si>
    <t>001.42 Menyusun Karya Tulis Ilmiah - Untuk Memperoleh Angka Kredit.jpg</t>
  </si>
  <si>
    <t>PANDUAN GURU - SENI TARI | KELAS VIII | KEMDIKBUDRISTEK | KUMER</t>
  </si>
  <si>
    <t>FITRI DARYANTI, 
WIDA RAHAYUNINGTYAS</t>
  </si>
  <si>
    <t>EKA SOFIA AGUSTINA</t>
  </si>
  <si>
    <t>978-602-244-723-8</t>
  </si>
  <si>
    <t>252 hlm: 17,6 × 25 cm</t>
  </si>
  <si>
    <t>SENI TARI PG KELAS VIII.png</t>
  </si>
  <si>
    <t>HARRY POTTER AND THE SORCERER'S STONE (HARRY POTTER #1)</t>
  </si>
  <si>
    <t>J. K. ROWLING</t>
  </si>
  <si>
    <t>384 hlm.;
20 cm</t>
  </si>
  <si>
    <t>e 813 Harry Potter and The Socrer's Stone.jpg</t>
  </si>
  <si>
    <t>TERAMPIL MEMBUAT BLOG DAN ACCOUNT JEJARING SOSIAL</t>
  </si>
  <si>
    <t>006.752</t>
  </si>
  <si>
    <t>BLOG, WEB BLOG</t>
  </si>
  <si>
    <t>PANDUAN GURU - PENDIDIKAN JASMANI, OLAHRAGA, DAN KESEHATAN | KELAS VIII | KEMDIKBUDRISTEK | KUMER</t>
  </si>
  <si>
    <t>MUHAJIR, 
AGUS GUNAWAN</t>
  </si>
  <si>
    <t>378-602-8713-02-3</t>
  </si>
  <si>
    <t>IDA NURHAIDA</t>
  </si>
  <si>
    <t>978-602-244-302-5</t>
  </si>
  <si>
    <t>-</t>
  </si>
  <si>
    <t>266 hlm.: 17,6 × 25 cm</t>
  </si>
  <si>
    <t>PJOK PG KELAS VIII.png</t>
  </si>
  <si>
    <t>KIAT MENULIS KARYA ILMIAH</t>
  </si>
  <si>
    <t>HARRY POTTER AND THE CHAMBER OF SECRETS (HARRY POTTER #2)</t>
  </si>
  <si>
    <t>DIAH ERNA TRININGSIH</t>
  </si>
  <si>
    <t>RAHMAT ISNAINI</t>
  </si>
  <si>
    <t>INTAN PARIWARA</t>
  </si>
  <si>
    <t>001.42 Kiat Menulis Karya Ilmiah.jpg</t>
  </si>
  <si>
    <t>424 hlm.;
20 cm</t>
  </si>
  <si>
    <t>e 813 Harry Potter and the Chamber of Secrets.jpg</t>
  </si>
  <si>
    <t>PANDUAN GURU - PENDIDIKAN AGAMA DAN BUDI PEKERTI | KELAS VIII | KEMDIKBUDRISTEK | KUMER</t>
  </si>
  <si>
    <t>978-602-244-437-4</t>
  </si>
  <si>
    <t>188 hlm.: 17,6 x 25 cm</t>
  </si>
  <si>
    <t>HARRY POTTER AND THE PRISONER OF AZKABAN (HARRY POTTER #3)</t>
  </si>
  <si>
    <t>PAI PG KELAS VIII.png</t>
  </si>
  <si>
    <t>544 hlm.; 
20 cm</t>
  </si>
  <si>
    <t>KAMUS TEKNOLOGI INFORMASI KOMUNIKASI</t>
  </si>
  <si>
    <t>e 813 Harry Potter and the Prisoner of Azkaban.jpg</t>
  </si>
  <si>
    <t>KOMPUTER</t>
  </si>
  <si>
    <t>UTAMI HANDAYANI, S.I.KOM</t>
  </si>
  <si>
    <t>KUNCORO</t>
  </si>
  <si>
    <t>MITRA EDUKASI</t>
  </si>
  <si>
    <t>978-602-1388-06-8</t>
  </si>
  <si>
    <t>004 Kamus Teknologi Informasi Komunikasi.jpg</t>
  </si>
  <si>
    <t>PANDUAN GURU - ENGLISH FOR NUSANTARA | KELAS VIII | KEMDIKBUDRISTEK | KUMER</t>
  </si>
  <si>
    <t>MADE AYU UTAMI CHANDRA DEWINA</t>
  </si>
  <si>
    <t>978-602-244-886-0</t>
  </si>
  <si>
    <t>422 hlm.: 17,6 x 25 cm.</t>
  </si>
  <si>
    <t>BAHASA INGGRIS PG KELAS VIII.png</t>
  </si>
  <si>
    <t>HARRY POTTER DAN ORDER PHOENIX (HARRY POTTER #5)</t>
  </si>
  <si>
    <t>1208 hlm.;
20 cm</t>
  </si>
  <si>
    <t>e 813 Harry Potter and the Order of the Phoenix.jpg</t>
  </si>
  <si>
    <t>BEKERJA SEBAGAI WARTAWAN</t>
  </si>
  <si>
    <t>FITRIYAN DENNIS</t>
  </si>
  <si>
    <t>DANIEL P. PURBA &amp; YATI SUMIHARTI</t>
  </si>
  <si>
    <t>PENERBIT ERLANGGA</t>
  </si>
  <si>
    <t>978-979-015-790-3</t>
  </si>
  <si>
    <t>070.4 Bekerja Sebagai Wartawan.jpg</t>
  </si>
  <si>
    <t>GAPURA BASA | KELAS VII | GEGER SUNTEN | KUMER</t>
  </si>
  <si>
    <t>BUKU PENDAMPING</t>
  </si>
  <si>
    <t>Drs. TATANG SUMARSONO
Drs. TAUFIK FATUROHMAN</t>
  </si>
  <si>
    <t>CV GEGER SUNTEN</t>
  </si>
  <si>
    <t>978-623-7728-50-4</t>
  </si>
  <si>
    <t>152 hlm: 17,6 x 25 cm</t>
  </si>
  <si>
    <t>YANG PERLU KITA KETAHUI</t>
  </si>
  <si>
    <t>GAPURA BASA KELAS VII.jpg</t>
  </si>
  <si>
    <t>ILMU PENGETAHUAN</t>
  </si>
  <si>
    <t>FADLAN OETAMA</t>
  </si>
  <si>
    <t>ANISAH SABRINA</t>
  </si>
  <si>
    <t>CV IASHA JAYA</t>
  </si>
  <si>
    <t>58 hlm; 14,5x21 cm</t>
  </si>
  <si>
    <t>001 Yang Perlu Kita Ketahui.jpg</t>
  </si>
  <si>
    <t>GAPURA BASA | KELAS VIII | GEGER SUNTEN | KUMER</t>
  </si>
  <si>
    <t>978-623-7728-49-8</t>
  </si>
  <si>
    <t>MENGENAL PENGOLAH GAMBAR TUX PAINT</t>
  </si>
  <si>
    <t>GAPURA BASA KELAS VIII.jpg</t>
  </si>
  <si>
    <t>006.66</t>
  </si>
  <si>
    <t>PEMROGRAMAN UNTUK KOMPUTER GRAFIS</t>
  </si>
  <si>
    <t>SRI HUNING</t>
  </si>
  <si>
    <t>SUPARDI</t>
  </si>
  <si>
    <t>PUSTAKA TIGA KELANA</t>
  </si>
  <si>
    <t>978-979-091-080-5</t>
  </si>
  <si>
    <t>ENSIKLOPEDI ANAK NASIONAL</t>
  </si>
  <si>
    <t>031</t>
  </si>
  <si>
    <t>ENSIKLOPEDIA UMUM DALAM BAHASA INDONESIA</t>
  </si>
  <si>
    <t>PT DELTA PAMUNGKAS</t>
  </si>
  <si>
    <t>979-9327-25-3</t>
  </si>
  <si>
    <t>BAHASA INDONESIA | KELAS VIII | KEMDIKBUDRISTEK | KUMER</t>
  </si>
  <si>
    <t>MENGENAL PERANGKAT LUNAK KOMPUTER</t>
  </si>
  <si>
    <t>MAYA LESTARI GUSFITRI, 
ELLY DELFIA</t>
  </si>
  <si>
    <t>005.1</t>
  </si>
  <si>
    <t>PEMROGRAMAN</t>
  </si>
  <si>
    <t>BAGAS SHINUGI</t>
  </si>
  <si>
    <t>978-602-244-622-4</t>
  </si>
  <si>
    <t>MEDIANTARA SEMESTA</t>
  </si>
  <si>
    <t>978-602-8489-63-8</t>
  </si>
  <si>
    <t>204 hlm
17,6 x 25 cm</t>
  </si>
  <si>
    <t>56 hlm; 25 cm</t>
  </si>
  <si>
    <t>005.1 Mengenal Perangkat Lunak Komputer.jpg</t>
  </si>
  <si>
    <t>BAHASA INDONESIA KELAS VIII.png</t>
  </si>
  <si>
    <t>HARRY POTTER AND THE DEATHLY HALLOWS (HARRY POTTER #7)</t>
  </si>
  <si>
    <t>ILMU PENGETAHUAN ALAM | KELAS VIII | KEMDIKBUDRISTEK | KUMER</t>
  </si>
  <si>
    <t>ANEKA KREASI GRAFIS DENGAN COREL DRAW</t>
  </si>
  <si>
    <t>OKKY FAJAR TRI MARYANA, VICTORIANI INABUY, CECE SUTIA, BUDIYANTI DWI HARDANIE, SRI HANDAYANI LESTARI</t>
  </si>
  <si>
    <t>LALA TANSAH,
ANDRI NURDIANSYAH</t>
  </si>
  <si>
    <t>978-602-244-794-8</t>
  </si>
  <si>
    <t>992 hlm.;
20 cm</t>
  </si>
  <si>
    <t>DIKY RAHMAT
YUSUF SOBARI</t>
  </si>
  <si>
    <t>234 hlm,17,6 x 25 cm</t>
  </si>
  <si>
    <t>A. RUHIMAT</t>
  </si>
  <si>
    <t>e 813 Harry Potter and the Deathly Hallows.jpg</t>
  </si>
  <si>
    <t>IPA KELAS VIII.webp</t>
  </si>
  <si>
    <t>TIGA SERANGKAI</t>
  </si>
  <si>
    <t>987-979-045-850-5</t>
  </si>
  <si>
    <t>ENSIKLOPEDI ANAK NASIONAL 9 | SOEPRATMAN, WAGE RUDOLF SAMPAI TUBERKOLOSIS</t>
  </si>
  <si>
    <t>CONNY R. SEMIAWAN, Prof. Dr.</t>
  </si>
  <si>
    <t>979-9327-28-8</t>
  </si>
  <si>
    <t>031 ENSIKLOPEDI ANAK NASIONAL 9 | SOEPRATMAN, WAGE RUDOLF SAMPAI TUBERKOLOSIS.jpg</t>
  </si>
  <si>
    <t>PENDIDIKAN PANCASILA DAN KEWARGANEGARAAN | KELAS VIII | KEMDIKBUDRISTEK | KUMER</t>
  </si>
  <si>
    <t>MUHAMMAD SAPEI,
TREZADIGJAYA,
PRAYOGO</t>
  </si>
  <si>
    <t>YOCTA NUR RAHMAN</t>
  </si>
  <si>
    <t>HELLO, CELLO.</t>
  </si>
  <si>
    <t>156 hlm,
17,6 x 25 cm</t>
  </si>
  <si>
    <t>PKN KELAS VIII.jpg</t>
  </si>
  <si>
    <t>813</t>
  </si>
  <si>
    <t>NADIA RISTIVANI</t>
  </si>
  <si>
    <t>Dono Salim</t>
  </si>
  <si>
    <t>PT. Bukune Kreatif Cipta, Jakarta</t>
  </si>
  <si>
    <t>978-602-22-0438-1</t>
  </si>
  <si>
    <t>432 hlm.;
13 x 19 cm</t>
  </si>
  <si>
    <t>e 813 Hello, Cello by Nadia Ristivani.jpg</t>
  </si>
  <si>
    <t>THE GIRL'S GUIDE TO BEING A BOSS</t>
  </si>
  <si>
    <t>158.4</t>
  </si>
  <si>
    <t>KEPEMIMPINAN YANG BERKAITAN DENGAN PSIKOLOGI</t>
  </si>
  <si>
    <t>CAITLIN FRIEDMAN
KIMBERLY YORIO</t>
  </si>
  <si>
    <t>PUBLISHING ONE</t>
  </si>
  <si>
    <t>978-602-95079-7-3</t>
  </si>
  <si>
    <t>154.8 The Girl's Guide to Being a Boss.jpg</t>
  </si>
  <si>
    <t>257 s/d 286</t>
  </si>
  <si>
    <t>JAKARTA SEBELUM PAGI</t>
  </si>
  <si>
    <t>ZIGGY ZEZSYAZEOVIENNAZABRIZKIE</t>
  </si>
  <si>
    <t>PT. Gramedia Widyasarana Indonesia, Jakarta</t>
  </si>
  <si>
    <t>978-602-375-844-9</t>
  </si>
  <si>
    <t>280 hlm.;
20 cm</t>
  </si>
  <si>
    <t>LOGIKA</t>
  </si>
  <si>
    <t>e 813 Jakarta sebelum pagi.jpg</t>
  </si>
  <si>
    <t>160</t>
  </si>
  <si>
    <t>LOGIKA, ILMU TENTANG PEMIKIRAN</t>
  </si>
  <si>
    <t>MUNDIRI, Drs. H.</t>
  </si>
  <si>
    <t>PT. RAJA GRAFINDO PERSADA</t>
  </si>
  <si>
    <t>979-421-398-5</t>
  </si>
  <si>
    <t>227 / A5</t>
  </si>
  <si>
    <t>ETIKET BERGAUL</t>
  </si>
  <si>
    <t>177</t>
  </si>
  <si>
    <t>ETIKA DALAM HUBUNGAN SOSIAL PERGAULAN</t>
  </si>
  <si>
    <t>SARUMPAET, R.I.</t>
  </si>
  <si>
    <t>PUBLISHING HOUSE</t>
  </si>
  <si>
    <t>979-504-019-7</t>
  </si>
  <si>
    <t>143 / A5</t>
  </si>
  <si>
    <t>INDAHNYA SIKAP BERSAING  SECARA SEHAT</t>
  </si>
  <si>
    <t>RISSA YANUAR, S.S</t>
  </si>
  <si>
    <t>CV. PRINGGANDANI</t>
  </si>
  <si>
    <t>JINGGA JENAKA</t>
  </si>
  <si>
    <t>72 / A5</t>
  </si>
  <si>
    <t>177 Indahnya Sikap Bersaing Secara Sehat.jpg</t>
  </si>
  <si>
    <t>PUISI</t>
  </si>
  <si>
    <t>ANNISA RIZKIANA RAHMASARI</t>
  </si>
  <si>
    <t>978-602-481-110-5</t>
  </si>
  <si>
    <t>ix + 118 hlm.;
11,5 x 17,5 cm</t>
  </si>
  <si>
    <t>e 813 jingga jenaka.jpg</t>
  </si>
  <si>
    <t>KARAKTER KEPAHLAWANAN</t>
  </si>
  <si>
    <t>155.2</t>
  </si>
  <si>
    <t>PSIKOLOGI INDIVIDUAL, KARAKTER</t>
  </si>
  <si>
    <t>RENDI HERMANA</t>
  </si>
  <si>
    <t>S. YUGANTARA</t>
  </si>
  <si>
    <t>CV. GEMA BUKU NUSANTARA</t>
  </si>
  <si>
    <t>65 / A5</t>
  </si>
  <si>
    <t>SANG PUJAAN</t>
  </si>
  <si>
    <t>MARI MENGINTIP OTAK SASTRAWAN</t>
  </si>
  <si>
    <t>KAHLIL GIBRAN</t>
  </si>
  <si>
    <t>153</t>
  </si>
  <si>
    <t>TUGU, Yogyakarta</t>
  </si>
  <si>
    <t>INTELEGENSIA, KECERDASAN PROSES INTELEKTUAL DAN MENTAL</t>
  </si>
  <si>
    <t>NIA HARYANTO</t>
  </si>
  <si>
    <t>EKO M</t>
  </si>
  <si>
    <t>149 hlm.;
14 x 20 cm</t>
  </si>
  <si>
    <t>CV. MEDIA SARANA  CERDAS</t>
  </si>
  <si>
    <t>e 813 kahlil gibran sang pujaan.jpg</t>
  </si>
  <si>
    <t>978-602-9108-05-7</t>
  </si>
  <si>
    <t>153 Mari Mengintip Otak Sastrawan.jpg</t>
  </si>
  <si>
    <t>257 s/d 258</t>
  </si>
  <si>
    <t>287 s/d 288</t>
  </si>
  <si>
    <t>KEPERCAYAAN DIRI</t>
  </si>
  <si>
    <t>155.25</t>
  </si>
  <si>
    <t>KEAJAIBAN TOKO KELONTONG NAMIYA</t>
  </si>
  <si>
    <t>PERKEMBANGAN KEPRIBADIAN, PERKEMBANGAN KARAKTER</t>
  </si>
  <si>
    <t>GINA FAUZIAH</t>
  </si>
  <si>
    <t>TIM EDITOR</t>
  </si>
  <si>
    <t>CV WACANA GELORA CIPTA</t>
  </si>
  <si>
    <t>978-602-8808-02-6</t>
  </si>
  <si>
    <t>KEIGO HIGASHINO / FAIRA AMALIA</t>
  </si>
  <si>
    <t>155.25 Kepercayaan Diri.jpg</t>
  </si>
  <si>
    <t>Pandam Kuntaswari</t>
  </si>
  <si>
    <t>978-602-06-4828-6</t>
  </si>
  <si>
    <t>400 hlm.;
20 cm</t>
  </si>
  <si>
    <t>e 813 Keajaiban toko kelontong namiya.jpg</t>
  </si>
  <si>
    <t>TUNJUKKAN DIRIMU</t>
  </si>
  <si>
    <t>155.5</t>
  </si>
  <si>
    <t>PSIKOLOGI REMAJA</t>
  </si>
  <si>
    <t>NILAM PERMATA</t>
  </si>
  <si>
    <t>978-602-8691-86-4</t>
  </si>
  <si>
    <t>161 /A5</t>
  </si>
  <si>
    <t>KISAH INSPIRATIF YANG MEMPERKAYA KARAKTER</t>
  </si>
  <si>
    <t>PURIPUSTAKA</t>
  </si>
  <si>
    <t>978-602-8712-94-1</t>
  </si>
  <si>
    <t>155.2 Kisah Inspiratif yang Memperkaya Karakter.jpg</t>
  </si>
  <si>
    <t>KELUARGA TAK KASAT MATA</t>
  </si>
  <si>
    <t>BONAVENTURA GENTA</t>
  </si>
  <si>
    <t>GagasMedia, Jakarta</t>
  </si>
  <si>
    <t>978-979-780-803-7</t>
  </si>
  <si>
    <t>vi + 122 hlm.;
13 x 19 cm</t>
  </si>
  <si>
    <t>e 813 Keluarga Tak Kasatmata.jpg</t>
  </si>
  <si>
    <t>MELAWAN HAMBATAN DENGAN KARAKTER MENAWAN</t>
  </si>
  <si>
    <t>TIM EDITOR PURIPUSTAKA</t>
  </si>
  <si>
    <t>978-602-8712-95-8</t>
  </si>
  <si>
    <t>SENI TARI | KELAS VII | GOS | KUMER</t>
  </si>
  <si>
    <t>MARI, MENGINTIP OTAK POLITIKUS</t>
  </si>
  <si>
    <t>SRI BAWON, S.Sn.</t>
  </si>
  <si>
    <t>DOMINICO DANANG SANDI P, S.S</t>
  </si>
  <si>
    <t>PT. GLOBAL OFFSET SEJAHTERA</t>
  </si>
  <si>
    <t>978-623-8327-63-2</t>
  </si>
  <si>
    <t>156 hlm : 17,6 x 25 cm</t>
  </si>
  <si>
    <t>AHSA</t>
  </si>
  <si>
    <t>CV. MEDIA SARANA CERDAS</t>
  </si>
  <si>
    <t>978-602-9108-08-8</t>
  </si>
  <si>
    <t>1 s/d 288</t>
  </si>
  <si>
    <t>SENI TARI KELAS VII.jpg</t>
  </si>
  <si>
    <t>GUNDALA: PUTRA PETIR - ASAL-USUL</t>
  </si>
  <si>
    <t>CERDAS &amp; CERGAS MENJAGA ETIKET</t>
  </si>
  <si>
    <t>DIDA YUGANTARA, S.R</t>
  </si>
  <si>
    <t>NOVEL GRAFIS</t>
  </si>
  <si>
    <t>M. HABIBIE</t>
  </si>
  <si>
    <t>HARYA SURAMINATA</t>
  </si>
  <si>
    <t>PUSTAKA SUNDA</t>
  </si>
  <si>
    <t>Rizqi R. Mosmarth &amp; Aji Raditya</t>
  </si>
  <si>
    <t>978-602-9124-28-6</t>
  </si>
  <si>
    <t>m&amp;c! / PT Gramedia Pustaka Utama, Jakarta</t>
  </si>
  <si>
    <t>64 hlm.;
17 x 24,5 cm</t>
  </si>
  <si>
    <t>177 Cerdas &amp; Cergas Menjaga Etiket.jpg</t>
  </si>
  <si>
    <t>e 813 Gundala Putera Petir.jpg</t>
  </si>
  <si>
    <t>139 s/d 253</t>
  </si>
  <si>
    <t>PRAKARYA KERAJINAN | KELAS VII | GOS | KUMER</t>
  </si>
  <si>
    <t>SHALSABILLA LAKSMITANINGTYAS, S.Pd</t>
  </si>
  <si>
    <t>978-623-8327-60-7</t>
  </si>
  <si>
    <t>MARI, MENGINTIP OTAK MUSISI</t>
  </si>
  <si>
    <t>PRAKARYA KELAS VII.png</t>
  </si>
  <si>
    <t>PUTRI</t>
  </si>
  <si>
    <t>CV MEDIA SARANA CERDAS</t>
  </si>
  <si>
    <t>153 Mari, Mengintip Otak Musisi.jpg</t>
  </si>
  <si>
    <t>AGATHA CHRISTIE'S THE BEST OF MISS MARPLE</t>
  </si>
  <si>
    <t>AGATHA CHRISTIE / BUDIJANTO T. PRAMONO</t>
  </si>
  <si>
    <t>978-602-065-053-1</t>
  </si>
  <si>
    <t>648 hlm.;
23 cm</t>
  </si>
  <si>
    <t>e 813 The Best of Miss Marple.jpg</t>
  </si>
  <si>
    <t>PENDIDIKAN AGAMA DAN BUDI PEKERTI | KELAS VII  ERLANGGA | KUMER</t>
  </si>
  <si>
    <t>NASIKIN,
SYAEKUDIN,
MUSHONEF,
PARJONO</t>
  </si>
  <si>
    <t>M. FAQIH ALIM, S. HUM</t>
  </si>
  <si>
    <t>ERLANGGA</t>
  </si>
  <si>
    <t>978-623-266-650-4</t>
  </si>
  <si>
    <t>PIECE OF MIND | MENGAKTIFKAN KEKUATAN PIKIRAN BAWAH SADAR UNTUK MENCAPAI TUJUAN</t>
  </si>
  <si>
    <t>236 hlm : 17,6 x 25 cm</t>
  </si>
  <si>
    <t>154</t>
  </si>
  <si>
    <t>PSIKOLOGI BAWAH SADAR</t>
  </si>
  <si>
    <t>PAI ERLANGGA KELAS VII.png</t>
  </si>
  <si>
    <t>SANDY MACGREGOR</t>
  </si>
  <si>
    <t>PT GRAMEDIA PUSTAKA</t>
  </si>
  <si>
    <t>979-655-474-7</t>
  </si>
  <si>
    <t>CLEVER TEENS</t>
  </si>
  <si>
    <t>FEMI OLIVIA</t>
  </si>
  <si>
    <t>PT GRAMEDIA</t>
  </si>
  <si>
    <t>978-602-02-3931-6</t>
  </si>
  <si>
    <t>MARPLE: TWELVE NEW STORIES</t>
  </si>
  <si>
    <t>155.25 Clever Teens.jpg</t>
  </si>
  <si>
    <t>PENDIDIKAN PANCASILA | KELAS VII | ERLANGGA | KUMER</t>
  </si>
  <si>
    <t>SATAR,
HARYO T</t>
  </si>
  <si>
    <t>ARNOLD Y. RUNESI, S. FIL,
MAYA YULIANTI, S. IP,
ROY SITEPU, M.M.</t>
  </si>
  <si>
    <t>978-623-266-599-6</t>
  </si>
  <si>
    <t>180 hlm : 17,6 x 25 cm</t>
  </si>
  <si>
    <t>PKN ERLANGGA KELAS VII.png</t>
  </si>
  <si>
    <t>MARBI - MAHIR BERBAHASA INDONESIA | KELAS VII | ERLANGGA | KUMER</t>
  </si>
  <si>
    <t>TIM EDUKATIF,
WAHONO, M.Pd,
SAWALI, M.Pd</t>
  </si>
  <si>
    <t>PRIBADI SMART</t>
  </si>
  <si>
    <t>MUHAMMAD BAIHAQI, S.S.</t>
  </si>
  <si>
    <t>978-623-266-597-2</t>
  </si>
  <si>
    <t>255 hlm : 17,6 x 25 cm</t>
  </si>
  <si>
    <t>WAWAN P HARMONO</t>
  </si>
  <si>
    <t>SYAH ALAM</t>
  </si>
  <si>
    <t>BAHASA INDONESIA ERLANGGA KELAS VII.jpg</t>
  </si>
  <si>
    <t>CV. WACANA GELORA CIPTA</t>
  </si>
  <si>
    <t>153 Pribadi Smart.jpg</t>
  </si>
  <si>
    <t>BAGAIMANA MENGEMBANGKAN KECERDASAN? (METODE BARU UNTUK MENGOPTIMALKAN FUNGSI OTAK MANUSIA)</t>
  </si>
  <si>
    <t>SUFYAN RAMADHY, dr. &amp; DADI PERMADI, M.Ed, DR. H.</t>
  </si>
  <si>
    <t>PT. SARANA PANCA KARYA NUSA</t>
  </si>
  <si>
    <t>ILMU PENGETAHUAN SOSIAL | KELAS VII | ERLANGGA | KUMER</t>
  </si>
  <si>
    <t>N. SUPARNO,
T.D. HARYONO</t>
  </si>
  <si>
    <t>MAYA YULIANTI, S. IP.,
ROY SITEPU, M. M.</t>
  </si>
  <si>
    <t>978-623-622-601-6</t>
  </si>
  <si>
    <t>294 hlm : 17,6 x 25 cm</t>
  </si>
  <si>
    <t>IPS ERLANGGA KELAS VII.png</t>
  </si>
  <si>
    <t>KERJA TERBAIK</t>
  </si>
  <si>
    <t>CUT DIAN TARAKAVITA</t>
  </si>
  <si>
    <t>TIM EDITOR SANGGABUANA</t>
  </si>
  <si>
    <t>CV. SANGGABUANA</t>
  </si>
  <si>
    <t>155.2 Kerja Terbaik.jpg</t>
  </si>
  <si>
    <t>ILMU PENGETAHUAN ALAM | KELAS VII | ERLANGGA | KUMER</t>
  </si>
  <si>
    <t>TIM ABDI GURU</t>
  </si>
  <si>
    <t>HANI TRIFANI, S. Si.</t>
  </si>
  <si>
    <t>978-623-266-685-6</t>
  </si>
  <si>
    <t>388 hlm : 17,6 x 25 cm</t>
  </si>
  <si>
    <t>MELEJITKAN IQ, EQ, DAN SQ | KECERDASAN QUANTUM</t>
  </si>
  <si>
    <t>IPA ERLANGGA KELAS VII.png</t>
  </si>
  <si>
    <t>153.9</t>
  </si>
  <si>
    <t>KECERDASAN DAN BAKAT</t>
  </si>
  <si>
    <t>AGUS ANGGERMANTO, IR.</t>
  </si>
  <si>
    <t>ALPHA MUHAMMAD</t>
  </si>
  <si>
    <t>NUANSA CENDEKIA</t>
  </si>
  <si>
    <t>978-602-350-049-9</t>
  </si>
  <si>
    <t>153.9 Melejitkan IQ, EQ, dan SQ Kecerdasan Quantum.jpg</t>
  </si>
  <si>
    <t>PILAR-PILAR PEMBANGUNAN | KARAKTER REMAJA</t>
  </si>
  <si>
    <t>BRIGHT AN ENGLISH | KELAS VII | ERLANGGA | KUMER</t>
  </si>
  <si>
    <t>ANNA FARIDA</t>
  </si>
  <si>
    <t>IKA FIBRIANTI</t>
  </si>
  <si>
    <t>NUANSA</t>
  </si>
  <si>
    <t>NUR ZAIDA</t>
  </si>
  <si>
    <t>978-602-8395-14-4</t>
  </si>
  <si>
    <t>R. INTAN AL BALUNI
DWI WAHYU P</t>
  </si>
  <si>
    <t>978-623-266-625-2</t>
  </si>
  <si>
    <t>158 hlm : 17,6 x 25 cm</t>
  </si>
  <si>
    <t>155.25 Pilar-Pilar Pembangunan Karakter Remaja.jpg</t>
  </si>
  <si>
    <t>BAHASA INGGRIS ERLANGGA KELAS VII.jpg</t>
  </si>
  <si>
    <t>SENAM OTAK</t>
  </si>
  <si>
    <t>MATEMATIKA | KELAS VII | ERLANGGA | KUMER</t>
  </si>
  <si>
    <t>SAHDA HALIM</t>
  </si>
  <si>
    <t>KORY AWALAMSYAH</t>
  </si>
  <si>
    <t>CAKRAWALA</t>
  </si>
  <si>
    <t>WONO SETYA BUDHI, dkk</t>
  </si>
  <si>
    <t>979-383-103-0</t>
  </si>
  <si>
    <t>TARYO, S.Si</t>
  </si>
  <si>
    <t>978-623-266-607-8</t>
  </si>
  <si>
    <t>398 hlm : 17,6 x 25 cm</t>
  </si>
  <si>
    <t>MATEMATIKA ERLANGGA KELAS VII.png</t>
  </si>
  <si>
    <t>BERDAMAI DENGAN SIFAT KEWANITAAN</t>
  </si>
  <si>
    <t>YULIA NURSETYAWATHIE</t>
  </si>
  <si>
    <t>DINA AZRINA BUKHARI</t>
  </si>
  <si>
    <t>PT. DANGIANG PUSTAKA</t>
  </si>
  <si>
    <t>978-602-9123-51-7</t>
  </si>
  <si>
    <t>155.5 Berdamai Dengan Sifat Kewanitaan.jpg</t>
  </si>
  <si>
    <t>PJOK - PENDIDIKAN JASMANI OLAHRAGA DAN KESEHATAN | KELAS VII | ERLANGGA | KUMER</t>
  </si>
  <si>
    <t>MASRI'AN, dkk</t>
  </si>
  <si>
    <t>HADIYANSYAH</t>
  </si>
  <si>
    <t>978-623-266-603-0</t>
  </si>
  <si>
    <t>283 hlm : 17,6 x 25 cm</t>
  </si>
  <si>
    <t>PJOK ERLANGGA KELAS VII.png</t>
  </si>
  <si>
    <t>PASSWORD MENUJU SUKSES | RAHASIA MEMBANGUN SUKSES INDIVIDU, LEMBAGA, DAN PERUSAHAAN</t>
  </si>
  <si>
    <t>158.1</t>
  </si>
  <si>
    <t>PERBAIKAN PRIBADI, PENGHIDUPAN YANG SUKSES</t>
  </si>
  <si>
    <t>SUMARDI, M. SC, DR.</t>
  </si>
  <si>
    <t>DANIEL P. PURBA. S. Sos</t>
  </si>
  <si>
    <t>PT. GELORA AKSARA PRATAMA</t>
  </si>
  <si>
    <t>158.1 Password Menuju Sukses Rahasia Membangun Sukses Individu, Lembaga, dan Perusahaan.jpg</t>
  </si>
  <si>
    <t>INFORMATIKA | KELAS VII | ERLANGGA | KUMER</t>
  </si>
  <si>
    <t>HENRY PANDIA</t>
  </si>
  <si>
    <t>GANENDRAJATI W, M.Si,
SUPRIYANA, S.Si., M.Pd</t>
  </si>
  <si>
    <t>978-623-266-656-6</t>
  </si>
  <si>
    <t>310 hlm : 17,6 x 25 cm</t>
  </si>
  <si>
    <t>SIKAP MENTAL PANTANG MENYERAH</t>
  </si>
  <si>
    <t>INFORMATIKA ERLANGGA KELAS VII.png</t>
  </si>
  <si>
    <t>AGUS TARSONO</t>
  </si>
  <si>
    <t>ENTERNITY VREATIVE</t>
  </si>
  <si>
    <t>CV. ESVIRA MANDIRI</t>
  </si>
  <si>
    <t>978-602-99519-1-2</t>
  </si>
  <si>
    <t>MUDA DAN BERPRESTASI</t>
  </si>
  <si>
    <t>KARMILA</t>
  </si>
  <si>
    <t>DWI PRABOWO</t>
  </si>
  <si>
    <t>CEMPAKA PUTIH</t>
  </si>
  <si>
    <t>979-662-396-9</t>
  </si>
  <si>
    <t>155.25 Muda dan Berprestasi.jpg</t>
  </si>
  <si>
    <t>ERLANGGA FOKUS AKM SMP/MTs</t>
  </si>
  <si>
    <t>TIM ERLANGGA FOKUS AKM</t>
  </si>
  <si>
    <t>FOKUS AKM ERLANGGA KELAS VIII.jpg</t>
  </si>
  <si>
    <t>MENGELOLA EMOSI REMAJA</t>
  </si>
  <si>
    <t>152.4</t>
  </si>
  <si>
    <t>EMOSI DAN PERASAAN</t>
  </si>
  <si>
    <t>TUTI TRESNAWATI</t>
  </si>
  <si>
    <t>INPOSISI STUDIO</t>
  </si>
  <si>
    <t>CV. TEMAN BELAJAR</t>
  </si>
  <si>
    <t>ERLANGGA X-PRESS AKM (LITERASI MEMBACA) SMP/MTs</t>
  </si>
  <si>
    <t>978-603-9107-46-3</t>
  </si>
  <si>
    <t>ERNIKA SONDANG,
PUJI KURNIAWAN,
SOLEH AMIN</t>
  </si>
  <si>
    <t>152.4 Mengelola Emosi Remaja.jpg</t>
  </si>
  <si>
    <t>EXPRESS AKM LITERASI MEMBACA.jpg</t>
  </si>
  <si>
    <t>BERDAMAI DENGAN PERDEBATAN</t>
  </si>
  <si>
    <t>YOPI H. NASIR</t>
  </si>
  <si>
    <t>MUHAMMAD HABIBIE</t>
  </si>
  <si>
    <t>PT DANGIANG PUSTAKA</t>
  </si>
  <si>
    <t>978-602-9123-54-8</t>
  </si>
  <si>
    <t>ERLANGGA X-PRESS AKM (NUMERASI) SMP/MTs</t>
  </si>
  <si>
    <t>155.5 Berdamai dengan Perdebatan.jpg</t>
  </si>
  <si>
    <t>MIFTAHUDIN,
KHUSNUL KHOTIMAH</t>
  </si>
  <si>
    <t>EXPRESS AKM NUMERASI.jpg</t>
  </si>
  <si>
    <t>BERDAMAI DENGAN PERKELAHIAN</t>
  </si>
  <si>
    <t>IRMA SUSILOWATI</t>
  </si>
  <si>
    <t>IZZUDIN IRSAM MUJIB</t>
  </si>
  <si>
    <t>TIGA MEDIA PRIMA</t>
  </si>
  <si>
    <t>978-602-99442-0-4</t>
  </si>
  <si>
    <t>BIDIK P5 (BANGUNLAH JIWA &amp; RAGANYA) | KELAS VII</t>
  </si>
  <si>
    <t>155.5 Berdamai dengan Perkelahian.jpg</t>
  </si>
  <si>
    <t>ERNIKA SONDANG</t>
  </si>
  <si>
    <t>BIDIK P5 BANGUNLAH JIWA DAN RAGANYA.jpg</t>
  </si>
  <si>
    <t>BERDAMAI DENGAN KENAKALAN</t>
  </si>
  <si>
    <t>SARJAN RAMDJANI</t>
  </si>
  <si>
    <t>978-602-9123-50-0</t>
  </si>
  <si>
    <t>BIDIK P5 (KEWIRAUSAHAAN) | KELAS VIII</t>
  </si>
  <si>
    <t>155.5 Berdamai Dengan Kenakalan.jpg</t>
  </si>
  <si>
    <t>BIDIK P5 KEWIRAUSAHAAN KELAS VIII.jpg</t>
  </si>
  <si>
    <t>BERDAMAI DENGAN KETELATAN</t>
  </si>
  <si>
    <t>978-602-9123-57-9</t>
  </si>
  <si>
    <t>BIDIK P5 (KEARIFAN LOKAL) | KELAS VII</t>
  </si>
  <si>
    <t>155.5 Berdamai dengan Ketelatan.jpg</t>
  </si>
  <si>
    <t>BIDIK P5 KEARIFAN LOKAL KELAS VII.jpg</t>
  </si>
  <si>
    <t>BERDAMAI DENGAN GAYA HIDUP</t>
  </si>
  <si>
    <t>978-602-9123-62-3</t>
  </si>
  <si>
    <t>BIDIK P5 (BHINNEKA TUNGGAL IKA) | KELAS VII</t>
  </si>
  <si>
    <t>BERDAMAI DENGAN SIFAT KELELAKIAN</t>
  </si>
  <si>
    <t>DINA BUKHARI</t>
  </si>
  <si>
    <t>978-602-9123-52-4</t>
  </si>
  <si>
    <t>BIDIK P5 BHINEKA TUNGGAL IKA KELAS VII.jpg</t>
  </si>
  <si>
    <t>155.5 Berdamai Dengan Sifat Kelelakian.jpg</t>
  </si>
  <si>
    <t>MEMBENTUK CITRA DIRI PRIBADI YANG POSITIF</t>
  </si>
  <si>
    <t>BIDIK P5 (GAYA HIDUP BERKELANJUTAN) | KELAS VII</t>
  </si>
  <si>
    <t>INPOSISI.STUDIO</t>
  </si>
  <si>
    <t>CV. AMALIA BOOK</t>
  </si>
  <si>
    <t>978-602-9106-35-0</t>
  </si>
  <si>
    <t>BIDIK P5 GAYA HIDUP BERKELANJUTAN KELAS VII.jpg</t>
  </si>
  <si>
    <t>BERDAMAI DENGAN PRIVASI</t>
  </si>
  <si>
    <t>HANIF F.</t>
  </si>
  <si>
    <t>978-602-9123-58-6</t>
  </si>
  <si>
    <t>BERDAMAI DENGAN EJEKAN</t>
  </si>
  <si>
    <t xml:space="preserve">155.5 </t>
  </si>
  <si>
    <t>BIDIK P5 (SUARA DEMOKRASI) | KELAS VIII</t>
  </si>
  <si>
    <t>ISMAIL KUSMAYADI</t>
  </si>
  <si>
    <t>978-602-9123-56-2</t>
  </si>
  <si>
    <t>155.5 Berdamai Dengan Ejekan.jpg</t>
  </si>
  <si>
    <t>BIDIK P5 SUARA DEMOKRASI KELAS VIII.jpg</t>
  </si>
  <si>
    <t>BERDAMAI DENGAN PERSAINGAN</t>
  </si>
  <si>
    <t>SRI RATNA HADI</t>
  </si>
  <si>
    <t>MATEMATIKA | KELAS IX | KEMENDIKBUDRISTEK | KUMER</t>
  </si>
  <si>
    <t>IX</t>
  </si>
  <si>
    <t>BUKU SISWA</t>
  </si>
  <si>
    <t>YOSEP DWI KRISTANTO, MUHAMMAD TAQIYUDDIN, ELYDA YULFIANA, INDRA RUKMANA</t>
  </si>
  <si>
    <t>WAHYU SETYANINGRUM</t>
  </si>
  <si>
    <t>978-602-427-918-9</t>
  </si>
  <si>
    <t>320 hlm;
17,6 × 25 cm</t>
  </si>
  <si>
    <t>1 s/d 251</t>
  </si>
  <si>
    <t>MATEMATIKA KELAS IX.png</t>
  </si>
  <si>
    <t>ILMU PENGETAHUAN SOSIAL | KELAS IX | KEMENDIKBUDRISTEK | KUMER</t>
  </si>
  <si>
    <t>MOHAMMAD RIZKY SATRIA, SARI OKTAFIANA, M. NURSA’BAN, SUPARDI</t>
  </si>
  <si>
    <t>EKA WARDANA, HARTAT</t>
  </si>
  <si>
    <t>978-602-244-469-5</t>
  </si>
  <si>
    <t>288 hlm.: 17,6 cm x 25 cm</t>
  </si>
  <si>
    <t>IPS KELAS IX.png</t>
  </si>
  <si>
    <t>978-602-9123-53-1</t>
  </si>
  <si>
    <t>155.5 Berdamai dengan Persaingan.jpg</t>
  </si>
  <si>
    <t>PENDIDIKAN AGAMA ISLAM DAN BUDI PEKERTI | KELAS IX</t>
  </si>
  <si>
    <t>IIS SURYATINI, HASYIM ASY’ARI</t>
  </si>
  <si>
    <t>BERDAMAI DENGAN KEKASARAN</t>
  </si>
  <si>
    <t>MIFTAHUL FIKRI</t>
  </si>
  <si>
    <t>978-602-244-679-8</t>
  </si>
  <si>
    <t>987-602-9123-67-8</t>
  </si>
  <si>
    <t>290 hlm.: 17,6 x 25 cm</t>
  </si>
  <si>
    <t>PAI KELAS IX.png</t>
  </si>
  <si>
    <t>MEMINTA MAAF ITU BAIK</t>
  </si>
  <si>
    <t>173</t>
  </si>
  <si>
    <t>ETIKA HUBUNGAN KELUARGA</t>
  </si>
  <si>
    <t>BUDHI PRIANTO</t>
  </si>
  <si>
    <t>FANDI</t>
  </si>
  <si>
    <t>MEDIA PUSINDO</t>
  </si>
  <si>
    <t>54 hlm; 21 cm</t>
  </si>
  <si>
    <t>173 Meminta Maaf Itu Baik.jpg</t>
  </si>
  <si>
    <t>BERDAMAI DENGAN GOSIP</t>
  </si>
  <si>
    <t>TUSYE A. FULFORD</t>
  </si>
  <si>
    <t>ASEP RUHIMAT</t>
  </si>
  <si>
    <t>978-623-95808-7-2</t>
  </si>
  <si>
    <t>54 hlm; 25 cm</t>
  </si>
  <si>
    <t>JANGAN MAU JADI PEMBOROS</t>
  </si>
  <si>
    <t xml:space="preserve">171.4 </t>
  </si>
  <si>
    <t>RISA YANUAR,S.S</t>
  </si>
  <si>
    <t>CV PRINGGANI</t>
  </si>
  <si>
    <t>ENGLISH FOR NUSANTARA | KELAS IX | KEMENDIKBUDRISTEK | KUMER</t>
  </si>
  <si>
    <t>171.4 Jangan Mau Jadi Pemboros.jpg</t>
  </si>
  <si>
    <t>IKA LESTARI DAMAYANTI
YUSNITA FEBRIANTI
PIPIT PRIHARTANTI SUHARTO
IYEN NURLAELAWATI
AJI JEHAN FELLANI
HENDRA</t>
  </si>
  <si>
    <t>368 hlm.
17,6 x 25 cm.</t>
  </si>
  <si>
    <t>BAHASA INGGRIS KELAS IX.png</t>
  </si>
  <si>
    <t>KARAKTER DENGKI MERUSAKKAN MASA DEPAN</t>
  </si>
  <si>
    <t xml:space="preserve">155.2 </t>
  </si>
  <si>
    <t>STAY WOLES AND YOU ARE GREAT!</t>
  </si>
  <si>
    <t>QUL KHAIRAN</t>
  </si>
  <si>
    <t>INFORMATIKA | KELAS IX | KEMENDIKBUDRISTEK | KUMER</t>
  </si>
  <si>
    <t>HARIYANTO, RUSDIANTO, DAN AYA SOPHIA</t>
  </si>
  <si>
    <t>DIVA PRESS</t>
  </si>
  <si>
    <t>HANSON PRIHANTORO PUTRO, DKK.</t>
  </si>
  <si>
    <t>CHRISTINA TULALESSY</t>
  </si>
  <si>
    <t>155.5 Stay Woles and You Are Great!.jpg</t>
  </si>
  <si>
    <t>304 hlm
17,6 x 25 cm.</t>
  </si>
  <si>
    <t>INFORMATIKA KELAS IX.png</t>
  </si>
  <si>
    <t>BUTIR-BUTIR POKOK KARAKTER RELIGIUS</t>
  </si>
  <si>
    <t>AHMAD YANI</t>
  </si>
  <si>
    <t>TIM EDITOR JEMBAR</t>
  </si>
  <si>
    <t>CV. JEMBAR SUGIH MUKTI</t>
  </si>
  <si>
    <t>PENDIDIKAN PANCASILA | KELAS IX | KEMENDIKBUDRISTEK | KUMER</t>
  </si>
  <si>
    <t>YUDHA DANA PRAHARA,
KHOIRIYANINGSIH,
ANGGI AFRIANSYAH</t>
  </si>
  <si>
    <t>BIMBINGAN &amp; KONSELING</t>
  </si>
  <si>
    <t>IMTAM RUS ERNAWATI</t>
  </si>
  <si>
    <t>978-623-194-598-3</t>
  </si>
  <si>
    <t>202 hlm
17,6 x 25 cm</t>
  </si>
  <si>
    <t>PKN KELAS IX.png</t>
  </si>
  <si>
    <t xml:space="preserve">158.3 </t>
  </si>
  <si>
    <t>KONSELING, PENYULUHAN, PEMBERIAN NASEHAT DAN WAWANCARA</t>
  </si>
  <si>
    <t xml:space="preserve">ACHMAD JUNTIKA, Dr. </t>
  </si>
  <si>
    <t>ANNA SUSANA</t>
  </si>
  <si>
    <t>PT. REFIKA ADITAMA</t>
  </si>
  <si>
    <t>979-1073-24-4</t>
  </si>
  <si>
    <t>158.3 Bimbingan &amp; Konseling.jpg</t>
  </si>
  <si>
    <t>BAHASA INDONESIA | KELAS IX | KEMENDIKBUDRISTEK | KUMER</t>
  </si>
  <si>
    <t>EVA Y. NUKMAN, 
ANNA FARIDA KURNIASARI, 
HELVA NURHIDAYAH</t>
  </si>
  <si>
    <t>HERRY PRASETYO</t>
  </si>
  <si>
    <t>978-602-244-636-1</t>
  </si>
  <si>
    <t>194 hlm
17,6 x 25 cm</t>
  </si>
  <si>
    <t>BAHASA INDONESIA KELAS IX.png</t>
  </si>
  <si>
    <t>RAGAM PAHAM BERBAHAYA</t>
  </si>
  <si>
    <t>FILSAFAT</t>
  </si>
  <si>
    <t>AJI SETIAJI</t>
  </si>
  <si>
    <t>CV. GEMA BUKA NUSANTARA</t>
  </si>
  <si>
    <t>978-602-9110-25-8</t>
  </si>
  <si>
    <t>DETEKSI DINI TERORISME | MENGENAL CIKAL BAKAL SIFAT-SIFAT TERORIS</t>
  </si>
  <si>
    <t>MENGETAHUI SIFAT TERORIS</t>
  </si>
  <si>
    <t>RUDI SYAHABUDDIN - HIKA D. ASRIL PUTRA</t>
  </si>
  <si>
    <t>ZUSIYANAH SAMOSIR</t>
  </si>
  <si>
    <t>PT NUSANTARALESTARI CERIAPRATAMA</t>
  </si>
  <si>
    <t>978-602-8822-17-6</t>
  </si>
  <si>
    <t>MENGEMBANGKAN KARAKTER TERPUJI DALAM BERORGANISASI</t>
  </si>
  <si>
    <t>ILMU PENGETAHUAN ALAM | KELAS IX | KEMENDIKBUDRISTEK | KUMER</t>
  </si>
  <si>
    <t xml:space="preserve">158.2 </t>
  </si>
  <si>
    <t>HUBUNGAN ANTAR INDIVIDU</t>
  </si>
  <si>
    <t>YULDI</t>
  </si>
  <si>
    <t>TIM RIZKY ADITYA</t>
  </si>
  <si>
    <t>CV. RIZKY ADITYA</t>
  </si>
  <si>
    <t>CECE SUTIA, 
VICTORIANI INABUY, 
OKKY FAJAR TRI MARYANA, 
BUDIYANTI DWI HARDANIE, 
SRI HANDAYANI LESTARI</t>
  </si>
  <si>
    <t>978-602-244-787-0</t>
  </si>
  <si>
    <t>158.2 Mengembangkan Karakter Terpuji dalam Berorganisasi.jpg</t>
  </si>
  <si>
    <t>IPA KELAS IX.png</t>
  </si>
  <si>
    <t>AKHLAK MULIA PERBUATAN UNTUK MENINGKATKAN KEBAIKAN</t>
  </si>
  <si>
    <t>170</t>
  </si>
  <si>
    <t>ETIKA, FILSAFAT MORAL</t>
  </si>
  <si>
    <t>DEWI ASTUTI, S.SOS</t>
  </si>
  <si>
    <t>PENDIDIKAN JASMANI, OLAHRAGA DAN KESEHATAN | KELAS IX | KUMER</t>
  </si>
  <si>
    <t>ARDES WIDIYANTO, S.Pd</t>
  </si>
  <si>
    <t>ICHSAN SUHADA</t>
  </si>
  <si>
    <t>PT IMPERIAL</t>
  </si>
  <si>
    <t>978-602-8318-20-4</t>
  </si>
  <si>
    <t>170 Akhlak Mulia - Perbuatan untuk Meningkatkan Kebaikan.jpg</t>
  </si>
  <si>
    <t>978-623-843-203-5</t>
  </si>
  <si>
    <t>156 hlm
17,6 x 25 cm</t>
  </si>
  <si>
    <t>PJOK KELAS IX.jpg</t>
  </si>
  <si>
    <t>GENERASI PENUH PERSAHABATAN</t>
  </si>
  <si>
    <t>LUTFI AVIANTO | M. RAUSHAN FIKR</t>
  </si>
  <si>
    <t>WENI RAHAYU</t>
  </si>
  <si>
    <t>PT BINA SARANA PUSTAKA</t>
  </si>
  <si>
    <t>978-602-8181-27-3</t>
  </si>
  <si>
    <t>177 Generasi Penuh Persahabatan.jpg</t>
  </si>
  <si>
    <t>PRAKARYA PENGOLAHAN | KELAS IX | KUMER</t>
  </si>
  <si>
    <r>
      <rPr>
        <rFont val="Arial"/>
        <color theme="1"/>
      </rPr>
      <t xml:space="preserve">ABAS ASUSILA, </t>
    </r>
    <r>
      <rPr>
        <rFont val="Arial"/>
        <color rgb="FF000000"/>
      </rPr>
      <t>S.Sn</t>
    </r>
  </si>
  <si>
    <t>BRIGITTA GANGGA TRIBUANA, S.S</t>
  </si>
  <si>
    <t>978-623-843-230-1</t>
  </si>
  <si>
    <t>PRAKARYA KELAS IX.jpg</t>
  </si>
  <si>
    <t>BENDE MATARAM | SAATNYA MENUNTUN KSATRIA LASYKAR - E - HUBBUL WATHON</t>
  </si>
  <si>
    <t>FIKSI INDONESIA</t>
  </si>
  <si>
    <t>MAYA SAFIRA M</t>
  </si>
  <si>
    <t>WANDY N TUTUROONG</t>
  </si>
  <si>
    <t>PT LKiS PELANGI AKSARA</t>
  </si>
  <si>
    <t>979-99450-6-2</t>
  </si>
  <si>
    <t>813 Bende Mataram.jpg</t>
  </si>
  <si>
    <t>SENI MUSIK | KELAS IX | KUMER</t>
  </si>
  <si>
    <t>KHOIRUN NISA'S.Pd</t>
  </si>
  <si>
    <t>978-623-843-205-9</t>
  </si>
  <si>
    <t>SENI MUSIK KELAS IX.jpg</t>
  </si>
  <si>
    <t>KAMUS KIMIA</t>
  </si>
  <si>
    <t>540.3</t>
  </si>
  <si>
    <t>Drs. MULYONO HAM</t>
  </si>
  <si>
    <t>BUMI AKSARA</t>
  </si>
  <si>
    <t>979-526-060-x</t>
  </si>
  <si>
    <t>506 hlm.</t>
  </si>
  <si>
    <t>540.3 Kamus Kimia.jpg</t>
  </si>
  <si>
    <t>BUKU PANDUAN GURU | ENGLISH FOR NUSANTARA | KELAS IX | KUMER</t>
  </si>
  <si>
    <t>978-602-427-943-1</t>
  </si>
  <si>
    <t>414 hlm
17,6 x 25 cm</t>
  </si>
  <si>
    <t>BAHASA INGGRIS PG KELAS IX.png</t>
  </si>
  <si>
    <t>PRESTASI GEMILANG ANAK BANGSA | SERI OLIMPIADE MATEMATIKA, INFORMATIKA, DAN ASTRONOMI</t>
  </si>
  <si>
    <t>LUTFI AVIANTO</t>
  </si>
  <si>
    <t>978-602-8181-28-0</t>
  </si>
  <si>
    <t>GENERASI BERPRESTASI</t>
  </si>
  <si>
    <t>153 Generasi Berprestasi.jpg</t>
  </si>
  <si>
    <t>BUKU PANDUAN GURU | SENI MUSIK | KELAS IX | KUMER</t>
  </si>
  <si>
    <t>DANI NUR SAPUTRA, INDRA KUSUMA WARDANI</t>
  </si>
  <si>
    <t>ETSA PURBARANI</t>
  </si>
  <si>
    <t>978-602-244-600-2</t>
  </si>
  <si>
    <t>218 hlm
17,6 x 25 cm</t>
  </si>
  <si>
    <t>SENI MUSIK PG KELAS IX.png</t>
  </si>
  <si>
    <t>SALING MENGHORMATI ITU INDAH</t>
  </si>
  <si>
    <t>TABRANI, (H. )</t>
  </si>
  <si>
    <t>TIM PUSTAKA DINAMIKA</t>
  </si>
  <si>
    <t>PUSTAKA DINAMIKA</t>
  </si>
  <si>
    <t>078-979-3326-06-1</t>
  </si>
  <si>
    <t>177 Saling Menghormati Itu Indah.jpg</t>
  </si>
  <si>
    <t>BUKU PANDUAN GURU | PENDIDIKAN JASMANI, OLAHRAGA, DAN KESEHATAN | KELAS IX | KUMER</t>
  </si>
  <si>
    <t>PUKU PEGANGAN GURU</t>
  </si>
  <si>
    <t>SUGITO ADI WARSITO, IBNU SUSILO</t>
  </si>
  <si>
    <t>RAHMAH PURWAHIDA</t>
  </si>
  <si>
    <t>978-602-244-576-0</t>
  </si>
  <si>
    <t>298 hlm
17,6 x 25 cm</t>
  </si>
  <si>
    <t>PJOK PG KELAS IX.png</t>
  </si>
  <si>
    <t>BUKU PANDUAN GURU | PENDIDIKAN AGAMA ISLAM DAN BUDI PEKERTI | KELAS IX | KUMER</t>
  </si>
  <si>
    <t>978-602-244-680-4</t>
  </si>
  <si>
    <t>174 hlm
17,6 x 25 cm</t>
  </si>
  <si>
    <t>PAI PG KELAS IX.png</t>
  </si>
  <si>
    <t>MALU BERBUAT KELIRU</t>
  </si>
  <si>
    <t>CV. BOENZ ENTERPRISE</t>
  </si>
  <si>
    <t>978-602-5764-02-8</t>
  </si>
  <si>
    <t>155.25 Malu Berbuat Keliru.jpg</t>
  </si>
  <si>
    <t>BUKU PANDUAN GURU | INFORMATIKA | KELAS IX | KUMER</t>
  </si>
  <si>
    <t>DEAN APRIANA RAMADHAN, HANSON PRIHANTORO PUTRO, VANIA NATALI, MEWATI AYUB, MARESHA CAROLINE WIJANTO, IRYA WISNUBHADRA, ADAM MUKHARIL BACHTIAR, HUSNUL HAKIM, NATALIA, WAHYONO, KURNIAWAN KARTAWIDJAJA</t>
  </si>
  <si>
    <t>978-602-244-795-5</t>
  </si>
  <si>
    <t>INFORMATIKA PG KELAS IX.png</t>
  </si>
  <si>
    <t>BUKU PANDUAN GURU | ILMU PENGETAHUAN ALAM | KELAS IX | KUMER</t>
  </si>
  <si>
    <t>CECE SUTIA, VICTORIANI INABUY, OKKY FAJAR TRI MARYANA, BUDIYANTI DWI HARDANIE, SRI HANDAYANI LESTARI</t>
  </si>
  <si>
    <t>978-602-244-786-3</t>
  </si>
  <si>
    <t>238 hlm
17,6 x 25 cm</t>
  </si>
  <si>
    <t>IPA PG KELAS IX.png</t>
  </si>
  <si>
    <t>BERDAMAI DENGAN KEBOHONGAN</t>
  </si>
  <si>
    <t>978-602-9123-72-2</t>
  </si>
  <si>
    <t>155.5 Berdamai dengan Kebohongan.jpg</t>
  </si>
  <si>
    <t>BUKU PANDUAN GURU | MATEMATIKA | KELAS IX | KUMER</t>
  </si>
  <si>
    <t>DRAJAT</t>
  </si>
  <si>
    <t>978-602-244-836-5</t>
  </si>
  <si>
    <t>302 hlm
18,2 x 25,7 cm</t>
  </si>
  <si>
    <t>MATEMATIKA PG KELAS IX.png</t>
  </si>
  <si>
    <t>SYUBHAT SEPUTAR PUASA</t>
  </si>
  <si>
    <t>PUASA</t>
  </si>
  <si>
    <t>MUHAMMAD RAHMATULLAH</t>
  </si>
  <si>
    <t>DENIS ARIFANDI</t>
  </si>
  <si>
    <t>PT. TIGA SERANGKAI</t>
  </si>
  <si>
    <t>297.362 Syubhat Seputar Puasa.jpg</t>
  </si>
  <si>
    <t>BUKU PANDUAN GURU | BAHASA INDONESIA | KELAS IX | KUMER</t>
  </si>
  <si>
    <t>EVA Y. NUKMAN, ANNA FARIDA KURNIASARI, HELVA NURHIDAYAH</t>
  </si>
  <si>
    <t>978-602-244-637-8</t>
  </si>
  <si>
    <t>260 hlm
17,6 x 25 cm</t>
  </si>
  <si>
    <t>BAHASA INDONESIA PG KELAS IX.png</t>
  </si>
  <si>
    <t>BUKU PANDUAN GURU | ILMU PENGETAHUAN SOSIAL | KELAS IX | KUMER</t>
  </si>
  <si>
    <t>MOHAMMAD RIZKY SATRIA, 
SARI OKTAFIANA, M. 
NURSA’BAN, SUPARDI</t>
  </si>
  <si>
    <t>978-602-244-471-8</t>
  </si>
  <si>
    <t>266 hlm
17,6 x 25 cm</t>
  </si>
  <si>
    <t>IPS PG KELAS IX.png</t>
  </si>
  <si>
    <t>BUKU PANDUAN GURU | PENDIDIKAN PANCASILA | KELAS IX | KUMER</t>
  </si>
  <si>
    <t>KHOIRIYANINGSIH, 
YUDHA DANA PRAHARA, 
ANGGI AFRIANSYAH</t>
  </si>
  <si>
    <t>978-623-194-649-2</t>
  </si>
  <si>
    <t>206 hlm
17,6 x 25 cm</t>
  </si>
  <si>
    <t>PKN PG KELAS IX.png</t>
  </si>
  <si>
    <t>KHAZANAH KEARIFAN AGAMA-AGAMA DI INDONESIA</t>
  </si>
  <si>
    <t>BUKU PANDUAN GURU | PRAKARYA : PENGOLAHAN | KELAS IX | KUMER</t>
  </si>
  <si>
    <t>297.07</t>
  </si>
  <si>
    <t>PENDIDIKAN ISLAM, PENELITIAN ISLAM DAN TOPIK YANG BERKAITAN</t>
  </si>
  <si>
    <t>YENI YULIANTI, GINNY GINANJAR MUSTOFA, VINA DWIYANTI</t>
  </si>
  <si>
    <t>ERWIM KUSUMA</t>
  </si>
  <si>
    <t>978-602-427-951-6</t>
  </si>
  <si>
    <t>CV. KOMUNIKA</t>
  </si>
  <si>
    <t>224 hlm
17,6 x 25 cm</t>
  </si>
  <si>
    <t>978-979-056-064-2</t>
  </si>
  <si>
    <t>PRAKARYA PG KELAS IX.png</t>
  </si>
  <si>
    <t>MELAKUKAN PERBUATAN TERPUJI</t>
  </si>
  <si>
    <t>297.5</t>
  </si>
  <si>
    <t>ETIKA ISLAM, PRAKTIK KEAGAMAAN</t>
  </si>
  <si>
    <t>TJETJEP S, Drs.</t>
  </si>
  <si>
    <t>TIM EDITOR PT. PURI DELCO</t>
  </si>
  <si>
    <t>978-602-8713-69-6</t>
  </si>
  <si>
    <t>297.5 Melakukan Perbuatan Terpuji.jpg</t>
  </si>
  <si>
    <t>GAPURA BASA | KELAS IX | KUMER</t>
  </si>
  <si>
    <t>978-623-7728-52-8</t>
  </si>
  <si>
    <t>128 hlm
17,6 x 25 cm</t>
  </si>
  <si>
    <t>AYO, BELAJAR SHALAT SUNAT!</t>
  </si>
  <si>
    <t>1 s/d 96</t>
  </si>
  <si>
    <t>GAPURA BASA KELAS IX.jpg</t>
  </si>
  <si>
    <t>297.3</t>
  </si>
  <si>
    <t>PRAKTIK AGAMA ISLAM</t>
  </si>
  <si>
    <t>HIDAYAT</t>
  </si>
  <si>
    <t>NURAINI</t>
  </si>
  <si>
    <t>IMTIMA</t>
  </si>
  <si>
    <t>HIKMAH KEJUJURAN</t>
  </si>
  <si>
    <t>Drs. TJETJEP S. RANUATMAJA</t>
  </si>
  <si>
    <t>978-602-8713-66-5</t>
  </si>
  <si>
    <t>PEDOMAN ILMU TAJWID LENGKAP</t>
  </si>
  <si>
    <t>2X1.121</t>
  </si>
  <si>
    <t>TAJWID</t>
  </si>
  <si>
    <t>ACEP IIM ABDUROHIM (Ustadz)</t>
  </si>
  <si>
    <t>ANWAR YURO dkk</t>
  </si>
  <si>
    <t>DIPONEGORO</t>
  </si>
  <si>
    <t>KARAKTER YANG MEMESONA KEBIASAAN BERSEDEKAH</t>
  </si>
  <si>
    <t>2X4.251</t>
  </si>
  <si>
    <t>SHADAQAH, SHODAQOH, SEDEKAH</t>
  </si>
  <si>
    <t>RISA YANUAR, S.S</t>
  </si>
  <si>
    <t>2X4.251 Karakter yang Memesona Kebiasaan Bersedekah.jpg</t>
  </si>
  <si>
    <t>PARA PENEBAR KEDAMAIAN</t>
  </si>
  <si>
    <t>AGAMA ISLAM</t>
  </si>
  <si>
    <t>ADHI ENDANG JAYA</t>
  </si>
  <si>
    <t>IRWAN KURNIAWAN, M. Ag</t>
  </si>
  <si>
    <t>PENERBIT MARJA</t>
  </si>
  <si>
    <t>979-24-5692-9</t>
  </si>
  <si>
    <t>297 Para Penebar Kedamaian.jpg</t>
  </si>
  <si>
    <t>PENDIDIKAN PANCASILA | KELAS VII | KEMENDIKBUDRISTEK | KUMER</t>
  </si>
  <si>
    <t>KISAH 25 NABI &amp; RASUL</t>
  </si>
  <si>
    <t>YAYAT SURYATNA
AI TIN SUMARTINI
DEVITA PUSPA SARI
DWI INDAH MUSTIKO NINGRUM</t>
  </si>
  <si>
    <t>978-623-194-632-4</t>
  </si>
  <si>
    <t xml:space="preserve">2X3.4 </t>
  </si>
  <si>
    <t>IMAN KEPADA NABI DAN RASUL</t>
  </si>
  <si>
    <t>ZAID HUSEIN ALHAMID</t>
  </si>
  <si>
    <t>200 hlm
17,6 x 25 cm</t>
  </si>
  <si>
    <t>HUSIN ABDULLAH</t>
  </si>
  <si>
    <t>1 s/d 265</t>
  </si>
  <si>
    <t>PUSTAKA AMANI JAKARTA</t>
  </si>
  <si>
    <t>PKN KELAS VII.png</t>
  </si>
  <si>
    <t>MENJADI TENTRAM DAN BAHAGIA DENGAN SHALAT</t>
  </si>
  <si>
    <t>2X4.12</t>
  </si>
  <si>
    <t>SHALAT</t>
  </si>
  <si>
    <t>MUH. FADLUN, S.Pd.I.</t>
  </si>
  <si>
    <t>PUSTAKA MEDIA</t>
  </si>
  <si>
    <t>978-602-8214-79-7</t>
  </si>
  <si>
    <t>PELAJARAN ILMU TAJWID</t>
  </si>
  <si>
    <t>PENDIDIKAN PANCASILA | KELAS VIiI | KEMENDIKBUDRISTEK | KUMER</t>
  </si>
  <si>
    <t xml:space="preserve">HIDAYAT, E. </t>
  </si>
  <si>
    <t>IR. JOHANSYAH</t>
  </si>
  <si>
    <t>2X1.121 Pelajaran Ilmu Tajwid.jpg</t>
  </si>
  <si>
    <t>TUDI SETIAWAN
TIA SETIAWATI
MUHAMMAD SAPEI
PRAYOGO</t>
  </si>
  <si>
    <t xml:space="preserve">INDAH SULISTIYAWATI
</t>
  </si>
  <si>
    <t>188 hlm
17,6 x 25 cm</t>
  </si>
  <si>
    <t>1 s/d 274</t>
  </si>
  <si>
    <t>PKN KELAS VIII.png</t>
  </si>
  <si>
    <t>SAHABAT BERTANYA NABI MENJAWAB</t>
  </si>
  <si>
    <t>297.648</t>
  </si>
  <si>
    <t>SAHABAT NABI MUHAMMAD SAW</t>
  </si>
  <si>
    <t>MUAZ, (A. )</t>
  </si>
  <si>
    <t>PT. VARIAPOP GROUP</t>
  </si>
  <si>
    <t>297.648 Sahabat Bertanya Nabi Menjawab.jpg</t>
  </si>
  <si>
    <t>254 s/d 282</t>
  </si>
  <si>
    <t>TUNTUNAN ISLAM DALAM KEHIDUPAN REMAJA MASA KINI</t>
  </si>
  <si>
    <t>IBADAH</t>
  </si>
  <si>
    <t>ADDIN A.M.</t>
  </si>
  <si>
    <t>978-602-8713-05-4</t>
  </si>
  <si>
    <t>253 s/d 282</t>
  </si>
  <si>
    <t>BAHAYA MEROKOK</t>
  </si>
  <si>
    <t>CERITA</t>
  </si>
  <si>
    <t>SENO SUBRO</t>
  </si>
  <si>
    <t>RENI AAT dkk</t>
  </si>
  <si>
    <t>ERA ADICITRA INTERMEDIA</t>
  </si>
  <si>
    <t>56 hlm;
21 cm</t>
  </si>
  <si>
    <t>813 Bahaya Merokok.jpg</t>
  </si>
  <si>
    <t>254 sd 283</t>
  </si>
  <si>
    <t>254 s/d 283</t>
  </si>
  <si>
    <t>INFORMATIKA | KELAS VIII | KEMDIKBUDRISTEK | KUMER</t>
  </si>
  <si>
    <t>VANIA NATALI, DKK</t>
  </si>
  <si>
    <t>USHULUDDIN</t>
  </si>
  <si>
    <t xml:space="preserve">978-602-244-427-5 </t>
  </si>
  <si>
    <t>308 hlm
17,6 x 25 cm</t>
  </si>
  <si>
    <t>297.211</t>
  </si>
  <si>
    <t>ALLAH SWT</t>
  </si>
  <si>
    <t>1 s/d 275</t>
  </si>
  <si>
    <t>MUHSIN QIRAATI</t>
  </si>
  <si>
    <t>INFORMATIKA KELAS VIII.png</t>
  </si>
  <si>
    <t>CAHAYA</t>
  </si>
  <si>
    <t>978-979-3259-78-9</t>
  </si>
  <si>
    <t>297.211 Ushuluddin.jpg</t>
  </si>
  <si>
    <t>AKHLAK MULIA BAGI REMAJA</t>
  </si>
  <si>
    <t>AGUS SULAIMAN</t>
  </si>
  <si>
    <t>978-979-3433-66-3</t>
  </si>
  <si>
    <t>KUMPULAN HADITS TENTANG AKHLAK TERCELA</t>
  </si>
  <si>
    <t>297.125</t>
  </si>
  <si>
    <t>HADITS</t>
  </si>
  <si>
    <t>SOLEH HIDAYAT</t>
  </si>
  <si>
    <t>JODI ANDREA</t>
  </si>
  <si>
    <t>CV MEGAH JAYA</t>
  </si>
  <si>
    <t>ESENSI DAN TUNTUNAN PUASA RAMADHAN</t>
  </si>
  <si>
    <t>297.362</t>
  </si>
  <si>
    <t>PUASA RAMADHAN</t>
  </si>
  <si>
    <t>FARID MA'RUF NOOR</t>
  </si>
  <si>
    <t>AHMAD DIMYATI, S.AG</t>
  </si>
  <si>
    <t>PUSTAKA MADANI</t>
  </si>
  <si>
    <t>979-9177-19-7</t>
  </si>
  <si>
    <t>297.362 Esensi dan Tuntunan Puasa Ramadhan.jpg</t>
  </si>
  <si>
    <t>SEJARAH FATHIMAH AZZAHRA</t>
  </si>
  <si>
    <t>PRAKARYA PENGOLAHAN | KELAS VIII | KUMER</t>
  </si>
  <si>
    <t>2X9.13</t>
  </si>
  <si>
    <t>KELUARGA NABI MUHAMMAD SAW</t>
  </si>
  <si>
    <t>PROF. DASTEGHIB</t>
  </si>
  <si>
    <t>ALI ASGHAR</t>
  </si>
  <si>
    <t>ABAS ASUSILA, S.Sn</t>
  </si>
  <si>
    <t>978-979-3259-86-4</t>
  </si>
  <si>
    <t>978-623-8327-66-9</t>
  </si>
  <si>
    <t>RAHASIA - RAHASIA IBADAH</t>
  </si>
  <si>
    <t>2X4.1</t>
  </si>
  <si>
    <t>156 hlm;
17,6 x 25 cm</t>
  </si>
  <si>
    <t>PROF. JAWAD AMULI</t>
  </si>
  <si>
    <t>DEDE AZWAR N</t>
  </si>
  <si>
    <t>979-96471-1-8</t>
  </si>
  <si>
    <t>PRAKARYA KELAS VIII.png</t>
  </si>
  <si>
    <t>TAFSIR SURAH YASIN</t>
  </si>
  <si>
    <t>2X1.4</t>
  </si>
  <si>
    <t>KUMPULAN AYAT-AYAT DAN SURAT-SURAT TERTENTU DALAM AL-QUR'AN</t>
  </si>
  <si>
    <t>978-979-3259-61-2</t>
  </si>
  <si>
    <t>252 s/d 281</t>
  </si>
  <si>
    <t>252 S/D 281</t>
  </si>
  <si>
    <t>TAFSIR SURAH AL-WAQI'AH</t>
  </si>
  <si>
    <t xml:space="preserve">DASTEGHIB, PROF. </t>
  </si>
  <si>
    <t>978-979-3259-65-5</t>
  </si>
  <si>
    <t>2X1.4 Tafsir Surat Al-Waqi'ah.jpg</t>
  </si>
  <si>
    <r>
      <rPr>
        <rFont val="Arial"/>
        <color theme="1"/>
      </rPr>
      <t xml:space="preserve">ABAS ASUSILA, </t>
    </r>
    <r>
      <rPr>
        <rFont val="Arial"/>
        <color rgb="FF000000"/>
      </rPr>
      <t>S.Sn</t>
    </r>
  </si>
  <si>
    <t>ADU MANIS SUNDA-ISLAM</t>
  </si>
  <si>
    <t/>
  </si>
  <si>
    <t>DJASEPUDIN</t>
  </si>
  <si>
    <t>TIM INDAHJAYA ADIPRATAMA</t>
  </si>
  <si>
    <t>PT. INDAHJAYA ADIPRATAMA</t>
  </si>
  <si>
    <t>ISLAM &amp; PLURALISME DI INDONESIA</t>
  </si>
  <si>
    <t>SUCIPTO S.IP</t>
  </si>
  <si>
    <t>MELVI YENDRA</t>
  </si>
  <si>
    <t>MEDIA VISTA</t>
  </si>
  <si>
    <t>978-602-221-075-7</t>
  </si>
  <si>
    <t>289 s/d 290</t>
  </si>
  <si>
    <t>297 Islam &amp; Pluralisme di Indonesia.jpg</t>
  </si>
  <si>
    <t>ABU BAKAR AS-SIDDIQ</t>
  </si>
  <si>
    <t xml:space="preserve">297.648 </t>
  </si>
  <si>
    <t xml:space="preserve">SABRI MUNIER, M. </t>
  </si>
  <si>
    <t>PT. BULAN BINTANG</t>
  </si>
  <si>
    <t>979-418-256-7</t>
  </si>
  <si>
    <t>297 Abu Bakar As-Siddiq.jpg</t>
  </si>
  <si>
    <t>259 s/d 260</t>
  </si>
  <si>
    <t>THAHARAH DAN SHALAT BAGI ORANG SAKIT</t>
  </si>
  <si>
    <t>SIMPAY BASA SUNDA 1 | KELAS VII | ERLANGGA | KUMER</t>
  </si>
  <si>
    <t>YAYAT SUDARYAT,
LILIS NURHIYATI</t>
  </si>
  <si>
    <t>HADIYANSYAH, S.Hum.</t>
  </si>
  <si>
    <t>A.M KOMARUDDIN</t>
  </si>
  <si>
    <t>978-623-180-255-2</t>
  </si>
  <si>
    <t>PT IMPERIAL BHAKTI UTAMA</t>
  </si>
  <si>
    <t>146 hlm ; 17,6 x 25 cm</t>
  </si>
  <si>
    <t>1 s/d 100</t>
  </si>
  <si>
    <t>SIMPAY SUNDA KELAS 7.jpg</t>
  </si>
  <si>
    <t>SERI TELADAN NABI AYYUB A.S | NABI YANG SABAR</t>
  </si>
  <si>
    <t>2X3.46</t>
  </si>
  <si>
    <t>SEJARAH NABI DAN RASUL SEBELUM NABI MUHAMMAD SAW</t>
  </si>
  <si>
    <t>ASEP TUTUY TURYANA</t>
  </si>
  <si>
    <t>ANNO D. SANJARI</t>
  </si>
  <si>
    <t>E. KIDS</t>
  </si>
  <si>
    <t>978-979-9475-34-3</t>
  </si>
  <si>
    <t>2x3.4 Seri Teladan Nabi Ayyub a.s - Nabi yang Sabar.jpeg</t>
  </si>
  <si>
    <t>SIMPAY BASA SUNDA 2 | KELAS VIII | ERLANGGA | KUMER</t>
  </si>
  <si>
    <t>HADIYANSYAH, S.Hum.,
DEVI UTARI, S.S</t>
  </si>
  <si>
    <t>978-623-180-494-5</t>
  </si>
  <si>
    <t>138 hlm ;
17,6 x 25 cm</t>
  </si>
  <si>
    <t>SERI TELADAN NABI HARUN A.S | PATUNG SAPI EMAS</t>
  </si>
  <si>
    <t>SIMPAY SUNDA KELAS 8.jpg</t>
  </si>
  <si>
    <t>978-979-9475-37-4</t>
  </si>
  <si>
    <t>2X3.46 Seri Teladan Nabi Harun a.s - Patung Sapi Emas.jpg</t>
  </si>
  <si>
    <t>SIMPAY BASA SUNDA 3 | KELAS IX | ERLANGGA | KUMER</t>
  </si>
  <si>
    <t>AYO, BANGUN UNTUK SHALAT SUBUH</t>
  </si>
  <si>
    <t>978-623-180-737-3</t>
  </si>
  <si>
    <t>122 hlm;
17,6 x 25 cm</t>
  </si>
  <si>
    <t xml:space="preserve">2X4.121 </t>
  </si>
  <si>
    <t>SIMPAY SUNDA KELAS 9.jpg</t>
  </si>
  <si>
    <t>SHALAT WAJIB</t>
  </si>
  <si>
    <t>DEWI ASTUTI</t>
  </si>
  <si>
    <t>MAMAN ROHIMAN</t>
  </si>
  <si>
    <t>PT. IMPERIAL BHAKTI UTAMA</t>
  </si>
  <si>
    <t>KUNCI ORANG-ORANG MASUK SURGA DAN SEGALA KENIKMATANNYA</t>
  </si>
  <si>
    <t>297.23</t>
  </si>
  <si>
    <t>ESKATOLOGI DALAM ISLAM</t>
  </si>
  <si>
    <t>ABU BAKAR, SM</t>
  </si>
  <si>
    <t>AL HIKMAH SURAKARTA</t>
  </si>
  <si>
    <t>297.23 Kunci Orang-Orang Masuk Surga dan Segala Kenikmatannya.jpg</t>
  </si>
  <si>
    <t>FAST TRACK SUMATIF SMP/MTS | MATEMATIKA | ERLANGGA</t>
  </si>
  <si>
    <t>SURATMAN, M.Pd
SLAMET RIYADI, S.Pd
FIKA ANGIA PERTIWI, S.Pd</t>
  </si>
  <si>
    <r>
      <rPr/>
      <t xml:space="preserve">TARYO, </t>
    </r>
    <r>
      <rPr>
        <color rgb="FF1155CC"/>
        <u/>
      </rPr>
      <t>S.Si</t>
    </r>
  </si>
  <si>
    <t>MULIA DENGAN TAKWA</t>
  </si>
  <si>
    <t>ETIKA ISLAM</t>
  </si>
  <si>
    <t>SHALIH BIN IBRAHIM SHALIH ALUSY SYAIKH, Dr. | ALI SHALIH AL-HAZZA</t>
  </si>
  <si>
    <t>PT. ELBA FITRAH MANDIRI SEJAHTERA</t>
  </si>
  <si>
    <t>297.5 Mulia dengan Takwa.jpg</t>
  </si>
  <si>
    <t>80 hlm ;
21 x 26 cm</t>
  </si>
  <si>
    <t>1 s/d 32</t>
  </si>
  <si>
    <t>ERLANGGA FAST TRACK SUMATIF - MATEMATIKA.jpg</t>
  </si>
  <si>
    <t>MENJAMU RAMADHAN DENGAN CINTA</t>
  </si>
  <si>
    <t>IKHSANUN KAMIL PRATAMA</t>
  </si>
  <si>
    <t>FIEDA L HASIEM</t>
  </si>
  <si>
    <t>PT TIGA SERANGKAI PUSTKA MANDIRI</t>
  </si>
  <si>
    <t>978-602-9211-65-8</t>
  </si>
  <si>
    <t>FAST TRACK SUMATIF SMP/MTS | IPA | ERLANGGA</t>
  </si>
  <si>
    <r>
      <rPr/>
      <t xml:space="preserve">SURATMAN, M.Pd,
AHADIAN NAZARUDIN LATIF, </t>
    </r>
    <r>
      <rPr>
        <color rgb="FF1155CC"/>
        <u/>
      </rPr>
      <t>S.Si</t>
    </r>
    <r>
      <rPr/>
      <t>.,M.Pd,
DONI RUSMANSYAH, S.Pd</t>
    </r>
  </si>
  <si>
    <t>PELAJARAN TAJWID PRAKTIS DAN LENGKAP</t>
  </si>
  <si>
    <r>
      <rPr/>
      <t xml:space="preserve">RESTU, </t>
    </r>
    <r>
      <rPr>
        <color rgb="FF1155CC"/>
        <u/>
      </rPr>
      <t>S.Si</t>
    </r>
  </si>
  <si>
    <t>AHMAD SOENARTO</t>
  </si>
  <si>
    <t>BINTANG TERANG</t>
  </si>
  <si>
    <t>88 hlm ;
21 x 26 cm</t>
  </si>
  <si>
    <t>ERLANGGA FAST TRACK SUMATIF - IPA.jpg</t>
  </si>
  <si>
    <t>PELAJARAN TAJWID</t>
  </si>
  <si>
    <t>A MAS'UD SJAFI'I</t>
  </si>
  <si>
    <t>PT. M.G</t>
  </si>
  <si>
    <t>FAST TRACK SUMATIF SMP.MTS | IPS | ERLANGGA</t>
  </si>
  <si>
    <t>SURATMAN, M.Pd,
DEDI, M.Pd,
HENI ENDRIYANI, M.Pd</t>
  </si>
  <si>
    <r>
      <rPr/>
      <t xml:space="preserve">PUTRI LARASATI, </t>
    </r>
    <r>
      <rPr>
        <color rgb="FF1155CC"/>
        <u/>
      </rPr>
      <t>S.Si</t>
    </r>
  </si>
  <si>
    <t>IMAN KEPADA TAKDIR</t>
  </si>
  <si>
    <t>M. ZAKA AL FARISI | ERNI ERNAWATI</t>
  </si>
  <si>
    <t>104 hlm ;
21 x 26 cm</t>
  </si>
  <si>
    <t>AULIA STUDIO</t>
  </si>
  <si>
    <t>NUANSA AULIA</t>
  </si>
  <si>
    <t>978-979-1272-17-9</t>
  </si>
  <si>
    <t>ERLANGGA FAST TRACK SUMATIF - IPS.jpg</t>
  </si>
  <si>
    <t>IMAN KEPADA ALLAH</t>
  </si>
  <si>
    <t>978-979-1272-12-4</t>
  </si>
  <si>
    <t>IMAN KEPADA HARI AKHIR</t>
  </si>
  <si>
    <t>FAST TRACK SUMATIF SMP/MTS | PENDIDIKAN PANCASILA | ERLANGGA</t>
  </si>
  <si>
    <t>SURATMAN, M.Pd,
Dra. RAHMI,
INDAH KHOIRUNNISA TOSIN, S.Pd</t>
  </si>
  <si>
    <t>PUTRI LARASATI, S.Si</t>
  </si>
  <si>
    <t>978-979-1272-16-2</t>
  </si>
  <si>
    <t>120 hlm ;
21 x 26 cm</t>
  </si>
  <si>
    <t>ERLANGGA FAST TRACK SUMATIF - PENDIDIKAN PANCASILA.jpg</t>
  </si>
  <si>
    <t>TERJEMAHAN JUZ'AMA</t>
  </si>
  <si>
    <t>ABU SABRINA</t>
  </si>
  <si>
    <t>TOKO BUKU IMAM SURABAYA</t>
  </si>
  <si>
    <t>RISALAH TEOLOGI AL MAUN</t>
  </si>
  <si>
    <t>HENDAR RIYADI</t>
  </si>
  <si>
    <t>LP3M</t>
  </si>
  <si>
    <t>FAST TRACK SUMATIF SMP/MTS | BAHASA INDONESIA | ERLANGGA</t>
  </si>
  <si>
    <t>AL MILAL WA AL NIHAL | TERJEMAHAN KITAB AL MILAL WA AL NIHAL</t>
  </si>
  <si>
    <t>SURATMAN, M.Pd,
TRISMAWATI, S.S., M.Pd,
SITI MARYATUN, S.Pd</t>
  </si>
  <si>
    <r>
      <rPr/>
      <t xml:space="preserve">RESTU, </t>
    </r>
    <r>
      <rPr>
        <color rgb="FF1155CC"/>
        <u/>
      </rPr>
      <t>S.Si</t>
    </r>
    <r>
      <rPr/>
      <t xml:space="preserve">,
TARYO, </t>
    </r>
    <r>
      <rPr>
        <color rgb="FF1155CC"/>
        <u/>
      </rPr>
      <t>S.SI</t>
    </r>
  </si>
  <si>
    <t>ASY SYAHRASTANI</t>
  </si>
  <si>
    <t>PROF. ASYWADIE SYUKUR</t>
  </si>
  <si>
    <t>PT BINA ILMU</t>
  </si>
  <si>
    <t>978-602-4222-92-5</t>
  </si>
  <si>
    <t>152 hlm ;
21 x 26 cm</t>
  </si>
  <si>
    <t>297 Al Milal Wa Al Nihal.jpg</t>
  </si>
  <si>
    <t>ERLANGGA FAST TRACK SUMATIF - BAHASA INDONESIA.jpg</t>
  </si>
  <si>
    <t>FAST TRACK SUMATIF SMP/MTS | BAHASA INGGRIS | ERLANGGA</t>
  </si>
  <si>
    <t>SEJARAH PERKEMBANGAN ISLAM</t>
  </si>
  <si>
    <t xml:space="preserve">ABBAS WAHID, N. </t>
  </si>
  <si>
    <t>MIFTAHUL HUDA</t>
  </si>
  <si>
    <t>PT. TIGA SERANGKAI PUSTAKA MANDIRI</t>
  </si>
  <si>
    <t>SURATMAN, M.Pd,
YANI MULYANI, M.Pd,
NISSA KHAIRUNNISA, S.S</t>
  </si>
  <si>
    <t>978-979-045-639-6</t>
  </si>
  <si>
    <t>LEE NORMAN SMITH</t>
  </si>
  <si>
    <t>297 Sejarah Perkembangan Islam.jpg</t>
  </si>
  <si>
    <t>112 hlm ;
21 x 26 cm</t>
  </si>
  <si>
    <t>ERLANGGA FAST TRACK SUMATIF - BAHASA INGGRIS.jpg</t>
  </si>
  <si>
    <t>AL QUR'AN YANG MENAKJUBKAN | I'JAZUL QUR'AN</t>
  </si>
  <si>
    <t>AHMAD SHALABY</t>
  </si>
  <si>
    <t>DRS. H. HUMAIDI TATAPANGARSA</t>
  </si>
  <si>
    <t>PT. BINA ILMU</t>
  </si>
  <si>
    <t>978-602-4222-85-2</t>
  </si>
  <si>
    <t>297 Al-Quran yang Menakjubkan.jpg</t>
  </si>
  <si>
    <t>BUKU INTERAKTIF - PENDIDIKAN PANCASILA | KELAS VII | KURIKULUM MERDEKA</t>
  </si>
  <si>
    <t>KHILYA FA'IZIA,
KUSMIATUN</t>
  </si>
  <si>
    <t>SIGIT DWI NURIDHA</t>
  </si>
  <si>
    <t>978-979-28-5338-4</t>
  </si>
  <si>
    <t>152 hlm;
17,6 x 25 cm</t>
  </si>
  <si>
    <t>BUKU INTERAKTIF - PENDIDIKAN PANCASILA - KELAS VII.jpg</t>
  </si>
  <si>
    <t>DO'A HARIAN DAN ADABNYA</t>
  </si>
  <si>
    <t>MULKAN HAMID &amp; MUFLIHUN MS</t>
  </si>
  <si>
    <t>CV. PUSTAKA AGUNG HARAPAN SURABAYA</t>
  </si>
  <si>
    <t>ANAK SALEH | TERJEMAHAN KITAB TARBIYATUL AULAD I</t>
  </si>
  <si>
    <t>UMAR HASYIM</t>
  </si>
  <si>
    <t>MOH. M. ARAFTULLAH</t>
  </si>
  <si>
    <t>PT. BINA ILMU OFFSET</t>
  </si>
  <si>
    <t>979-422-284-4</t>
  </si>
  <si>
    <t>297 Anak Saleh - Terjemahan Tazbiyatul Aulad 1.jpg</t>
  </si>
  <si>
    <t>BUKU INTERAKTIF - SENI TARI | KELAS VII | KURIKULUM MERDEKA</t>
  </si>
  <si>
    <t>SRIPURWANTI,
ARI SUBEKTI</t>
  </si>
  <si>
    <t>ANNISA</t>
  </si>
  <si>
    <t>978-979-28-4930-1</t>
  </si>
  <si>
    <t>64 hlm;
17,6 x 25 cm</t>
  </si>
  <si>
    <t>BUKU INTERAKTIF - SENI TARI - KELAS VII.jpg</t>
  </si>
  <si>
    <t>WANITA PENGHUNI SURGA | TERJEMAHAN KITAB AHKAMUN NISA'</t>
  </si>
  <si>
    <t>JAMALUDDIN ABDURRAHMAN IBNU jAUZI</t>
  </si>
  <si>
    <t>MUHIM K</t>
  </si>
  <si>
    <t>978-602-4222-94-1</t>
  </si>
  <si>
    <t>297 Wanita Penghuni Surga.jpg</t>
  </si>
  <si>
    <t>BUKU INTERAKTIF - BAHASA INDONESIA | KELAS VII | KURIKULUM MERDEKA</t>
  </si>
  <si>
    <t>ARIFAH RIZKY AVILIYAH,
ERLINA NOVITAMI</t>
  </si>
  <si>
    <t>EVA FITRIANA SUSANTI,
Y. BUDI ARTATI</t>
  </si>
  <si>
    <t>978-979-28-4612-6</t>
  </si>
  <si>
    <t>138 hlm;
17,6 x 25 cm</t>
  </si>
  <si>
    <t>1 s/d 98</t>
  </si>
  <si>
    <t>BUKU INTERAKTIF - BAHASA INDONESIA - KELAS VII.jpg</t>
  </si>
  <si>
    <t>BUKU SERI AKHLAK MULIA SEHAT ITU NIKMAT</t>
  </si>
  <si>
    <t>ACHMAD MUBAROK, M.A, Prof. Dr. - Hj SRI MINTARTI, S.Pd</t>
  </si>
  <si>
    <t>RISMA RISMAWATI</t>
  </si>
  <si>
    <t>978-602-8147-19-4</t>
  </si>
  <si>
    <t>Akhlak Mulia Sehat Itu Nikmat.jpg</t>
  </si>
  <si>
    <t>BUKU INTERAKTIF - ENGLISH STARTER - ENGLISH FOR SMP | KELAS VII | KURIKULUM MERDEKA</t>
  </si>
  <si>
    <t>BACHTIAR BIMA M,
E. NIRMALA KUSUMANING AYU,
YUNIARTI DWI ARINI</t>
  </si>
  <si>
    <t>CICIK KURNIAWATI,
SUSININGSIH,
DEBY SELVIA R. NURVITASARI</t>
  </si>
  <si>
    <t>978-979-82-4646-1</t>
  </si>
  <si>
    <t>138 hlm;
17.6 x 25 cm</t>
  </si>
  <si>
    <t>BUKU INTERAKTIF - ENGLISH STARTER - KELAS 7.jpg</t>
  </si>
  <si>
    <t>JANGAN BERSEDIH! (INTISARI LA TAHZAN)</t>
  </si>
  <si>
    <t xml:space="preserve">AIDH AL-QARNI, DR </t>
  </si>
  <si>
    <t>ISFAIYYAH</t>
  </si>
  <si>
    <t>LINTAS MEDIA</t>
  </si>
  <si>
    <t>297 Jangan Bersedih! (Intisari La Tahzan).jpg</t>
  </si>
  <si>
    <t>BUKU INTERAKTIF - IPA | KELAS VII | KURIKULUM MERDEKA</t>
  </si>
  <si>
    <t>ERA PRIHAMITA,
TEO SUKOCO,
JANEE MAUREEN</t>
  </si>
  <si>
    <t>GALIH PERDANA PUTRA,
SITI NURHIDAYAH,
RISHA RAHMAWATI</t>
  </si>
  <si>
    <t>978-979-28-4614-0</t>
  </si>
  <si>
    <t>202 hlm;
17,6 x 25 cm</t>
  </si>
  <si>
    <t>1 s/d 95</t>
  </si>
  <si>
    <t>BUKU INTERAKTIF - IPA - KELAS VII.jpg</t>
  </si>
  <si>
    <t>MENELADANI 99 SIFAT ALLAH 1</t>
  </si>
  <si>
    <t>TIM AL-FIRDAUS</t>
  </si>
  <si>
    <t>FIEDHA'L HASIEM
TIARA D ANDARASTUTI</t>
  </si>
  <si>
    <t>297 Meneladani 99 Sifat Allah 1.jpg</t>
  </si>
  <si>
    <t>BUKU INTERAKTIF - IPS | KELAS VII | KURIKULUM MERDEKA</t>
  </si>
  <si>
    <t>FARIDA RAHMAWATI,
RINGO RAHATA,
RENDRA PRIMANDA WARDANA</t>
  </si>
  <si>
    <t>ISNA NUR SAID</t>
  </si>
  <si>
    <t>978-979-28-4616-4</t>
  </si>
  <si>
    <t>154 hlm,
17,6 X 25 CM</t>
  </si>
  <si>
    <t>1 s/d 97</t>
  </si>
  <si>
    <t>BUKU INTERAKTIF - IPS - KELAS VII.jpg</t>
  </si>
  <si>
    <t>KEHIDUPAN PARA SAHABAT RASULULLAH JILID 1 | TERJEMAHAN KITAB HAYATUS SHOHABAH 1</t>
  </si>
  <si>
    <t xml:space="preserve">YUSUF AL KANDAHLAWI, M. </t>
  </si>
  <si>
    <t>978-602-4222-89-5</t>
  </si>
  <si>
    <t>297 Kehidupan Para Sahabat Rasulullah jld 1.jpg</t>
  </si>
  <si>
    <t>BUKU INTERAKTIF - INFORMATIKA | KELAS VII | KURIKULUM MERDEKA</t>
  </si>
  <si>
    <t>GALIH PANGESTHI,
TRIYANTI</t>
  </si>
  <si>
    <t>DWI APRILIA WATI,
YUNITA NOVASARI</t>
  </si>
  <si>
    <t>978-979-28-4628-7</t>
  </si>
  <si>
    <t>BUKU INTERAKTIF - INFORMATIKA - KELAS VII.jpg</t>
  </si>
  <si>
    <t>HAKEKAT PENGHAMBAAN MANUSIA KEPADA ALLAH | TERJEMAHAN KITAB AL UBUDIYAH</t>
  </si>
  <si>
    <t>IBNU TAIMIYAH</t>
  </si>
  <si>
    <t>MU'AMMAL HAMIDY, LC</t>
  </si>
  <si>
    <t>978-602-4222-98-4</t>
  </si>
  <si>
    <t>297 Hakekat Penghambaan Manusia Kepada Allah.jpg</t>
  </si>
  <si>
    <t>BUKU INTERAKTIF - MATEMATIKA | KELAS VII | KURIKULUM MERDEKA</t>
  </si>
  <si>
    <t>SUPARNO,
MIYANTO,
NOVIANA ENDAH SANTOSO</t>
  </si>
  <si>
    <t>ANNA YUNI ASTUTI,
MUKLIS,
DINI FIMA UDARI</t>
  </si>
  <si>
    <t>978-979-28-4618-8</t>
  </si>
  <si>
    <t>154 hlm;
17,6 x 25 cm</t>
  </si>
  <si>
    <t>BUKU INTERAKTIF - MATEMATIKA - KELAS VII.jpg</t>
  </si>
  <si>
    <t>MISTERI TANGAN KANAN | TERJEMAHAN KITAB ASHABUL YAMIN</t>
  </si>
  <si>
    <t>AHMAD SYARIFUDIN</t>
  </si>
  <si>
    <t>978-602-4222-86-0</t>
  </si>
  <si>
    <t>297 Misteri Tangan Kanan.jpg</t>
  </si>
  <si>
    <t>BUKU INTERAKTIF - PAI DAN BUDI PEKERTI | KELAS VII | KURIKULUM MERDEKA</t>
  </si>
  <si>
    <t>ARIEF NUR RAHMAN AL AZIIZ,
YUDI ARI SETIAWAN</t>
  </si>
  <si>
    <t>MUHAMMAD NUR FADHLI</t>
  </si>
  <si>
    <t>978-979-28-4648-5</t>
  </si>
  <si>
    <t>114 hlm;
17,6 x 25 cm</t>
  </si>
  <si>
    <t>BUKU INTERAKTIF - PAI DAN BUDI PEKERTI - KELAS VII.jpg</t>
  </si>
  <si>
    <t>TEMPAT-TEMPAT BERSEJARAH DI TANAH HARAM</t>
  </si>
  <si>
    <t>297.6</t>
  </si>
  <si>
    <t>TEMPAT SUCI DALAM ISLAM</t>
  </si>
  <si>
    <t>BARMIN</t>
  </si>
  <si>
    <t>TIM EDITOR AGAMA</t>
  </si>
  <si>
    <t>978-979-045-543-6</t>
  </si>
  <si>
    <t>297.6 Tempat-Tempat Bersejarah di Tanah Haram.jpg</t>
  </si>
  <si>
    <t>BUKU INTERAKTIF - PJOK | KELAS VII | KURIKULUM MERDEKA</t>
  </si>
  <si>
    <t>M. R. ARIA LUQONI,
M. AKMAL ZAIN,
ROFIDA UMAYA</t>
  </si>
  <si>
    <t>ARY SETYANINGSIH</t>
  </si>
  <si>
    <t>978-979-28-4650-8</t>
  </si>
  <si>
    <t>106 hlm,
17,6 x 25 cm</t>
  </si>
  <si>
    <t>MA'RIFATULLAH WA MA'RIFATUL RASUL | TERJAMAHAN KITAB AQIDATUL AWWAM</t>
  </si>
  <si>
    <t>BUKU INTERAKTIF - PJOK - KELAS VII.jpg</t>
  </si>
  <si>
    <t>297.1</t>
  </si>
  <si>
    <t>SUMBER-SUMBER AGAMA ISLAM, KITAB SUCI AGAMA ISLAM</t>
  </si>
  <si>
    <t>MUSTAFA ZAHRI</t>
  </si>
  <si>
    <t>978-602-4222-00-0</t>
  </si>
  <si>
    <t>297.1 Ma'rifatullah wa ma'rifatul rasul.jpg</t>
  </si>
  <si>
    <t>ADAB ANAK MUSLIM</t>
  </si>
  <si>
    <t>THARSYA REISKYANNA</t>
  </si>
  <si>
    <t>99 s/d 100</t>
  </si>
  <si>
    <t>SUFTY NURRAHMARTIYANTI</t>
  </si>
  <si>
    <t>CV. TEMAN BELAJA</t>
  </si>
  <si>
    <t>978-602-9107-00-5</t>
  </si>
  <si>
    <t>297 Adan Anak Muslim.jpg</t>
  </si>
  <si>
    <t>96 s/d 100</t>
  </si>
  <si>
    <t>KESEIMBANGAN PENINGKATAN IMTAK DENGAN PENGUASAAN IPTEK</t>
  </si>
  <si>
    <t>AGUSTAMI, S.Pd</t>
  </si>
  <si>
    <t>SAN WILANTARA</t>
  </si>
  <si>
    <t>PT DIAN ARIESTA</t>
  </si>
  <si>
    <t>979-337-13-7</t>
  </si>
  <si>
    <t>KEHIDUPAN PARA SAHABAT RASULULLAH JILID 2 | TERJEMAHAN KITAB HAYATUS SHOHABAH 2</t>
  </si>
  <si>
    <t>98 s/d 100</t>
  </si>
  <si>
    <t>BEY ARIFIN, dkk</t>
  </si>
  <si>
    <t>978-602-4222-90-9</t>
  </si>
  <si>
    <t>297 Kehidupan Para Sahabat Rasulullah jld 2.jpg</t>
  </si>
  <si>
    <t>252 s/d 319</t>
  </si>
  <si>
    <t>MAHKOTA SURGA AYAH BUNDA |TERJEMAHAN  TARBIYATUL AULAD 2</t>
  </si>
  <si>
    <t>282 s/d 315</t>
  </si>
  <si>
    <t>MOH. M. ARAFATULLAH</t>
  </si>
  <si>
    <t>978-602-4222-87-9</t>
  </si>
  <si>
    <t>297 Mahkota Surga Ayah Bunda.jpg</t>
  </si>
  <si>
    <t>AYO MENGENAL SEJARAH PENINGGALAN ISLAM</t>
  </si>
  <si>
    <t>SEJARAH ISLAM</t>
  </si>
  <si>
    <t>LUFTI AVIANTO</t>
  </si>
  <si>
    <t>BAMBANG W.</t>
  </si>
  <si>
    <t>PT MEDIANTARA SEMESTA</t>
  </si>
  <si>
    <t>978-602-8489-00-3</t>
  </si>
  <si>
    <t>297.6 Ayo Mengenal Sejarah Peninggalan Islam.jpg</t>
  </si>
  <si>
    <t>BUKU SERI AKHLAK MULIA RUMAHKU SURGAKU</t>
  </si>
  <si>
    <t>PROF. DR. ACHMAD MUBAROK, M.A &amp; ASY'ARI, S.Pd., M.Pd</t>
  </si>
  <si>
    <t>JUWARIAH</t>
  </si>
  <si>
    <t>978-602-8147-20-0</t>
  </si>
  <si>
    <t>297 Akhlak Mulia Rumahku Surgaku.jpg</t>
  </si>
  <si>
    <t>KODING DAN KECERDASAN ARTIFISIAL | KELAS  VII</t>
  </si>
  <si>
    <t>BUKU TEKS PENDAMPING</t>
  </si>
  <si>
    <t>PETRUS CLEVER K</t>
  </si>
  <si>
    <t>MENGENAL JIHAD MENELUSURI MAKNA JIHAD KONTEKS MODERN</t>
  </si>
  <si>
    <t>RENI PUSPITA SARI</t>
  </si>
  <si>
    <t>978-623-8779-83-5</t>
  </si>
  <si>
    <t>182 hlm;
18 cm x 25 cm</t>
  </si>
  <si>
    <t>RUDI SYAHABUDDIN &amp; HIKA D. ASRIL PUTRA</t>
  </si>
  <si>
    <t>ENDAH RUKMINI W.</t>
  </si>
  <si>
    <t>CV BINAMUDA CIPTAKREASI</t>
  </si>
  <si>
    <t>978-602-8823-19-7</t>
  </si>
  <si>
    <t>KODING DAN KECERDASAN ARTIFISIAL kelas VII.jpg</t>
  </si>
  <si>
    <t>IMAN KEPADA MALAIKAT</t>
  </si>
  <si>
    <t>M. ZAKA AL FARISI - ERNI ERNAWATI</t>
  </si>
  <si>
    <t>CV NUANSA AULIA</t>
  </si>
  <si>
    <t>979-1272-13-1</t>
  </si>
  <si>
    <t>SMART KIDS LOVE HADIST | KUMPULAN HADIS PILIHAN UNTUK ANAK</t>
  </si>
  <si>
    <t>ANITA HAIRUNNISA</t>
  </si>
  <si>
    <t>LESSA OKTAPIANI</t>
  </si>
  <si>
    <t>PT GRAFINDO MEDIA PRATAMA</t>
  </si>
  <si>
    <t>136 hlm; 19x24 cm</t>
  </si>
  <si>
    <t>297 Smart Kids Love Hadist.jpg</t>
  </si>
  <si>
    <t>MENGHORMATI ORANG TUA</t>
  </si>
  <si>
    <t>REDI NUGROHO,
ROSANI OKTAVIANI</t>
  </si>
  <si>
    <t>291 s/d 300</t>
  </si>
  <si>
    <t>ENTANG SUHERMAN</t>
  </si>
  <si>
    <t>PT KARYA KITA</t>
  </si>
  <si>
    <t>297 Menghormati Orangtua.jpg</t>
  </si>
  <si>
    <t>SUATU PERJALANAN SPIRITUAL | ADA APA DENGAN DIRIKU</t>
  </si>
  <si>
    <t>SYAIFUL KARIM</t>
  </si>
  <si>
    <t>GERI ACHMADI</t>
  </si>
  <si>
    <t>297 Suatu Perjalanan Spiritual Ada Apa dengan Diriku?.jpg</t>
  </si>
  <si>
    <t>266 s/d 275</t>
  </si>
  <si>
    <t>DETIK-DETIK TKA BAHASA INDONESIA UNTUK SMP/MTs</t>
  </si>
  <si>
    <t>ANISA LESTARI
ERINA NOVITAMI</t>
  </si>
  <si>
    <t>ADINDA RISQI AULIA
EVA FITRIANA SUSANTI</t>
  </si>
  <si>
    <t>INTAN PARIWARA EDUKASI</t>
  </si>
  <si>
    <t>978-979-28-5797-9</t>
  </si>
  <si>
    <t>152 hlm;
20,3 x 28 cm</t>
  </si>
  <si>
    <t>1 s/d 130</t>
  </si>
  <si>
    <t>Detik-Detik TKA - Bahasa Indonesia.jpg</t>
  </si>
  <si>
    <t>KURBAN PENGABDIAN SEPANJANG ZAMAN</t>
  </si>
  <si>
    <t>AHMAD DIMYATI</t>
  </si>
  <si>
    <t>187 / A5</t>
  </si>
  <si>
    <t>297 Kurban Pengabdian Sepanjang Zaman.jpg</t>
  </si>
  <si>
    <t>DETIK-DETIK TKA MATEMATIKA UNTUK SMP/MTs</t>
  </si>
  <si>
    <t xml:space="preserve">IX </t>
  </si>
  <si>
    <t>MIYANTO,
NGAPININGSIH</t>
  </si>
  <si>
    <t>DINI FIMA UDARI
NOVIANA ENDAH SANTOSO</t>
  </si>
  <si>
    <t>978-979-28-5795-5</t>
  </si>
  <si>
    <t>Detik-Detik TKA - Matematika.jpg</t>
  </si>
  <si>
    <t>ADA PELANGI DI BALIK HUJAN</t>
  </si>
  <si>
    <t>SATRIA NOVA</t>
  </si>
  <si>
    <t>ABU MUMTAZA</t>
  </si>
  <si>
    <t>MIZANIA</t>
  </si>
  <si>
    <t>MENYIMAK KISAH KEHIDUPAN NABI KHIDIR</t>
  </si>
  <si>
    <t>MOH. FATHOR ROIS</t>
  </si>
  <si>
    <t>ZAMAN</t>
  </si>
  <si>
    <t>297 Menyimak Kisah dan Hikmah Kehidupan Nabi Khidir.jpg</t>
  </si>
  <si>
    <t>LITERASI BUKU BAHAYA NARKOBA 1</t>
  </si>
  <si>
    <t>CV. RAHMA MEDIA PUSTAKA</t>
  </si>
  <si>
    <t>17,6 x 25 cm</t>
  </si>
  <si>
    <t>1 s/d 25</t>
  </si>
  <si>
    <t>LITERASI BUKU BAHAYA NARKOBA 2</t>
  </si>
  <si>
    <t>CV. SUARA MEDIA SEJAHTERA</t>
  </si>
  <si>
    <t>26 s/d 50</t>
  </si>
  <si>
    <t>SERI TELADAN NABI - YAHYA A.S - MENENTANG RAJA</t>
  </si>
  <si>
    <t>131 s/d 200</t>
  </si>
  <si>
    <t>ASEP T. TURYANA</t>
  </si>
  <si>
    <t>PT. GENESINDO</t>
  </si>
  <si>
    <t>297 Seri Teladan Nabi Yahya a.s - Menentang Raja.jpg</t>
  </si>
  <si>
    <t>LITERASI BUKU BAHAYA NARKOBA</t>
  </si>
  <si>
    <t>BUKU LITERASI</t>
  </si>
  <si>
    <t>ADA SURGA DI TAPAK KAKI IBU - KADO TERINDAH UNTUK IBU TERCINTA</t>
  </si>
  <si>
    <t>LITERASI BUKU ANTI KORUPSI SD/SMP A</t>
  </si>
  <si>
    <t>MOKH. SYAIFUL BAKHRI</t>
  </si>
  <si>
    <t>ACHMAD TA'YUDIN,
ARUM TITISARI,
SINGGIH AGUNG</t>
  </si>
  <si>
    <t>LITERASI BUKU BUDIDAYA DAN KESEHATAN SMP/SMA/SMKNPAKET B</t>
  </si>
  <si>
    <t>SERI TELADAN NABI - ZULKIFLY A.S - MEMEGANG JANJI</t>
  </si>
  <si>
    <t>LITERASI BUKU PENGOLAHAN LIMBAH, KEWIRAUSAHAAN, DAN PENDALAMAN KARAKTER SMP/MTs PAKET B</t>
  </si>
  <si>
    <t>PRAKARYA SMP/MTs KELAS VII</t>
  </si>
  <si>
    <t>325 CONTOH KALIGRAFI ARAB</t>
  </si>
  <si>
    <t>WINWIN WIANA,
WIJAYANTI NINGSIH,
MUTIARA RIZKA FITRIANI</t>
  </si>
  <si>
    <t>WIENDA SWASTIKA
GALIH AHMAD FAUZI
LINDA TRI WULANDARI</t>
  </si>
  <si>
    <t>GRAFINDO MEDIA PRATAMA</t>
  </si>
  <si>
    <t>978-602-01-3319-5</t>
  </si>
  <si>
    <t xml:space="preserve">MISBACHUL MUNIR, M. </t>
  </si>
  <si>
    <t>xiv, 234 hlm.; 
17,6 x 25 cm</t>
  </si>
  <si>
    <t>APOLLO - SURABAYA</t>
  </si>
  <si>
    <t>1 s/d 20</t>
  </si>
  <si>
    <t>Buku Paket Prakarya Grafindo kelas VII - Halaman 1.jpg</t>
  </si>
  <si>
    <t>PRAKARYA SMP/MTs KELAS VIII</t>
  </si>
  <si>
    <t>WINWIN WIANA,
MANDHE SEKAR NURINDAH,
MUTIARA ANNANDARA,
DWIKI ARYANA,
WIJAYANTI NINGSIH</t>
  </si>
  <si>
    <t>WIENDA SWASTIKA,
SHANTI NUR FAJRIYATI,
RANI APRIYANI SUJADI</t>
  </si>
  <si>
    <t>978-602-01-3378-2</t>
  </si>
  <si>
    <t>xii, 236 hlm.;
17,6 x 25 cm</t>
  </si>
  <si>
    <t>Buku Paket Prakarya Grafindo Kelas VIII - Halaman 2.jpg</t>
  </si>
  <si>
    <t>PRAKARYA SMP/MTs KELAS IX</t>
  </si>
  <si>
    <t>WIENDA SWASTIKA,
PUNGKAS WIJASMORO,
DINA DANIATI</t>
  </si>
  <si>
    <t>978-602-01-3411-6</t>
  </si>
  <si>
    <t>BAHASA INDONESIA SMP/MTs KELAS VII (EDISI REVISI)</t>
  </si>
  <si>
    <t>EUGENIA RAKHMA SUBARNA, 
SOFIE DEWAYANI, 
CICILIA ERNI SETYOWATI</t>
  </si>
  <si>
    <t>PUSAT KURIKULUM DAN PERBUKUAN</t>
  </si>
  <si>
    <t>978-623-118-368-2</t>
  </si>
  <si>
    <t>258 hlm.
17,6 x 25 cm</t>
  </si>
  <si>
    <t>MATEMATIKA SMP/MTs KELAS VII (EDISI REVISI)</t>
  </si>
  <si>
    <t>DICKY SUSANTO, DKK.</t>
  </si>
  <si>
    <t>978-602-244-883-9</t>
  </si>
  <si>
    <t>250 hlm
17,6 x 25 cm</t>
  </si>
  <si>
    <t>ILMU PENGETAHUAN ALAM (IPA) SMP/MTs KELAS VII (EDISI REVISI)</t>
  </si>
  <si>
    <t>VICTORIANI INABUY, DKK.</t>
  </si>
  <si>
    <t>978-623-118-455-9</t>
  </si>
  <si>
    <t>264 hlm.
17,6 x 25 cm</t>
  </si>
  <si>
    <t>ILMU PENGETAHUAN SOSIAL (IPS) SMP/MTs KELAS VII (EDISI REVISI)</t>
  </si>
  <si>
    <t>MUHAMMAD NURSA'BAN SUPARDI</t>
  </si>
  <si>
    <t>978-623-118-434-4</t>
  </si>
  <si>
    <t>INFORMATIKA SMP/MTs KELAS VII (EDISI REVISI)</t>
  </si>
  <si>
    <t>MARESHA CAROLINE WIJANTO, DKK</t>
  </si>
  <si>
    <t>978-623-118-481-8</t>
  </si>
  <si>
    <t>1 s/d 270</t>
  </si>
  <si>
    <t>BUKU KOLEKSI</t>
  </si>
  <si>
    <t>297 325 Contoh Kaligrafi Arab.jpg</t>
  </si>
  <si>
    <t>SERI TELADAN NABI - MUHAMMAD SAW - KELAHIRAN YANG AGUNG - THE GREAT BIRTH</t>
  </si>
  <si>
    <t>2x3,4</t>
  </si>
  <si>
    <t>2X3.4 SERI TELADAN NABI - MUHAMMAD SAW - KELAHIRAN YANG AGUNG - THE GREAT BIRTH.jpg</t>
  </si>
  <si>
    <t>KUMPULAN 1001 DO'A SIANG MALAM</t>
  </si>
  <si>
    <t>S.A.ALAYDRUS</t>
  </si>
  <si>
    <t>HUSAINI BANDUNG</t>
  </si>
  <si>
    <t>48 hlm</t>
  </si>
  <si>
    <t>JUZ'AMMA - TARJAMAH INDONESIA HURUF ARAB-LATIN</t>
  </si>
  <si>
    <t>A.A. DAHLAN</t>
  </si>
  <si>
    <t>TOKO BUKU DAHLAN BANDUNG</t>
  </si>
  <si>
    <t>72 hlm</t>
  </si>
  <si>
    <t>SPIRITUAL TRAVELLER</t>
  </si>
  <si>
    <t xml:space="preserve">MUHAMMAD AL-TIJANI AL-SAMAWI, Dr. </t>
  </si>
  <si>
    <t>PUSAT KAJIAN TASAWUF MISYKAT</t>
  </si>
  <si>
    <t>297 Spiritual Traveller.jpg</t>
  </si>
  <si>
    <t>KUMPULAN KALIGRAFI ISLAM</t>
  </si>
  <si>
    <t>M. MISBACHUL MUNIR</t>
  </si>
  <si>
    <t>DARSONO</t>
  </si>
  <si>
    <t>APOLLO</t>
  </si>
  <si>
    <t>978-602-98062-0-5</t>
  </si>
  <si>
    <t>KHADIJAH AL-KUBRA</t>
  </si>
  <si>
    <t>IMAN BUDHI SANTOSA</t>
  </si>
  <si>
    <t>FAUZUL AKBAR MUHAMMAD</t>
  </si>
  <si>
    <t>PUSTAKA INSAN MADANI</t>
  </si>
  <si>
    <t>978-979-026-022-1</t>
  </si>
  <si>
    <t>297.6 Khadijah Al-Kubra.jpg</t>
  </si>
  <si>
    <t>DIMANA MUHAMMAD</t>
  </si>
  <si>
    <t>ABDULLAH MUSTOPPA</t>
  </si>
  <si>
    <t>BUDI RIYANTO</t>
  </si>
  <si>
    <t>297 Dimana Muhammad.jpg</t>
  </si>
  <si>
    <t>TAREH RASULULLAH</t>
  </si>
  <si>
    <t>2X3.4</t>
  </si>
  <si>
    <t>2x3.4 Tareh Rasulullah.jpg</t>
  </si>
  <si>
    <t>KHADIJAH</t>
  </si>
  <si>
    <t>SIBEL ERASLAN</t>
  </si>
  <si>
    <t>KAYSA MEDIA</t>
  </si>
  <si>
    <t>978-979-1479-63-9</t>
  </si>
  <si>
    <t>KAMUS SEJARAH AGAMA ISLAM | NAMA, KRONOLOGI, PERISTIWA</t>
  </si>
  <si>
    <t>297.03</t>
  </si>
  <si>
    <t>KAMUS AGAMA ISLAM</t>
  </si>
  <si>
    <t>SYARIF YAHYA</t>
  </si>
  <si>
    <t>IRWAN KURNIAWAN</t>
  </si>
  <si>
    <t>297.03 KAMUS SEJARAH AGAMA ISLAM | NAMA, KRONOLOGI, PERISTIWA.jpg</t>
  </si>
  <si>
    <t>TINTA HITAM AKHIR ZAMAN</t>
  </si>
  <si>
    <t>HASAN JAYLANI</t>
  </si>
  <si>
    <t>SYURA MEDIA UTAMA</t>
  </si>
  <si>
    <t>297 Tinta Hitam Akhir Zaman.jpg</t>
  </si>
  <si>
    <t>KAMUS BIOLOGI</t>
  </si>
  <si>
    <t>MIEN A. RAFAI</t>
  </si>
  <si>
    <t>PT. BALAI PUSTAKA</t>
  </si>
  <si>
    <t>979-666-293-0</t>
  </si>
  <si>
    <t>512 hlm;
22 cm</t>
  </si>
  <si>
    <t>570 Kamus Biologi.jpgg</t>
  </si>
  <si>
    <t>MEMBUMIKAN CINTA</t>
  </si>
  <si>
    <t>YUS IBNU YASIN</t>
  </si>
  <si>
    <t>ADE DAMAYANTI</t>
  </si>
  <si>
    <t>PT ARGA TILANTA</t>
  </si>
  <si>
    <t>978-979-13285-4-8</t>
  </si>
  <si>
    <t>297 Membumikan Cinta.jpg</t>
  </si>
  <si>
    <t>SERI TELADAN NABI | NABI YAQUB A.S | KELUARGA BANI ISRAIL</t>
  </si>
  <si>
    <t xml:space="preserve">2X3.46 </t>
  </si>
  <si>
    <t>978-979-9475-32-9</t>
  </si>
  <si>
    <t>23 hlm</t>
  </si>
  <si>
    <t>MENGUNGKAP TUNTAS MAKNA JIHAD DAN PELAKSANAANNYA</t>
  </si>
  <si>
    <t>297.72</t>
  </si>
  <si>
    <t>JIHAD</t>
  </si>
  <si>
    <t>MUHAMMAD DZAKY</t>
  </si>
  <si>
    <t>PT GADING INTI PRIMA</t>
  </si>
  <si>
    <t>297.72 Mengungkap Tuntas Makna Jihad dan Pelaksanaannya.jpg</t>
  </si>
  <si>
    <t>MODUL &amp; SUPLEMEN BAHAN AJAR | PENDIDIKAN AGAMA KRISTEN &amp; BUDI PEKERTI</t>
  </si>
  <si>
    <t>PENDIDIKAN</t>
  </si>
  <si>
    <t>MARGIOT TUA BUTARBUTAR, S.PAK.
STEPANUS, MTH</t>
  </si>
  <si>
    <t>PT BPK GUNUNG MULIA</t>
  </si>
  <si>
    <t>132 hlm; 27,5 cm</t>
  </si>
  <si>
    <t>370 Modul &amp; Suplemen Bahan Ajar - Pendidikan Agama Kristen &amp; Budi Pekerti.jpg</t>
  </si>
  <si>
    <t>WASIAT SANG AYAH</t>
  </si>
  <si>
    <t>ABDULLAH MAGHANI</t>
  </si>
  <si>
    <t>978-979-3259-92-5</t>
  </si>
  <si>
    <t>58 hlm;  21 cm</t>
  </si>
  <si>
    <t>MENELADANI 99 SIFAT ALLAH 3</t>
  </si>
  <si>
    <t>297 Meneladani 99 Sifat Allah 3.jpg</t>
  </si>
  <si>
    <t>TERJEMAH JUZ' AMMA</t>
  </si>
  <si>
    <t>Ust. MUHAMMAD AYYUBI</t>
  </si>
  <si>
    <t>NABI HUD A.S - PROPHET HUD AS</t>
  </si>
  <si>
    <t>IBNU MUHIDIN</t>
  </si>
  <si>
    <t>TIM BINTANG INDONESIA, JAKARTA</t>
  </si>
  <si>
    <t>BINTANG INDONESIA</t>
  </si>
  <si>
    <t>METODOLOGI PEMBELAJARAN BAHASA INDONESIA 1</t>
  </si>
  <si>
    <t>371.3</t>
  </si>
  <si>
    <t>METODOLOGI PEMBELAJARAN</t>
  </si>
  <si>
    <t>YAYAH ROKAYAH
ENUNG TITIN. A</t>
  </si>
  <si>
    <t>TIM GENESINDO</t>
  </si>
  <si>
    <t>GENESINDO</t>
  </si>
  <si>
    <t>371.3 Metodologi Pembelajaran Bahasa Indonesia 1.jpg</t>
  </si>
  <si>
    <t>METODOLOGI PEMBELAJARAN BAHASA INDONESIA 2</t>
  </si>
  <si>
    <t>371.3 Metodologi Pembelajaran Bahasa Indonesia 2.jpg</t>
  </si>
  <si>
    <t>KEBUTUHAN WARGA NEGARA</t>
  </si>
  <si>
    <t>323.6</t>
  </si>
  <si>
    <t>KEWARGANEGARAAN</t>
  </si>
  <si>
    <t>PROF.DR.DASIM BUDIMANSYAH,M.Si.</t>
  </si>
  <si>
    <t>323.6 Kebutuhan Warga Negara.jpg</t>
  </si>
  <si>
    <t>AMANDEMEN UUD 1945</t>
  </si>
  <si>
    <t>342.03</t>
  </si>
  <si>
    <t>REVISI UNDANG-UNDANG DASAR, AMANDEMEN UNDANG-UNDANG DASAR</t>
  </si>
  <si>
    <t>342.03 Amandemen UUD 1945.jpg</t>
  </si>
  <si>
    <t>BAGAIMANA MENJADI GURU PENULIS?</t>
  </si>
  <si>
    <t>371.1</t>
  </si>
  <si>
    <t>GURU, TENAGA PENDIDIK, TENAGA PENGAJAR</t>
  </si>
  <si>
    <t>CEPI TRIATNA</t>
  </si>
  <si>
    <t>RIDASWATI &amp; AHMAD SARIPUDIN</t>
  </si>
  <si>
    <t>CV. CITRA PRAYA</t>
  </si>
  <si>
    <t>978-979-035-028-1</t>
  </si>
  <si>
    <t>WIKIPEDIA UNTUK GURU</t>
  </si>
  <si>
    <t>TAUFANI C.K.</t>
  </si>
  <si>
    <t>RISDAWATI</t>
  </si>
  <si>
    <t>GLOBALINDO</t>
  </si>
  <si>
    <t>978-979-749-125-3</t>
  </si>
  <si>
    <t>ADIL TANPA PANDANG BULU</t>
  </si>
  <si>
    <t>340.5</t>
  </si>
  <si>
    <t>SISTEM HUKUM</t>
  </si>
  <si>
    <t>ARIF SUPRIIYONO</t>
  </si>
  <si>
    <t>TONI KURNIA</t>
  </si>
  <si>
    <t>PT. REMAJA ROSDAKARYA</t>
  </si>
  <si>
    <t>979-692-940-6</t>
  </si>
  <si>
    <t>200 hlm;
21 cm</t>
  </si>
  <si>
    <t>340.5 Adil Tanpa Pandang Bulu.jpg</t>
  </si>
  <si>
    <t>MELESTARIKAN KARAKTER BANGSA INDONESIA</t>
  </si>
  <si>
    <t>300</t>
  </si>
  <si>
    <t>SOSIOLOGI DAN ANTROPOLOGI</t>
  </si>
  <si>
    <t>TIM EDITOR PARIPUSTAKA</t>
  </si>
  <si>
    <t>978-602-8712-44-6</t>
  </si>
  <si>
    <t>106 / A5</t>
  </si>
  <si>
    <t>300 Melestarikan Karakter Bangsa Indonesia.jpg</t>
  </si>
  <si>
    <t>SIAPA MAU BONUS? PELUANG DEMOGRAFI INDONESIA</t>
  </si>
  <si>
    <t>304.6</t>
  </si>
  <si>
    <t>DEMOGRAFI, PENDUDUK, ILMU KEPENDUDUKAN</t>
  </si>
  <si>
    <t>KOMINFO</t>
  </si>
  <si>
    <t>304.6 Siapa Mau Bonus? Peluang Demografi Indonesia.jpg</t>
  </si>
  <si>
    <t>MEMBERDAYAKAN EKONOMI RAKYAT KECIL</t>
  </si>
  <si>
    <t>330.9598</t>
  </si>
  <si>
    <t>SITUASI DAN KONDISI EKONOMI DI INDONESIA</t>
  </si>
  <si>
    <t>HIKMAT KUSUMADININGRAT</t>
  </si>
  <si>
    <t>TONI KURNIA
PIPIH LATIFAH
DARIS EFENDI
NIA</t>
  </si>
  <si>
    <t>ROSDA</t>
  </si>
  <si>
    <t>330.9598 Memberdayakan Ekonomi Rakyat Kecil.jpg</t>
  </si>
  <si>
    <t>HUKUM LAUT DAN PERATURAN PERIKANAN</t>
  </si>
  <si>
    <t>HUKUM INTERNASIONAL KELAUTAN</t>
  </si>
  <si>
    <t>DIYAN</t>
  </si>
  <si>
    <t>CV. KARYA PUTRA DARWATI</t>
  </si>
  <si>
    <t>137 hlm</t>
  </si>
  <si>
    <t>341.448 Hukum Laut dan Peraturan Perikanan.jpg</t>
  </si>
  <si>
    <t>PANDUAN PELAKSANAAN KEPRAMUKAAN DI SEKOLAH MENENGAH PERTAMA</t>
  </si>
  <si>
    <t>369.43</t>
  </si>
  <si>
    <t>PRAMUKA, PANDU, PECINTA ALAM</t>
  </si>
  <si>
    <t>DEPARTEMEN PENDIDIKAN NASIONAL</t>
  </si>
  <si>
    <t>369.43 Panduan Pelaksanaan Kepramukaan di Sekolah Menengah Pertama.jpg</t>
  </si>
  <si>
    <t>DIPLOMASI DAMAI</t>
  </si>
  <si>
    <t>327.2</t>
  </si>
  <si>
    <t>POLITIK DIPLOMASI</t>
  </si>
  <si>
    <t>MOHAMMAD SHOELHI</t>
  </si>
  <si>
    <t>979-692-943-0</t>
  </si>
  <si>
    <t>327.2 Diplomasi Damai.jpg</t>
  </si>
  <si>
    <t>PERANGKO SEBAGAI PENYEBAR INFORMASI BUDAYA</t>
  </si>
  <si>
    <t>383</t>
  </si>
  <si>
    <t>KOMUNIKASI POS</t>
  </si>
  <si>
    <t>JINGGA ZAHRANI Kh</t>
  </si>
  <si>
    <t>ALKAWANI</t>
  </si>
  <si>
    <t>978-602-72689-8-2</t>
  </si>
  <si>
    <t>DEMOKRASI KITA | PIKIRAN TENTANG DEMOKRASI DAN KEDAULATAN RAKYAT</t>
  </si>
  <si>
    <t>321.8</t>
  </si>
  <si>
    <t>PEMERINTAHAN DEMOKRASI</t>
  </si>
  <si>
    <t>MOHAMMAD HATTA</t>
  </si>
  <si>
    <t>KHOLID O. SANTOSA</t>
  </si>
  <si>
    <t>SEGA ARSY</t>
  </si>
  <si>
    <t>979-98635-25-12</t>
  </si>
  <si>
    <t>320 Demokrasi Kita.jpg</t>
  </si>
  <si>
    <t>HOW TO MANAGE CONFLICT | KIAT MENANGANI KONFLIK</t>
  </si>
  <si>
    <t>303.6</t>
  </si>
  <si>
    <t>KONFLIK SOSIAL</t>
  </si>
  <si>
    <t>PEG PICKERING</t>
  </si>
  <si>
    <t>DEBORAH HUTAURUK, B.A</t>
  </si>
  <si>
    <t>ESENSI</t>
  </si>
  <si>
    <t>303.6 How to Manage Conflict - Kiat Menangani Konflik.jpg</t>
  </si>
  <si>
    <t>MEMBUAT PR YANG MENYENANGKAN</t>
  </si>
  <si>
    <t>ASEP DADANG</t>
  </si>
  <si>
    <t>PT GLOBALINDO UNIVERSAL MULTI KREASI</t>
  </si>
  <si>
    <t>978-979-749-100-0</t>
  </si>
  <si>
    <t>370 Membuat PR yang Menyenangkan.jpg</t>
  </si>
  <si>
    <t>PENGEMBANGAN KEMANDIRIAN DALAM BELAJAR</t>
  </si>
  <si>
    <t>AMALIA</t>
  </si>
  <si>
    <t>INDRA SEPTIAWAN</t>
  </si>
  <si>
    <t>66 hlm; 21 cm</t>
  </si>
  <si>
    <t>370 Pengembangan Kemandirian dalam Belajar.jpg</t>
  </si>
  <si>
    <t>MODUL &amp; SUPLEMEN BAHAN AJAR</t>
  </si>
  <si>
    <t>MARGIOT TUA BUTARBUTAR</t>
  </si>
  <si>
    <t>KRISTIHANDARI P.K</t>
  </si>
  <si>
    <t>PT. BPK GUNUNG MULIA</t>
  </si>
  <si>
    <t>978-602-231-124-9</t>
  </si>
  <si>
    <t>BENTENG REMAJA MENOLAK NARKOBA</t>
  </si>
  <si>
    <t>362.293</t>
  </si>
  <si>
    <t>PERMASALAHAN NARKOTIK, NARKOBA, NARKOTIKA DAN OBAT-OBAT TERLARANG</t>
  </si>
  <si>
    <t xml:space="preserve">DODO, S.Pd.I, R.W. </t>
  </si>
  <si>
    <t>TRIYANI</t>
  </si>
  <si>
    <t>978-602-8123-30-3</t>
  </si>
  <si>
    <t>78 / A5</t>
  </si>
  <si>
    <t>362.293 Benteng Remaja Menolak Narkoba.jpg</t>
  </si>
  <si>
    <t>MELIRIK POTENSI DESA MENUJU MASYARAKAT SEJAHTERA</t>
  </si>
  <si>
    <t>307.72</t>
  </si>
  <si>
    <t>DESA, DUSUN, PEDESAAN</t>
  </si>
  <si>
    <t>DINDIN NASRUDIN</t>
  </si>
  <si>
    <t>MARLINA</t>
  </si>
  <si>
    <t>CV. KARYA MANDIRI PRATAMA</t>
  </si>
  <si>
    <t>978-979-004-047-2</t>
  </si>
  <si>
    <t>88 / A5</t>
  </si>
  <si>
    <t>PENINGKATAN MUTU GURU BAHASA INGGRIS MELALUI PENDIDIKAN DALAM JABATAN</t>
  </si>
  <si>
    <t>METODE BELAJAR MENGAJAR, KEGIATAN BELAJAR MENGAJAR</t>
  </si>
  <si>
    <t xml:space="preserve">ILZA MAYUNI, M.A., Dr. </t>
  </si>
  <si>
    <t>LUBUK AGUNG</t>
  </si>
  <si>
    <t>978-979-505-178-7</t>
  </si>
  <si>
    <t>120 / A5</t>
  </si>
  <si>
    <t>371.3 Peningkatan Mutu Guru Bahasa Inggris.jpg</t>
  </si>
  <si>
    <t>HEBAT GURUNYA DAHSYAT MURIDNYA</t>
  </si>
  <si>
    <t>H.D. IRIYANTO</t>
  </si>
  <si>
    <t>YUGHA ERLANGGA</t>
  </si>
  <si>
    <t>978-602-7596-01-6</t>
  </si>
  <si>
    <t>121 / A5</t>
  </si>
  <si>
    <t>ILMU SOSIAL DAN BUDAYA DASAR - EDISI KEDUA</t>
  </si>
  <si>
    <t>ILMU-ILMU SOSIAL</t>
  </si>
  <si>
    <t>Dr. ELLY M. SETIADI, M.Si.
Dr. H. KAMA A. HAKAM, M.Pd.
Drs. RIDWAN EFFENDI, M.Ed.</t>
  </si>
  <si>
    <t>KENCANA</t>
  </si>
  <si>
    <t>979-3925-39-6</t>
  </si>
  <si>
    <t>220 hlm; 21 cm</t>
  </si>
  <si>
    <t>300 Ilmu Sosial dan Budaya Dasar - Edisi Kedua.jpg</t>
  </si>
  <si>
    <t>ILMU SOSIAL BUDAYA DASAR - EDISI KETIGA</t>
  </si>
  <si>
    <t>978-602-7985-35-3</t>
  </si>
  <si>
    <t>226 hlm; 13,5 x 20,5 cm</t>
  </si>
  <si>
    <t>300 Ilmu Sosial Budaya Dasar - Edisi Ketiga.jpg</t>
  </si>
  <si>
    <t>DIMENSI-DIMENSI PENDIDIKAN KARAKTER</t>
  </si>
  <si>
    <t>370.114</t>
  </si>
  <si>
    <t>ETIKA PENDIDIKAN</t>
  </si>
  <si>
    <t>SAPTONO. M.Pd.</t>
  </si>
  <si>
    <t>978-979-099-609-0</t>
  </si>
  <si>
    <t>216 / A5</t>
  </si>
  <si>
    <t>370.114 Dimensi-Dimensi Pendidikan Karakter.jpg</t>
  </si>
  <si>
    <t>IDEOLOGI……. | MULAI KRISIS KAH ?</t>
  </si>
  <si>
    <t>IDEOLOGI POLITIK DI INDONESIA</t>
  </si>
  <si>
    <t>DODI GOENADI, S.Sos.</t>
  </si>
  <si>
    <t>LIGAR HARYANA</t>
  </si>
  <si>
    <t>CV.AMALIA BOOK</t>
  </si>
  <si>
    <t>978-602-9106-21-3</t>
  </si>
  <si>
    <t>320 Ideologi Mulai Krisis Kah?.jpg</t>
  </si>
  <si>
    <t>MEMBANGUN KEMBALI JATI DIRI BANGSA</t>
  </si>
  <si>
    <t>306.2</t>
  </si>
  <si>
    <t>SOSIOLOGI POLITIK</t>
  </si>
  <si>
    <t>H. SOEMARNO SOEDARSONO</t>
  </si>
  <si>
    <t>ACHMAD SUBANDI</t>
  </si>
  <si>
    <t>PT ALEX MEDIA KOMPUTINDO</t>
  </si>
  <si>
    <t>978-979-27-3602-1</t>
  </si>
  <si>
    <t>306.2 Membangun Kembali Jati Diri Bangsa.jpg</t>
  </si>
  <si>
    <t>JEJAK PERKEMBANGAN MASYARAKAT DAN BUDAYA</t>
  </si>
  <si>
    <t>306.4</t>
  </si>
  <si>
    <t>ASPEK SPESIFIK TENTANG BUDAYA DAN KEBUDAYAAN</t>
  </si>
  <si>
    <t>ANANDITA F.P.</t>
  </si>
  <si>
    <t>978-602-8713-15-3</t>
  </si>
  <si>
    <t>306.4 Jejak Perkembangan Masyarakat dan Budaya.jpg</t>
  </si>
  <si>
    <t>KECAKAPAN HIDUP</t>
  </si>
  <si>
    <t>370</t>
  </si>
  <si>
    <t xml:space="preserve">KOSASIH, M.Pd., E. </t>
  </si>
  <si>
    <t>M. BAMBANG - HENI ATMAWATI</t>
  </si>
  <si>
    <t>CIPTA DEA PUSTAKA</t>
  </si>
  <si>
    <t>978-602-8797-21-4</t>
  </si>
  <si>
    <t>370 Kecakapan Hidup.jpg</t>
  </si>
  <si>
    <t>PENTINGNYA KARAKTER MULIA : MANUSIA MAKHLUK GAUL</t>
  </si>
  <si>
    <t>307.12</t>
  </si>
  <si>
    <t>SOSIOLOGI KEMASYARAKATAN</t>
  </si>
  <si>
    <t>TIM PURIPUSTAKA</t>
  </si>
  <si>
    <t>978-602-8712-40-8</t>
  </si>
  <si>
    <t>307.12 Pentingnya Karakter Mulia : Manusia Makhluk Gaul.jpg</t>
  </si>
  <si>
    <t>MEMBANGUN KOMUNIKASI DALAM KELUARGA</t>
  </si>
  <si>
    <t>302.2</t>
  </si>
  <si>
    <t>KOMUNIKASI</t>
  </si>
  <si>
    <t>Dr. H. SOFYAN SAURI</t>
  </si>
  <si>
    <t>RIFKY W</t>
  </si>
  <si>
    <t>PT GENESINDO</t>
  </si>
  <si>
    <t>979-9475-223-6</t>
  </si>
  <si>
    <t>302.2 Membangun Komunikasi dalam Keluarga.jpg</t>
  </si>
  <si>
    <t>NI RORO MENDUT</t>
  </si>
  <si>
    <t>398.2</t>
  </si>
  <si>
    <t>CERITA RAKYAT DARI JAWA TENGAH</t>
  </si>
  <si>
    <t>AWIDARA</t>
  </si>
  <si>
    <t>CV. PIONIR JAYA</t>
  </si>
  <si>
    <t>398.2 Ni Roro Mendut.jpg</t>
  </si>
  <si>
    <t>PENCEMARAN DESA</t>
  </si>
  <si>
    <t>363.73</t>
  </si>
  <si>
    <t>MASALAH PENCEMARAN LINGKUNGAN, POLUSI</t>
  </si>
  <si>
    <t>HADI PERMANA</t>
  </si>
  <si>
    <t>BETI DWI SEPTININGSIH &amp; M RIZAL</t>
  </si>
  <si>
    <t>978-979-035-006-9</t>
  </si>
  <si>
    <t>363.73 Pencemaran Desa.jpg</t>
  </si>
  <si>
    <t>PENDIDIKAN INKLUSIF DI KOTA BANDUNG</t>
  </si>
  <si>
    <t>371.102</t>
  </si>
  <si>
    <t>PENDIDIKAN, PENGAJARAN</t>
  </si>
  <si>
    <t>Dr. HIDAYAT, Dpl. S.E.D.M.Si</t>
  </si>
  <si>
    <t>BIDANG P3TK DINAS PENDIDIKAN KOTA BANDUNG</t>
  </si>
  <si>
    <t>PEDOMAN PENGGALIAN DAN PERWUJUDAN NILAI AKHLAK MULIA DI SMP</t>
  </si>
  <si>
    <t>ISMAIL IRIANTO - HALFIAN LUBIS</t>
  </si>
  <si>
    <t>KEMENDIKBUD</t>
  </si>
  <si>
    <t>PENINGKATAN MUTU PENDIDIK DALAM MENGAJARKAN BAHASA INDONESIA</t>
  </si>
  <si>
    <t>H. RESTIANTI</t>
  </si>
  <si>
    <t>DANI WILDAN HAKIM</t>
  </si>
  <si>
    <t>CV CITRA PRAYA</t>
  </si>
  <si>
    <t>978-979-035-003-8</t>
  </si>
  <si>
    <t>PENINGKATAN MUTU PENDIDIKAN DALAM MENGAJARKAN PUISI</t>
  </si>
  <si>
    <t>978-979-035-005-2</t>
  </si>
  <si>
    <t>UPACARA ADAT DI JAWA TENGAH</t>
  </si>
  <si>
    <t>394.4</t>
  </si>
  <si>
    <t>UPACARA-UPACARA RESMI</t>
  </si>
  <si>
    <t>CHOLIQ JUNIARSO</t>
  </si>
  <si>
    <t>HANIM</t>
  </si>
  <si>
    <t>POTENSI TITIAN SIWA</t>
  </si>
  <si>
    <t>978-602-9455-00-7</t>
  </si>
  <si>
    <t>GAGASAN MERANCANG PEMBELAJARAN KONTEKSTUAL</t>
  </si>
  <si>
    <t>METODE BELAJAR MENGAJAR</t>
  </si>
  <si>
    <t>ELIN ROSALIN</t>
  </si>
  <si>
    <t>MAMAN SUHERMAN</t>
  </si>
  <si>
    <t>PT. KARSA MANDIRI PERSDA</t>
  </si>
  <si>
    <t>978-979-005-005-1</t>
  </si>
  <si>
    <t>371.3 Gagasan Merancang Pembelajaran Kontekstual.jpg</t>
  </si>
  <si>
    <t>HIKAYAT JEMBER</t>
  </si>
  <si>
    <t>CERITA RAKYAT</t>
  </si>
  <si>
    <t>NOORIYAH,(T. )</t>
  </si>
  <si>
    <t>BINTANG BOOKS</t>
  </si>
  <si>
    <t>398.2 Hikayat Jember.jpg</t>
  </si>
  <si>
    <t>MENGENAL KEBINEKAAN NEGERIKU</t>
  </si>
  <si>
    <t>WARSITO ADNAN</t>
  </si>
  <si>
    <t>TERORISME | SEBUAH PEMAHAMAN BAGI MASYARAKAT</t>
  </si>
  <si>
    <t>303.625</t>
  </si>
  <si>
    <t>TEROR, TERORISME</t>
  </si>
  <si>
    <t>JO SEMBIRING</t>
  </si>
  <si>
    <t>303.625 Terorisme - Sebuah Pemahaman bagi Masyarakat.jpg</t>
  </si>
  <si>
    <t>UPAYA MENJAGA DIRI DARI BAHAYA NARKOBA</t>
  </si>
  <si>
    <t>362.29</t>
  </si>
  <si>
    <t>UMI ISTIQOMAH</t>
  </si>
  <si>
    <t>CV SETIA-AJI</t>
  </si>
  <si>
    <t>979-760-451-9</t>
  </si>
  <si>
    <t>362.29 Upaya Menjaga Diri dari Bahaya Narkoba.jpg</t>
  </si>
  <si>
    <t>SERI CERITA RAKYAT JAWA BARAT</t>
  </si>
  <si>
    <t>SEKAR SEPTIANDARI, S.HUM</t>
  </si>
  <si>
    <t>Y. ISTIYONO WAHYU, S.S</t>
  </si>
  <si>
    <t>KARISMA</t>
  </si>
  <si>
    <t>APAKAH PEMANASAN GLOBAL ITU?</t>
  </si>
  <si>
    <t>363.73874</t>
  </si>
  <si>
    <t>MASALAH PEMANASAN GLOBAL, EFEK RUMAH KACA</t>
  </si>
  <si>
    <t>363.73874 Apakah Pemanasan Global Itu?.jpg</t>
  </si>
  <si>
    <t>ADAT ISTIADAT MASYARAKAT NUSA TENGGARA TIMUR</t>
  </si>
  <si>
    <t>392</t>
  </si>
  <si>
    <t>ADAT ISTIADAT SETEMPAT</t>
  </si>
  <si>
    <t>YODI KURNIADI</t>
  </si>
  <si>
    <t>PT SARANA PANCA KARYA</t>
  </si>
  <si>
    <t>ADAT ISTIADAT MASYARAKAT JAWA BARAT</t>
  </si>
  <si>
    <t>DEWI ASTUTI - RISMA RISMAWATI</t>
  </si>
  <si>
    <t>KEYLA NAZIRA</t>
  </si>
  <si>
    <t>PENYALAHGUNAAN NARKOBA DAN PENCEGAHANNYA</t>
  </si>
  <si>
    <t>BERTA</t>
  </si>
  <si>
    <t>NOVIAN DARMA A</t>
  </si>
  <si>
    <t>CV CAKRAWALA LANGIT BIRU</t>
  </si>
  <si>
    <t>978-602-9443-42-4</t>
  </si>
  <si>
    <t>362.293 Penyalahgunaan Narkoba dan Pencegahannya.jpg</t>
  </si>
  <si>
    <t>PERKEMBANGAN MASYARAKAT INDONESIA BERBAGAI ZAMAN</t>
  </si>
  <si>
    <t>959.8</t>
  </si>
  <si>
    <t>SEJARAH INDONESIA</t>
  </si>
  <si>
    <t>ADDIEN A</t>
  </si>
  <si>
    <t>EDI WARSIDI &amp; REISSA Y</t>
  </si>
  <si>
    <t>978-602-8713-14-6</t>
  </si>
  <si>
    <t>959.8 Perkembangan Masyarakat Indonesia Berbagai Zaman.jpg</t>
  </si>
  <si>
    <t>MARI MENABUNG</t>
  </si>
  <si>
    <t>332.024</t>
  </si>
  <si>
    <t>KEUANGAN PRIBADI</t>
  </si>
  <si>
    <t>IMAN IMANNUDIN, S.SI</t>
  </si>
  <si>
    <t>RAHAYUNINGSIH</t>
  </si>
  <si>
    <t>CV CITRA CENDRAWASIH CERDAS</t>
  </si>
  <si>
    <t>978-602-9427-20-2</t>
  </si>
  <si>
    <t>332.024 Mari Menabung.jpg</t>
  </si>
  <si>
    <t>TRADISI-TRADISI MASYARAKAT JAWA TENGAH</t>
  </si>
  <si>
    <t>SURYO</t>
  </si>
  <si>
    <t>HASAN W</t>
  </si>
  <si>
    <t>CV POTENSI TITIAN SISWA</t>
  </si>
  <si>
    <t>978-602-9455-10-6</t>
  </si>
  <si>
    <t>TRADISI MASYARAKAT JAWA TENGAH MENYAMBUT SYAWAL</t>
  </si>
  <si>
    <t>SOEMARDI</t>
  </si>
  <si>
    <t>A.N RAKHMAT</t>
  </si>
  <si>
    <t>978-602-9455-01-4</t>
  </si>
  <si>
    <t>ASESMEN KEBUTUHAN ORGANISASI PERSEKOLAHAN</t>
  </si>
  <si>
    <t>370.6</t>
  </si>
  <si>
    <t>ORGANISASI DI BIDANG PENDIDIKAN</t>
  </si>
  <si>
    <t>IR. AGUSTINUS HERMINO SP, M.PD</t>
  </si>
  <si>
    <t>KOMPAS GRAMEDIA</t>
  </si>
  <si>
    <t>978-979-22-9634-1</t>
  </si>
  <si>
    <t>251 hlm;
15 x 23 cm</t>
  </si>
  <si>
    <t>370.6 Asesmen Kebutuhan Organisasi Persekolahan.jpg</t>
  </si>
  <si>
    <t>MENUJU PENDIDIKAN BANDUNG JUARA</t>
  </si>
  <si>
    <t>DINAS PENDIDIKAN KOTA BANDUNG</t>
  </si>
  <si>
    <t>BAGAIMANA MENJADI GURU INSPIRATIF?</t>
  </si>
  <si>
    <t>RIDASWATI | DANI WILDAN HAKIM</t>
  </si>
  <si>
    <t>PT KARSA MANDIRI PERSADA</t>
  </si>
  <si>
    <t>978-979-005-004-4</t>
  </si>
  <si>
    <t>371.102 Bagaimana Menjadi Guru Inspiratif?.jpg</t>
  </si>
  <si>
    <t>ANATOMI ORGANISASI DAN KEPEMIMPINAN PENDIDIKAN</t>
  </si>
  <si>
    <t>371</t>
  </si>
  <si>
    <t>INSTITUSI PENDIDIKAN, SEKOLAH DAN AKTIFITASNYA</t>
  </si>
  <si>
    <t>PROF. DR ABDUL AZIS WAHAB, M.A</t>
  </si>
  <si>
    <t>DRS. RIDUWAN, M.B.A</t>
  </si>
  <si>
    <t>ALFABETA</t>
  </si>
  <si>
    <t>978-979-8433-78-8</t>
  </si>
  <si>
    <t>369 hlm ;
16 x 24 cm</t>
  </si>
  <si>
    <t>371 Anatomi Organisasi dan Kepemimpinan Pendidikan.jpg</t>
  </si>
  <si>
    <t>SEKOLAH YANG MENYENANGKAN</t>
  </si>
  <si>
    <t>ANNA FARIDA | SUHUD ROIS | EDI S. AHMAD</t>
  </si>
  <si>
    <t>MATHORI A ELWA</t>
  </si>
  <si>
    <t>CENDEKIA</t>
  </si>
  <si>
    <t>978-602-7768-57-4</t>
  </si>
  <si>
    <t>371.3 Sekolah yang Menyenangkan.jpg</t>
  </si>
  <si>
    <t>SISTEM NILAI | ALTERNATIF WAJAH-WAJAH PENDIDIKAN</t>
  </si>
  <si>
    <t>370.15</t>
  </si>
  <si>
    <t>PSIKOLOGI PENDIDIKAN</t>
  </si>
  <si>
    <t>Prof. Dr. ACHMAD SANUSI</t>
  </si>
  <si>
    <t>YOSAL IRIANTARA</t>
  </si>
  <si>
    <t>978-602-350-029-1</t>
  </si>
  <si>
    <t>370.15 Sistem Nilai.jpg</t>
  </si>
  <si>
    <t>SEKOLAH KREATIF</t>
  </si>
  <si>
    <t>LAURA LIPTON | DEBORAH HUBBLE</t>
  </si>
  <si>
    <t>WIKAN SATRIATI</t>
  </si>
  <si>
    <t>NUANSA CEDEKIA</t>
  </si>
  <si>
    <t>978-602-8394-55-0</t>
  </si>
  <si>
    <t>370 Sekolah Kreatif.jpg</t>
  </si>
  <si>
    <t>QUANTUM LEARNING | MEMBIASAKAN BELAJAR NYAMAN DAN MENYENANGKAN</t>
  </si>
  <si>
    <t>BOBBI DePORTER &amp; MIKE HERNACKI</t>
  </si>
  <si>
    <t>SARI MEUTIA</t>
  </si>
  <si>
    <t>KAIFA</t>
  </si>
  <si>
    <t>979-9452-00-7</t>
  </si>
  <si>
    <t>356 hlm;
ilus 23 cm</t>
  </si>
  <si>
    <t>371.3 Quantum Learning - Membiasakan Belajar Nyaman dan Menyenangkan.jpg</t>
  </si>
  <si>
    <t>THE ACCELERATED LEARNING HANDBOOK | PANDUAN KREATIF &amp; EFEKTIF MERANCANG PROGRAM PENDIDIKAN DAN PELATIHAN</t>
  </si>
  <si>
    <t>METODE PENGAJARAN TERTENTU, METODE PEMBELAJARAN TERTENTU</t>
  </si>
  <si>
    <t>DAVE MEIER</t>
  </si>
  <si>
    <t>HERNOWO</t>
  </si>
  <si>
    <t>979-9452-22-8</t>
  </si>
  <si>
    <t>344 hlm;
16 x 24 hlm</t>
  </si>
  <si>
    <t>371.3 The Accelerated Learning Handbook.jpg</t>
  </si>
  <si>
    <t>PENGENDALIAN MUTU PENDIDIKAN SEKOLAH MENENGAH (KONSEP, PRINSIP DAN INSTRUMEN)</t>
  </si>
  <si>
    <t>373.12</t>
  </si>
  <si>
    <t>PENDIDIKAN SEKOLAH MENENGAH</t>
  </si>
  <si>
    <t>PROF. DR. NANA SYAODIH SUKMADINATA, DRS AYI JAMI'AT, M. Si, DR. AHMAN, M.Pd</t>
  </si>
  <si>
    <t>979-1073-03-1</t>
  </si>
  <si>
    <t>373.12 Pengendalian Mutu Pendidikan Sekolah Menengah (Konsep, Prinsip, dan Instrumen).jpg</t>
  </si>
  <si>
    <t>BELAJAR MENGHARGAI BUDAYA</t>
  </si>
  <si>
    <t>306</t>
  </si>
  <si>
    <t>KULTUR, ILMU BUDAYA, KEBUDAYAAN DAN LEMBAGA-LEMBAGA, INSTITUSI</t>
  </si>
  <si>
    <t>ENUNG ELIAWATI</t>
  </si>
  <si>
    <t>TIM EKSISMEDIA</t>
  </si>
  <si>
    <t>CV. ANWAR PRESS</t>
  </si>
  <si>
    <t>978-602-9199-15-4</t>
  </si>
  <si>
    <t>306 Belajar Menghargai Budaya.jpg</t>
  </si>
  <si>
    <t>PENGETAHUAN TENTANG MATA UANG</t>
  </si>
  <si>
    <t>332.4</t>
  </si>
  <si>
    <t>UANG</t>
  </si>
  <si>
    <t>IRWAN KUSDINAR</t>
  </si>
  <si>
    <t>PT SARANA PANCA KARYA NUSA</t>
  </si>
  <si>
    <t>978-979-678-395-3</t>
  </si>
  <si>
    <t>332.4 Pengetahuan tentang Mata Uang.jpg</t>
  </si>
  <si>
    <t>KAMUS EKONOMI</t>
  </si>
  <si>
    <t>330.03</t>
  </si>
  <si>
    <t>IRFAN ARIFUDDIN</t>
  </si>
  <si>
    <t>978-602-1388-03-7</t>
  </si>
  <si>
    <t>330.03 Kamus Ekonomi.jpg</t>
  </si>
  <si>
    <t>BANGSAKU BANGSA YANG BESAR</t>
  </si>
  <si>
    <t>320.54</t>
  </si>
  <si>
    <t>NASIONALISME</t>
  </si>
  <si>
    <t>SHOLEHUDDIN &amp; SAEFULLAH</t>
  </si>
  <si>
    <t>INTIMEDIA</t>
  </si>
  <si>
    <t>320.54 Bangsaku Bangsa yang Besar.jpg</t>
  </si>
  <si>
    <t>BELAJAR MENGENAL SUKU BANGSAKU</t>
  </si>
  <si>
    <t>305.8</t>
  </si>
  <si>
    <t>ETNIS DAN RAS</t>
  </si>
  <si>
    <t>GIRI SURYADI</t>
  </si>
  <si>
    <t>978-602-9123-40-1</t>
  </si>
  <si>
    <t>305.8 Belajar Mengenal Suku Bangsaku.jpg</t>
  </si>
  <si>
    <t>RAMPAI KEARIFAN LOKAL JAWA BARAT</t>
  </si>
  <si>
    <t>PURWONEGARAN</t>
  </si>
  <si>
    <t>978-602-99435-1-1</t>
  </si>
  <si>
    <t>392 Rampai Kearifan Lokal Jawa Barat.jpg</t>
  </si>
  <si>
    <t>SEKOLAH LITERASI</t>
  </si>
  <si>
    <t>LAURA LIPTON &amp; DEBORAH HUBBLE</t>
  </si>
  <si>
    <t>M.S NASRULLOH</t>
  </si>
  <si>
    <t>978-602-350-114-4</t>
  </si>
  <si>
    <t>371.3 Sekolah Literasi - Perencanaan &amp; Pembinaan.jpg</t>
  </si>
  <si>
    <t>MENCIPTAKAN KERUKUNAN DALAM KEHIDUPAN BERMASYARAKAT</t>
  </si>
  <si>
    <t>302.5</t>
  </si>
  <si>
    <t>SRI NOVIANA</t>
  </si>
  <si>
    <t>DEWI</t>
  </si>
  <si>
    <t>PT SANDIARTA SUKSES</t>
  </si>
  <si>
    <t>978-602-8364-20-1</t>
  </si>
  <si>
    <t>302.5 Menciptakan Keukunan dalam Kehidupan Bermasyarakat.jpg</t>
  </si>
  <si>
    <t>AKU DAN MEREKA UNTUK INDONESIA</t>
  </si>
  <si>
    <t>361.2</t>
  </si>
  <si>
    <t>AKSI SOSIAL</t>
  </si>
  <si>
    <t>RENI</t>
  </si>
  <si>
    <t>DWI MADIYO W</t>
  </si>
  <si>
    <t>PT PUSTAKA SUNDA</t>
  </si>
  <si>
    <t>978-602-9124-12-5</t>
  </si>
  <si>
    <t>60 hlm:
18 x 25 cm</t>
  </si>
  <si>
    <t>361.2 Aku Mereka untuk Indonesia.jpg</t>
  </si>
  <si>
    <t>PAKAIAN ADAT, SENJATA TRADISIONAL, DAN RUMAH ADAT (PROVINSI JAWA BARAT DAN JAWA TIMUR)</t>
  </si>
  <si>
    <t>391</t>
  </si>
  <si>
    <t>ADAT ISTIADAT DAN PENAMPILAN PERSONAL</t>
  </si>
  <si>
    <t>WULAN ANGGRAINI - MAYA ROHMAYATI</t>
  </si>
  <si>
    <t>978-979-678-429-5</t>
  </si>
  <si>
    <t>INDAHNYA BERBAGI DENGAN SESAMA</t>
  </si>
  <si>
    <t>INTERAKSI SOSIAL</t>
  </si>
  <si>
    <t>SUDARTI</t>
  </si>
  <si>
    <t>ROHIM</t>
  </si>
  <si>
    <t>CV. GHYYAS PUTRA</t>
  </si>
  <si>
    <t>978-979-9107-84-8</t>
  </si>
  <si>
    <t>302.5 Indahnya Berbagi dengan Sesama.jpg</t>
  </si>
  <si>
    <t>STANDAR KOMPETENSI DAN SERTIFIKASI GURU</t>
  </si>
  <si>
    <t>GURU</t>
  </si>
  <si>
    <t>Dr. E MULYASA, M. Pd</t>
  </si>
  <si>
    <t>MUKHLIS</t>
  </si>
  <si>
    <t>PT REMAJA ROSDAKARYA</t>
  </si>
  <si>
    <t>979-692-796-9</t>
  </si>
  <si>
    <t>371.1 Standar Kompetensi dan Sertifikasi Guru.jpg</t>
  </si>
  <si>
    <t>BUDAYAKAN ANTI KORUPSI DALAM KEHIDUPAN</t>
  </si>
  <si>
    <t>364.1323</t>
  </si>
  <si>
    <t>KORUPSI</t>
  </si>
  <si>
    <t>BAMBANG TRI PURWANTO</t>
  </si>
  <si>
    <t>978-602-9123-39-5</t>
  </si>
  <si>
    <t>54 hlm;
17,5 x 25 cm</t>
  </si>
  <si>
    <t>364.1323 Budayakan Anti Korupsi dalam Kehidupan.jpg</t>
  </si>
  <si>
    <t>SERI BENCANA ALAM | KEBAKARAN</t>
  </si>
  <si>
    <t>363.37</t>
  </si>
  <si>
    <t>PETUGAS PEMADAM KEBAKARAN</t>
  </si>
  <si>
    <t>WENI R. Dkk</t>
  </si>
  <si>
    <t>978-979-1276-40-5</t>
  </si>
  <si>
    <t>363.37 Kebakaran.jpg</t>
  </si>
  <si>
    <t>PEMBELAJARAN ANAK TUNAGRAHITA | SUATU PENGANTAR DALAM PENDIDIKAN INKLUSI</t>
  </si>
  <si>
    <t>371.9</t>
  </si>
  <si>
    <t>PENDIDIKAN KHUSUS</t>
  </si>
  <si>
    <t>Prof. Dr. BANDI DELPHIE, M.A., S.E</t>
  </si>
  <si>
    <t>ANDRI WIJAYA</t>
  </si>
  <si>
    <t>PT REFLIKA ADITAMA</t>
  </si>
  <si>
    <t>979-1073-22-8</t>
  </si>
  <si>
    <t>371.9 Pembelajaran Anak Tunagrahita - Suatu Pengantar dalam Pendidikan Inklusi.jpg</t>
  </si>
  <si>
    <t>SERI BUKU 6 | AKHLAK MULIA MENCIPTAKAN KEDAMAIAN</t>
  </si>
  <si>
    <t>ETIKA</t>
  </si>
  <si>
    <t>Prof. Dr. ACHMAD MUBAROK, M.A - M. SYAMSUL YAKIN, M.A</t>
  </si>
  <si>
    <t>WAHANA AKSARA PRIMA</t>
  </si>
  <si>
    <t>978-602-8147-06-4</t>
  </si>
  <si>
    <t>297.5 Seri Buku 6 - Akhlak Mulia Menciptakan Kedamaian.jpg</t>
  </si>
  <si>
    <t>BUKU RANGKUMAN KEGIATAN UPAYA PENANGGULANGAN KERAWANAN SEKOLAH</t>
  </si>
  <si>
    <t>379</t>
  </si>
  <si>
    <t>PERATURAN-PERATURAN PENDIDIKAN</t>
  </si>
  <si>
    <t>HUSABA</t>
  </si>
  <si>
    <t>PENDIDIKAN ANTIKORUPSI</t>
  </si>
  <si>
    <t>370.1</t>
  </si>
  <si>
    <t>H. MUHAMAD NURDIN, Ag. M.Pd.I</t>
  </si>
  <si>
    <t>ROSE KR</t>
  </si>
  <si>
    <t>AR-RUZZ MEDIA</t>
  </si>
  <si>
    <t>220 hlm; 14,8x21 cm</t>
  </si>
  <si>
    <t>370.1 Pendidikan Antikorupsi.jpg</t>
  </si>
  <si>
    <t>ORANG DESA BISA MENGEMBANGKAN DIRI</t>
  </si>
  <si>
    <t>307.14</t>
  </si>
  <si>
    <t>PENGEMBANGAN MASYARAKAT DESA</t>
  </si>
  <si>
    <t>PT. SARANA ILMU PUSTAKA</t>
  </si>
  <si>
    <t>978-602-8714-45-7</t>
  </si>
  <si>
    <t>307.14 Orang Desa Bisa Mengembangkan Diri.jpg</t>
  </si>
  <si>
    <t>RAMPAI KEARIFAN LOKAL BANTEN</t>
  </si>
  <si>
    <t>PT PUSTAKA PURWONEGARAN</t>
  </si>
  <si>
    <t>978-602-99435-0-4</t>
  </si>
  <si>
    <t>MEDIA PEMBELAJARAN AKTIF</t>
  </si>
  <si>
    <t xml:space="preserve">TILAAR, M.Sc.Ed, Prof.Dr. H.A.R. </t>
  </si>
  <si>
    <t>FAIZ MANSHUR &amp; MATHORI A ELWA</t>
  </si>
  <si>
    <t>978-602-8395-17-5</t>
  </si>
  <si>
    <t>xviii + 342 hlm ;
17,6 x 25 cm</t>
  </si>
  <si>
    <t>371.1 Media Pembelajaran Aktif.jpg</t>
  </si>
  <si>
    <t>TEORI BELAJAR DAN MENGAJAR</t>
  </si>
  <si>
    <t>YANA WARDHANA</t>
  </si>
  <si>
    <t>YODI MUSTIKA</t>
  </si>
  <si>
    <t>PT PRIBUMI MEKAR</t>
  </si>
  <si>
    <t>978-602-8142-28-1</t>
  </si>
  <si>
    <t>370 Teori Belajar dan Mengajar.jpg</t>
  </si>
  <si>
    <t>PERENCANAAN PEMBELAJARAN MENGEMBANGKAN STANDAR KOMPETENSI GURU</t>
  </si>
  <si>
    <t>ABDUL MAJID</t>
  </si>
  <si>
    <t>979-692-493-5</t>
  </si>
  <si>
    <t>371.3 Perencanaan Pembelajaran - Mengembangkan Standar Kompetensi Guru.jpg</t>
  </si>
  <si>
    <t>METODE PENELITIAN PENDIDIKAN</t>
  </si>
  <si>
    <t>NANA SYAODIH SUKMADINATA</t>
  </si>
  <si>
    <t>IMAN TAUFIK</t>
  </si>
  <si>
    <t>979-692-486-2</t>
  </si>
  <si>
    <t>DASAR-DASAR KOMUNIKASI DAN KETERAMPILAN DASAR MENGAJAR</t>
  </si>
  <si>
    <t>METODE PEMBELAJARAN</t>
  </si>
  <si>
    <t>HENDY HERMAWAN</t>
  </si>
  <si>
    <t>YANA SANTIAJI</t>
  </si>
  <si>
    <t>978-979-035-022-9</t>
  </si>
  <si>
    <t>371.3 Dasar-Dasar Komunikasi dan Keterampilan Dasar Mengajar.jpg</t>
  </si>
  <si>
    <t>POTRET PENDIDIKAN PADA ERA GLOBAL</t>
  </si>
  <si>
    <t>370.2</t>
  </si>
  <si>
    <t>ANEKA RAGAM TENTANG PENDIDIKAN</t>
  </si>
  <si>
    <t>INDAH SURYANINGTYAS - BIMA SYAHAB HILMAWAN</t>
  </si>
  <si>
    <t>ARIEF S ADAM</t>
  </si>
  <si>
    <t>PT JePe PRESS MEDIA UTAMA</t>
  </si>
  <si>
    <t>602-8567-05-3</t>
  </si>
  <si>
    <t>370.2 Potret Pendidikan pada Era Global.jpg</t>
  </si>
  <si>
    <t>PERMAINAN BERBASIS SENTRA PEMBELAJARAN</t>
  </si>
  <si>
    <t>KATHY CHARNER,
MAUREEN MURPHY,
JENNIFER FORD</t>
  </si>
  <si>
    <t>VERONICA SRI UTAMI, S.Psi. - THERESIA VINI S., S.E -MARGARETHA H. EDDY, M.B.A</t>
  </si>
  <si>
    <t>978-979-015-857-3</t>
  </si>
  <si>
    <t>371.3 Permainan Berbasis Sentra Pembelajaran.jpg</t>
  </si>
  <si>
    <t>PEMANASAN GLOBAL | MARI. SELAMATKAN BUMI!</t>
  </si>
  <si>
    <t>FITRIA CHAKRAWATI</t>
  </si>
  <si>
    <t>NURUL HIDAYATI</t>
  </si>
  <si>
    <t>CV NIAGA BUKU PENDIDIKAN</t>
  </si>
  <si>
    <t>978-602-9109-04-7</t>
  </si>
  <si>
    <t>363.73874 Pemanasan Global - Mari Selamatkan Bumi.jpg</t>
  </si>
  <si>
    <t>PEMUDA &amp; KELAUTAN | PEMUDA &amp; KELAUTAN: PEMANASAN GLOBAL DAN PERUBAHAN GARIS PANTAI</t>
  </si>
  <si>
    <t>ADHYAKSA DAULT</t>
  </si>
  <si>
    <t>ARUM P. MAYASARI &amp; NUR'AINI W.</t>
  </si>
  <si>
    <t>PT INTAN SEJATI</t>
  </si>
  <si>
    <t>602-8227-42-1</t>
  </si>
  <si>
    <t>361.2 Pemuda &amp; Kelautan : Pemanasan Global dan Perubahan Garis Pantai.jpg</t>
  </si>
  <si>
    <t>PEMUDA &amp; KELAUTAN | MASYARAKAT PESISIR MENATAP MASA DEPAN</t>
  </si>
  <si>
    <t>304.2</t>
  </si>
  <si>
    <t>EKOLOGI MANUSIA</t>
  </si>
  <si>
    <t>DR. ADHYAKSA DAULT, M.Si</t>
  </si>
  <si>
    <t>PT CITRA AJI PARAMA</t>
  </si>
  <si>
    <t>602-8227-39-1</t>
  </si>
  <si>
    <t>304.2 Pemuda &amp; Kelautan : Masyarakat Pesisir Menatap Masa Depan.jpg</t>
  </si>
  <si>
    <t>PAKAIAN ADAT, SENJATA TRADISIONAL, DAN RUMAH ADAT (PROVINSI SELAWESI SELATAN, NTB, DAN NTT)</t>
  </si>
  <si>
    <t>UDI SUKRAMA</t>
  </si>
  <si>
    <t>978-979-678-449-3</t>
  </si>
  <si>
    <t>391 Pakaian Adat, Senjata Tradisional, dan Rumah Adat (Provinsi Sulawesi Selaran, Provinsi Nusa Tenggara Barat, dan Nusa Tenggara Timur).jpg</t>
  </si>
  <si>
    <t>AKU INGIN PAHAM BHINNEKA TUNGGAL IKA</t>
  </si>
  <si>
    <t>TIM PENYUNTING TITIAN ILMU</t>
  </si>
  <si>
    <t>CV ANGKASA</t>
  </si>
  <si>
    <t>978-979-665-682-0</t>
  </si>
  <si>
    <t>323.6 Aku Ingin Paham Bhinneka Tunggal Ika.jpg</t>
  </si>
  <si>
    <t>SUKU BAJO PENJELAJAH AIR</t>
  </si>
  <si>
    <t>SUKU ETNIS</t>
  </si>
  <si>
    <t>BAYU INDRA KUSUMA</t>
  </si>
  <si>
    <t>ERINA</t>
  </si>
  <si>
    <t>KARSA MEDIA</t>
  </si>
  <si>
    <t>58 hlm; 21 cm</t>
  </si>
  <si>
    <t>PANDUAN PELAKSANAAN UPACARA BENDERA DI SEKOLAH MENENGAH PERTAMA (SMP)</t>
  </si>
  <si>
    <t>KEMDIKBUD</t>
  </si>
  <si>
    <t>370 Panduan Pelaksanaan - Upacara Bendera di Sekolah Menengah Pertama (SMP).jpg</t>
  </si>
  <si>
    <t>UANG DAN PEKERJAAN</t>
  </si>
  <si>
    <t>EKONOMI</t>
  </si>
  <si>
    <t>DEVI ANDRIANA</t>
  </si>
  <si>
    <t>Otong Lesmana</t>
  </si>
  <si>
    <t>64 hlm</t>
  </si>
  <si>
    <t>330 Uang dan Pekerjaan.jpg</t>
  </si>
  <si>
    <t>PEMUDA &amp; KELAUTAN | BANGSA BAHARI</t>
  </si>
  <si>
    <t>KELOMPOK SOSIAL</t>
  </si>
  <si>
    <t>ARUM P. MAYASARI
NUR'AINI</t>
  </si>
  <si>
    <t>305 Pemuda &amp; Kelautan : Bangsa Bahari.jpg</t>
  </si>
  <si>
    <t>GENERASI PEDULI</t>
  </si>
  <si>
    <t>302.14</t>
  </si>
  <si>
    <t>66 hlm</t>
  </si>
  <si>
    <t>302.14 Generasi Peduli.jpg</t>
  </si>
  <si>
    <t>MENGENAL UANG DAN LEMBAGA KEUANGAN</t>
  </si>
  <si>
    <t>ILMU EKONOMI</t>
  </si>
  <si>
    <t>ANDARINI SAPTIKA</t>
  </si>
  <si>
    <t>A. PERMANA W</t>
  </si>
  <si>
    <t>PT. MEDIA CERDAS NASIONAL</t>
  </si>
  <si>
    <t>74 hlm; 17,6 x 25 cm</t>
  </si>
  <si>
    <t>330 Mengenal Uang dan Lembaga Keuangan.jpg</t>
  </si>
  <si>
    <t>AKU TAHU PEMILIHAN UMUM</t>
  </si>
  <si>
    <t>324.6</t>
  </si>
  <si>
    <t>PEMILIHAN UMUM</t>
  </si>
  <si>
    <t>DANA ANGGARA</t>
  </si>
  <si>
    <t>RENY NOVITA</t>
  </si>
  <si>
    <t>PT. KOMPEMDIK NUSANTARA ANGGOTA</t>
  </si>
  <si>
    <t>52 hlm</t>
  </si>
  <si>
    <t>324.6 Aku Tahu Pemilihan Umum.jpg</t>
  </si>
  <si>
    <t>BELA NEGARA UNTUK REMAJA</t>
  </si>
  <si>
    <t>BIMA</t>
  </si>
  <si>
    <t>ARYO</t>
  </si>
  <si>
    <t>INTER PLUS</t>
  </si>
  <si>
    <t>52 hlm; 17,6 x 25 cm</t>
  </si>
  <si>
    <t>NARKOBA - MENGENAL UNTUK MENANGKAL</t>
  </si>
  <si>
    <t>YUANITA FACHRIL, SH.</t>
  </si>
  <si>
    <t>INDRA PRIATNA</t>
  </si>
  <si>
    <t>CV. SARANA PENUNJANG PENDIDIKAN</t>
  </si>
  <si>
    <t>96 hlm
17,6 x 25 cm</t>
  </si>
  <si>
    <t>362.293 Narkoba - Mengenal untuk Menangkal.jpg</t>
  </si>
  <si>
    <t>UNIKNYA TRADISI KITA</t>
  </si>
  <si>
    <t>YUDI IRAWAN</t>
  </si>
  <si>
    <t>B RAHMA</t>
  </si>
  <si>
    <t>PT SPORA MADINA</t>
  </si>
  <si>
    <t>LEMBAGA PERMUSYARATAN DAN PERWAKILAN RAKYAT</t>
  </si>
  <si>
    <t>ILMU POLITIK</t>
  </si>
  <si>
    <t>320 Lembaga Permusyawaratan dan Perwakilan Rakyat.jpg</t>
  </si>
  <si>
    <t>SENDI-SENDI FUNDAMENTAL NEGARA</t>
  </si>
  <si>
    <t>320 Sendi-Sendi Fundamental Negara.jpg</t>
  </si>
  <si>
    <t>BERSATU UNTUK INDONESIA</t>
  </si>
  <si>
    <t>DESY ARISANDY,
IDATUL FITRI</t>
  </si>
  <si>
    <t>320 Bersatu untuk Indonesia.jpg</t>
  </si>
  <si>
    <t>FILOSOFIS PENDIDIKAN BARAT DAN TIMUR</t>
  </si>
  <si>
    <t>FILSAFAT DAN TEORI PENDIDIKAN</t>
  </si>
  <si>
    <t>ADI ASMARA, SE</t>
  </si>
  <si>
    <t>TIM CAHAYA</t>
  </si>
  <si>
    <t>CV. MUGHNI SEJAHTERA</t>
  </si>
  <si>
    <t>LEARNING METHAMMORPHOSIS- HEBAT GURUNYA DAHSYAT MURIDNYA</t>
  </si>
  <si>
    <t>H.D IRIYANTO</t>
  </si>
  <si>
    <t>YUGHA ERLANGGA
RIZAL PAHLEVI HILABI</t>
  </si>
  <si>
    <t>20 GURU ANGGOTA IGI JAWA BARAT - KUNCUP PENA - KUMPULAN ARTIKEL ALUMNI SAGUSAKU BANDUNG</t>
  </si>
  <si>
    <t>20 GURU ANGGOTA IGI JAWA BARAT</t>
  </si>
  <si>
    <t>DODDI AHMAD FAUJI</t>
  </si>
  <si>
    <t>SITUSENI</t>
  </si>
  <si>
    <t>BUKU SAKTI SMP/IPS VII, VII, DAN IX</t>
  </si>
  <si>
    <t>TIM TENTOR AHLI</t>
  </si>
  <si>
    <t>KENDI MAS MEDIA</t>
  </si>
  <si>
    <t>PANDUAN LOMBA PENELITIAN ILMIAH REMAJA (LPIR) SEKOLAH MENENGAH PERTAMA 2012</t>
  </si>
  <si>
    <t>SASAKALA SAWAH RANCA GENGGONG</t>
  </si>
  <si>
    <t>DANI HAMDANI</t>
  </si>
  <si>
    <t>TIM PAS</t>
  </si>
  <si>
    <t>PANCA ANUGRAH SAKTI</t>
  </si>
  <si>
    <t>978-979-1420-76-1</t>
  </si>
  <si>
    <t>NON FIKSI</t>
  </si>
  <si>
    <t>WASPADA BAHAYA PENYALAHGUNAAN SABU-SABU</t>
  </si>
  <si>
    <t>SUSMINI I.L</t>
  </si>
  <si>
    <t>978-602-9455-98-4</t>
  </si>
  <si>
    <t>362.293 Waspada Bahaya Penyalahgunaan Sabu-Sabu.jpg</t>
  </si>
  <si>
    <t>INDAHNYA TANPA NARKOBA - CUKUP KENALI, JANGAN GUNAKAN!!!</t>
  </si>
  <si>
    <t>MAYA PUSPA
MM. TRI S. MILDAWANI</t>
  </si>
  <si>
    <t>LESTARI KIRANATAMA</t>
  </si>
  <si>
    <t>362.293 Indahnya Tanpa Narkoba.jpg</t>
  </si>
  <si>
    <t>BENCANA ALAM - AKIBAT ULAH MANUSIA</t>
  </si>
  <si>
    <t>361.1</t>
  </si>
  <si>
    <t>PERMASALAHAN SOSIAL</t>
  </si>
  <si>
    <t>HETTI RESTIANTI</t>
  </si>
  <si>
    <t>CV. NIAGA BUKU PENDIDIKAN</t>
  </si>
  <si>
    <t>550 Bencana Alam Akibat Ulah Manusia.jpg</t>
  </si>
  <si>
    <t>MENGENAL KAPAL LAUT</t>
  </si>
  <si>
    <t>EKA PURJIYANTA</t>
  </si>
  <si>
    <t>CHRISTINA MARTHA M</t>
  </si>
  <si>
    <t>GANECA EXACT</t>
  </si>
  <si>
    <t>978-979-571-484-2</t>
  </si>
  <si>
    <t>76 / A5</t>
  </si>
  <si>
    <t>KESADARAN BERLALU LINTAS UNTUK REMAJA</t>
  </si>
  <si>
    <t>PIPIH SOPIAH, M.Pd</t>
  </si>
  <si>
    <t>DAMPAK KEMAJUAN TEKNOLOGI TERHADAP LINGKUNGAN</t>
  </si>
  <si>
    <t>363.7</t>
  </si>
  <si>
    <t>PERMASALAHAN LINGKUNGAN</t>
  </si>
  <si>
    <t>MONICA ANGGEN</t>
  </si>
  <si>
    <t>978-602-7932-09-8</t>
  </si>
  <si>
    <t>MENGENAL BAHAYA NARKOBA</t>
  </si>
  <si>
    <t>SARJAN RAMDANI</t>
  </si>
  <si>
    <t>979-758-269-8</t>
  </si>
  <si>
    <t>MENCERDASI BENCANA</t>
  </si>
  <si>
    <t>BENCANA ALAM</t>
  </si>
  <si>
    <t>ELLA YULAELAWATI , USMAN SYIHAB</t>
  </si>
  <si>
    <t>YB. SUDARMANTO</t>
  </si>
  <si>
    <t>PT GRASINDO</t>
  </si>
  <si>
    <t>361 Mencerdasi Bencana.jpg</t>
  </si>
  <si>
    <t>PENCEMARAN LINGKUNGAN DI ZAMAN MODERN</t>
  </si>
  <si>
    <t>PENCEMARAN LINGKUNGAN</t>
  </si>
  <si>
    <t xml:space="preserve">KANIA D, A. </t>
  </si>
  <si>
    <t>978-602-7932-08-1</t>
  </si>
  <si>
    <t>363.73 Pencemaran Lingkungan di Zaman Modern.jpg</t>
  </si>
  <si>
    <t>DAMPAK PERTUMBUHAN PENDUDUK PADA LINGKUNGAN HIDUP</t>
  </si>
  <si>
    <t>363.9</t>
  </si>
  <si>
    <t>POPULASI PENDUDUK</t>
  </si>
  <si>
    <t>INDAH HANACO</t>
  </si>
  <si>
    <t>978-602-7932-11-1</t>
  </si>
  <si>
    <t>363.9 Dampak Pertumbuhan Penduduk pada Lingkungan Hidup.jpg</t>
  </si>
  <si>
    <t>PERILAKU NEGATIF MERUSAK LINGKUNGAN HIDUP</t>
  </si>
  <si>
    <t>INTERAKSI DENGAN LINGKUNGAN</t>
  </si>
  <si>
    <t>IRAWATI SUBRATA</t>
  </si>
  <si>
    <t>978-602-7932-03-6</t>
  </si>
  <si>
    <t>SEPULUH LANGKAH MENGURANGI PENGGUNAAN PLASTIK</t>
  </si>
  <si>
    <t>628.4</t>
  </si>
  <si>
    <t>PENGELOLAAN SAMPAH</t>
  </si>
  <si>
    <t>NUR FAJRIYAH</t>
  </si>
  <si>
    <t>978-602-7932-05-0</t>
  </si>
  <si>
    <t>628.4 Sepuluh Langkah Mengurangi Penggunaan Plastik.jpg</t>
  </si>
  <si>
    <t>PENCEMARAN LINGKUNGAN DAN PENANGANANNYA</t>
  </si>
  <si>
    <t>KUS DWIYATMO</t>
  </si>
  <si>
    <t>WAHYU HARDIANTO</t>
  </si>
  <si>
    <t>979-1464-44-4</t>
  </si>
  <si>
    <t>AKRAB DENGAN BENCANA ALAM</t>
  </si>
  <si>
    <t>ILMU BUMI</t>
  </si>
  <si>
    <t>NUGROHO YUWANANTO</t>
  </si>
  <si>
    <t>Y. JALU DWI ATMOJO</t>
  </si>
  <si>
    <t>CV. EMPAT PILAR PENDIDIKAN</t>
  </si>
  <si>
    <t>978-979-042-024-3</t>
  </si>
  <si>
    <t>76 hlm;
25 cm</t>
  </si>
  <si>
    <t>550 Akrab dengan Bencana Alam.jpg</t>
  </si>
  <si>
    <t>PENCEMARAN UDARA DAN SUARA</t>
  </si>
  <si>
    <t>ARINTO NUGROHO</t>
  </si>
  <si>
    <t>EKA SANDRA ARYANI</t>
  </si>
  <si>
    <t>PT TIGA SERANGKAI PUSTAKA MANDIRI</t>
  </si>
  <si>
    <t>978-979-084-401-8</t>
  </si>
  <si>
    <t>PENCEMARAN TANAH DAN AIR</t>
  </si>
  <si>
    <t>PERMASALAHAN DAN KESEJAHTERAAN SOSIAL</t>
  </si>
  <si>
    <t>978-979-084-408-7</t>
  </si>
  <si>
    <t>MANUSIA, MAKANAN, DAN TEMPAT TINGGAL</t>
  </si>
  <si>
    <t>PAM ROBSON</t>
  </si>
  <si>
    <t>Titiek Tri I</t>
  </si>
  <si>
    <t>PT.Gading Inti Prima</t>
  </si>
  <si>
    <t>0-7496-4402-8</t>
  </si>
  <si>
    <t>SERI KEBUDAYAAN - BERTANDANG KE SAUNG ANGKLUNG MAG UDJO DI BANDUNG</t>
  </si>
  <si>
    <t>Drs. EDY KARSONO</t>
  </si>
  <si>
    <t>PEDULI LINGKUNGAN HIDUP</t>
  </si>
  <si>
    <t>RANI NOVIANNY
SISKA NURSANTI</t>
  </si>
  <si>
    <t>HARI TEJALESMANA</t>
  </si>
  <si>
    <t>ACARYA MEDIA UTAMA</t>
  </si>
  <si>
    <t>96 hlm; 17,6x25 cm</t>
  </si>
  <si>
    <t>SISTEM INFORMASI &amp; MANAJEMEN PENDIDIKAN</t>
  </si>
  <si>
    <t>MANAJEMEN PENDIDIKAN</t>
  </si>
  <si>
    <t>370 Sistem Informasi dan Manajemen Pendidikan.jpg</t>
  </si>
  <si>
    <t>BELAJAR MEMBACA SAMBIL BERMAIN</t>
  </si>
  <si>
    <t>371.36</t>
  </si>
  <si>
    <t>AMMY RAMDHANIA</t>
  </si>
  <si>
    <t>SUFTY</t>
  </si>
  <si>
    <t>58 hlm; 25 cm</t>
  </si>
  <si>
    <t>JADIKAN LINGKUNGANKU TETAP SEGAR</t>
  </si>
  <si>
    <t>MENJAGA LINGKUNGAN</t>
  </si>
  <si>
    <t>PAHMAN YAZID</t>
  </si>
  <si>
    <t>U. NUURUL</t>
  </si>
  <si>
    <t>PT. INTUISI INSAN MADANI</t>
  </si>
  <si>
    <t>363.7 Jadikan Lingkunganku Tetap Segar.jpg</t>
  </si>
  <si>
    <t>AJISAKA</t>
  </si>
  <si>
    <t>CERITA SUNDA</t>
  </si>
  <si>
    <t>HIDAYAT SURYALAGA, (R.H. )</t>
  </si>
  <si>
    <t>SITI R</t>
  </si>
  <si>
    <t>978-602-8318-88-4</t>
  </si>
  <si>
    <t>32 / A5</t>
  </si>
  <si>
    <t>819 Ajisaka.jpg</t>
  </si>
  <si>
    <t>BESTARI HALIM, (R. )</t>
  </si>
  <si>
    <t>SOPANDI</t>
  </si>
  <si>
    <t>PT. INDAH JAYA</t>
  </si>
  <si>
    <t>64 / A5</t>
  </si>
  <si>
    <t>398.2 Sasakala Sawah Ranca Genggong.jpg</t>
  </si>
  <si>
    <t>PUTRI TUJUH</t>
  </si>
  <si>
    <t>AKUB SUMARNA</t>
  </si>
  <si>
    <t>SUNARTI</t>
  </si>
  <si>
    <t>48 / A5</t>
  </si>
  <si>
    <t>819 Putri Tujuh.jpg</t>
  </si>
  <si>
    <t>BABASAN JEUNG PARIBASA SUNDA LARAPNA DINA OMONGAN</t>
  </si>
  <si>
    <t>PARIBASA</t>
  </si>
  <si>
    <t xml:space="preserve">TATANG SUMARSONO, Drs. </t>
  </si>
  <si>
    <t>CV. GEGER SUNTEN</t>
  </si>
  <si>
    <t>204 / A5</t>
  </si>
  <si>
    <t>390 Babasan jeung Paribasa Sunda Larapna dina Omongan.jpg</t>
  </si>
  <si>
    <t>GOONG SILUMAN</t>
  </si>
  <si>
    <t xml:space="preserve">398.2 </t>
  </si>
  <si>
    <t>DARPAN ARIAWNINANGUN</t>
  </si>
  <si>
    <t>CV. PURI DELCO</t>
  </si>
  <si>
    <t>398.2 Goong Siluman.jpg</t>
  </si>
  <si>
    <t>LEGENDA KAYU MANIS</t>
  </si>
  <si>
    <t>LEGENDA</t>
  </si>
  <si>
    <t>DANDANG A. DAHLAN</t>
  </si>
  <si>
    <t>RACHMI N. HAMIDAWATI</t>
  </si>
  <si>
    <t>ERA PUSTAKA UTAMA</t>
  </si>
  <si>
    <t>978-602-8024-98-3</t>
  </si>
  <si>
    <t>109 / A5</t>
  </si>
  <si>
    <t>398.2 Legenda Kayu Manis.jpg</t>
  </si>
  <si>
    <t>CINDELARAS</t>
  </si>
  <si>
    <t>CERITA INGGRIS</t>
  </si>
  <si>
    <t>EVELYN RIENTJE ELSJELYN</t>
  </si>
  <si>
    <t>RACHMAWATI</t>
  </si>
  <si>
    <t>978-979-056-028-4</t>
  </si>
  <si>
    <t>823 Cindelaras.jpg</t>
  </si>
  <si>
    <t>CIUNG WANARA KAGODA</t>
  </si>
  <si>
    <t>DADAN SUDANA</t>
  </si>
  <si>
    <t>398.2 Ciung Wanara Kagoda.jpg</t>
  </si>
  <si>
    <t>MAUNG KAJAJADEN</t>
  </si>
  <si>
    <t>BUDI RAHAYU TAMSYAH</t>
  </si>
  <si>
    <t>398.2 Maung Kajajaden.jpg</t>
  </si>
  <si>
    <t>PENGADILAN ABU SYAHMAH</t>
  </si>
  <si>
    <t>SUWANTI</t>
  </si>
  <si>
    <t>EBAH SUHAEBAH</t>
  </si>
  <si>
    <t>BADAN PENGEMBANGAN DAN PEMBINAAN BAHASA KEMENDIKBUD</t>
  </si>
  <si>
    <t>978-979-069-033-2</t>
  </si>
  <si>
    <t>80 / A5</t>
  </si>
  <si>
    <t>398.2 Pengadilan Abu Syahmah.jpg</t>
  </si>
  <si>
    <t>PERANG BUBAT</t>
  </si>
  <si>
    <t>REIZA PRIMAYANDI</t>
  </si>
  <si>
    <t>CV. WACANA PRIMA</t>
  </si>
  <si>
    <t>SASAKALA GUNUNG GEDER</t>
  </si>
  <si>
    <t>D. YUNIARDI NURHIDAYAT</t>
  </si>
  <si>
    <t>978-979-24-1746-3</t>
  </si>
  <si>
    <t>398.2 Sasakala Gunung Geder.jpg</t>
  </si>
  <si>
    <t>SASAKALA MARIBAYA</t>
  </si>
  <si>
    <t>SASTRA SUNDA</t>
  </si>
  <si>
    <t>819 Sasakala Maribaya.jpg</t>
  </si>
  <si>
    <t>SI PITUNG</t>
  </si>
  <si>
    <t>NENY ANGGRAENI</t>
  </si>
  <si>
    <t>SURANTI</t>
  </si>
  <si>
    <t>TELAGA TIRTA BENING</t>
  </si>
  <si>
    <t>978-602-9441-13-0</t>
  </si>
  <si>
    <t>398.2 Si Pitung.jpg</t>
  </si>
  <si>
    <t>SI PUCUK KALUMPANG</t>
  </si>
  <si>
    <t>AJIP ROSIDI</t>
  </si>
  <si>
    <t>KIBLAT</t>
  </si>
  <si>
    <t>979-3631-60-0</t>
  </si>
  <si>
    <t>398.2 Si Pucuk Kalumpang.jpg</t>
  </si>
  <si>
    <t>CALON ARANG PENYEBAR BENCANA</t>
  </si>
  <si>
    <t>YULIADI SOEKARDI</t>
  </si>
  <si>
    <t>PUSTAKA SETIA</t>
  </si>
  <si>
    <t>979-730-292-X</t>
  </si>
  <si>
    <t>LUTUNG KASARUNG</t>
  </si>
  <si>
    <t>DUDEN AKHMAD P</t>
  </si>
  <si>
    <t>NUNI</t>
  </si>
  <si>
    <t>978-602-8318-64-8</t>
  </si>
  <si>
    <t>398.2 Lutung Kasarung.jpg</t>
  </si>
  <si>
    <t>MAHIR BERCERITA</t>
  </si>
  <si>
    <t>372.6</t>
  </si>
  <si>
    <t>LITERATUR</t>
  </si>
  <si>
    <t>JOHAN WAHYUDI</t>
  </si>
  <si>
    <t>DWI MADIYO WARSONO</t>
  </si>
  <si>
    <t>978-602-9124-05-7</t>
  </si>
  <si>
    <t>372.6 Mahir Bercerita.jpg</t>
  </si>
  <si>
    <t>KUMPULAN PERIBAHASA PANTUN</t>
  </si>
  <si>
    <t>PERIBAHASA PANTUN</t>
  </si>
  <si>
    <t>CV CAHAYA AGENCY</t>
  </si>
  <si>
    <t>398 Kumpulan Peribahasa Pantun.jpg</t>
  </si>
  <si>
    <t>PUTRA BANTEN</t>
  </si>
  <si>
    <t>RUSTANDIE, (A.M. )</t>
  </si>
  <si>
    <t>398.2 Putra Banten.jpg</t>
  </si>
  <si>
    <t>DONGENG-DONGENG SASAKALA</t>
  </si>
  <si>
    <t>CERITA RAKYAT SUNDA</t>
  </si>
  <si>
    <t>KI UMBARA</t>
  </si>
  <si>
    <t>DEDI SUBAGJA</t>
  </si>
  <si>
    <t>398.2 Dongeng-Dongeng Sasakala.jpg</t>
  </si>
  <si>
    <t>BUDI PEKERTI BERTAMU</t>
  </si>
  <si>
    <t>JANU MURDIYATMOKO</t>
  </si>
  <si>
    <t>YULIA N - MUSLIM NURDIN</t>
  </si>
  <si>
    <t>CV KARYA MANDIRI PRATAMA</t>
  </si>
  <si>
    <t>978-979-004-011-3</t>
  </si>
  <si>
    <t>KOSWARA</t>
  </si>
  <si>
    <t>BALAI PUSTAKA</t>
  </si>
  <si>
    <t>DONGENG - DONGENG PINILIH</t>
  </si>
  <si>
    <t>TIM EDITOR MANNA WASALWA</t>
  </si>
  <si>
    <t>MANNA WASALWA</t>
  </si>
  <si>
    <t>819 Dongeng-Dongeng Pinilih.jpg</t>
  </si>
  <si>
    <t>RINGKASAN CERITA DONGENG NUSANTARA</t>
  </si>
  <si>
    <t>EDY KARSONO, (DRS. )</t>
  </si>
  <si>
    <t>CV KARYA PUTRA DARWATI</t>
  </si>
  <si>
    <t>398.2 Ringkasan Cerita Dongeng Nusantara.jpg</t>
  </si>
  <si>
    <t>DONGENG-DONGENG TI KARAWANG</t>
  </si>
  <si>
    <t>DARPAN, S.PD , YUHDIATNA, S.PD</t>
  </si>
  <si>
    <t>978-979-8001-16-1</t>
  </si>
  <si>
    <t>CERITA RAKYAT | TEMBA KOLO</t>
  </si>
  <si>
    <t>ALAN MALINGI</t>
  </si>
  <si>
    <t>DEDY HIDAYAT</t>
  </si>
  <si>
    <t>CV. MAHANI PERSADA</t>
  </si>
  <si>
    <t>979-3832-01-0</t>
  </si>
  <si>
    <t>398.2 Temba Kolo.jpg</t>
  </si>
  <si>
    <t>HUBUNGAN ANTARA PANTUN DENGAN PERIBAHASA MINANGKABAU-INDONESIA</t>
  </si>
  <si>
    <t>PERIBAHASA DAN PANTUN</t>
  </si>
  <si>
    <t>YOSE RIZAL SIDI MARAJO</t>
  </si>
  <si>
    <t>CV. PUSTAKA SETIA</t>
  </si>
  <si>
    <t>398 Hubungan Antara Pantun dan Peribahasa - Minangkabau-Indonesia.jpg</t>
  </si>
  <si>
    <t>CERITA RAKYAT CINA</t>
  </si>
  <si>
    <t>RINA HASAN</t>
  </si>
  <si>
    <t>MARTHA NINA KENYAR</t>
  </si>
  <si>
    <t>CV. ANDI OFFSET</t>
  </si>
  <si>
    <t>978-979-29-3894</t>
  </si>
  <si>
    <t>398.2 Cerita Rakyat CIna.jpg</t>
  </si>
  <si>
    <t>JAKA TARUB NAWANG WULAN DAN KISAH-KISAH LAINNYA</t>
  </si>
  <si>
    <t>GIN SUBIHARSO</t>
  </si>
  <si>
    <t>398.2 Jaka Tarub Nawang Wulan.jpg</t>
  </si>
  <si>
    <t>99 CARA MENJADIKAN ANAK ANDA BERGAIRAH MENULIS</t>
  </si>
  <si>
    <t>PSIKOLOGI PENGAJARAN</t>
  </si>
  <si>
    <t>MARY LEONHARDT</t>
  </si>
  <si>
    <t>FEMMY SYAHRANI</t>
  </si>
  <si>
    <t>979-9452-19-8</t>
  </si>
  <si>
    <t>370.15 99 Cara Menjadikan Anak Anda Bergairah Menulis.jpg</t>
  </si>
  <si>
    <t>KUMPULAN CERITA RAKYAT PROVINSI NUSA TENGGARA TIMUR</t>
  </si>
  <si>
    <t>MAYA ROHMAYATI &amp; YODI KURNIADI</t>
  </si>
  <si>
    <t>AZMA LUTFIANSYAH &amp; JODI ANDREA</t>
  </si>
  <si>
    <t>978-979-678-443-1</t>
  </si>
  <si>
    <t>398.2 Kumpulan Cerita Rakyat Prov NTT.jpg</t>
  </si>
  <si>
    <t>KUMPULAN CERITA RAKYAT PROVINSI SULAWESI SELATAN</t>
  </si>
  <si>
    <t>HEPPI ALKUSAERI &amp; ROHMAT KURNIA</t>
  </si>
  <si>
    <t>U. KARMAN</t>
  </si>
  <si>
    <t>978-979-678-448-6</t>
  </si>
  <si>
    <t>398.2 Kumpulan Cerita Rakyat Prov Sulsel.jpg</t>
  </si>
  <si>
    <t>NYI RORO KIDUL</t>
  </si>
  <si>
    <t>TATI PURMAWATI</t>
  </si>
  <si>
    <t>GEGER SUNTEN</t>
  </si>
  <si>
    <t>398.2 - Nyi Roro Kidul.jpg</t>
  </si>
  <si>
    <t>SASAKALA KARANG NINI</t>
  </si>
  <si>
    <t>BUKU CERITA RAKYAT</t>
  </si>
  <si>
    <t>HIDAYAT SUSANTO</t>
  </si>
  <si>
    <t>PT INDAHJAYA ADIPRATAMA</t>
  </si>
  <si>
    <t>978-979-24-1726-5</t>
  </si>
  <si>
    <t>398.2 Sasakala Karang Nini.jpg</t>
  </si>
  <si>
    <t>KUMPULAN PERIBAHASA</t>
  </si>
  <si>
    <t>398.9</t>
  </si>
  <si>
    <t>PERIBAHASA</t>
  </si>
  <si>
    <t>MOH. KUSNADI WASRIE</t>
  </si>
  <si>
    <t>TIM PENERBIT</t>
  </si>
  <si>
    <t>LINGKAR MEDIA</t>
  </si>
  <si>
    <t>398.9 Kumpulan Peribahasa.jpg</t>
  </si>
  <si>
    <t>SANGKURIANG KESIANGAN (SEBUAH CERITA PANTUN SUNDA)</t>
  </si>
  <si>
    <t>154 hlm; 14,5x21 cm</t>
  </si>
  <si>
    <t>398.2 Sangkuriang Kesiangan.jpg</t>
  </si>
  <si>
    <t>CERITA RAKYAT NUSANTARA - TIMUN EMAS, BUTO IJO DAN KISAH-KISAH LAINNYA</t>
  </si>
  <si>
    <t>398.2 Timun Emas, Buto Ijo dan Kisah-kisah lainnya.jpg</t>
  </si>
  <si>
    <t>CERITA RAKYAT NUSANTARA - ASAL MULA KALIMAS DAN KISAH-KISAH LAINNYA</t>
  </si>
  <si>
    <t>398.2 - Asal Mula Kalimas dan Kisah-Kisah Lainnya.jpg</t>
  </si>
  <si>
    <t>CERITA RAKYAT NUSANTARA - ASAL MULA PULAU SIKINTAN DAN KISAH-KISAH LAINNYA</t>
  </si>
  <si>
    <t>398.2 Asal Mula Pulau Si Kintan dan Kisah-kisah lainnya.jpg</t>
  </si>
  <si>
    <t>PENDIDIKAN NASIONAL MELALUI PERANGKO - CERITA RAKYAT - SERI LEGENDA DARI JAWA, BALI, DAN KALIMANTAN</t>
  </si>
  <si>
    <t>VALENTINO BARUS, Drs. ,
Dra. MM. TRI S. MILDAWANI, MA.,
Dra. DORINA. Sm,
RIYANTO, SE.</t>
  </si>
  <si>
    <t>IVAN</t>
  </si>
  <si>
    <t>PT. LESTARI KIRANATAMA</t>
  </si>
  <si>
    <t>52 hlm; A5</t>
  </si>
  <si>
    <t>398.2 Cerita Rakyat Seri Legenda dari Jawa, Bali, dan Kalimantan.jpg</t>
  </si>
  <si>
    <t>PENDIDIKAN NASIONAL MELALUI PERANGKO - CERITA RAKYAT - SERI LEGENDA DARI INDONESIA TIMUR</t>
  </si>
  <si>
    <t>Drs. VALENTINO BARUS,
Dra. MM. TRI S. MILDAWANI, MA.,
Dra. DORINA. Sm,
RIYANTO, SE.</t>
  </si>
  <si>
    <t>54 hlm; A5</t>
  </si>
  <si>
    <t>398.2 Cerita Rakyat : Seri Legenda dari Indonesia Timur.jpg</t>
  </si>
  <si>
    <t>PENDIDIKAN NASIONAL MELALUI PERANGKO - CERITA RAKYAT - SERI LEGENDA DARI SUMATERA</t>
  </si>
  <si>
    <t>VALENTINO BARUS, (Drs. )
Dra. MM. TRI S. MILDAWANI, MA.,
Dra. DORINA. Sm,
RIYANTO, SE.</t>
  </si>
  <si>
    <t>55 hlm; A5</t>
  </si>
  <si>
    <t>398.2 Cerita Rakyat - Seri Legenda dari Sumatera.jpg</t>
  </si>
  <si>
    <t>KUMPULAN CERITA RAKYAT NUSANTARA - LENGKAP DARI 34 PROVINSI</t>
  </si>
  <si>
    <t>YUSTIA ANGELIA</t>
  </si>
  <si>
    <t>MB. RAHIMSYAH A R</t>
  </si>
  <si>
    <t>LINTAS MEDIA JOMBANG</t>
  </si>
  <si>
    <t>398.2 Kumpulan Cerita Rakyat Nusantara - Lengkap dari 34 Provinsi.jpg</t>
  </si>
  <si>
    <t>CERITA RAKYAT NUSANTRA - PUSAKA AMPUH JOKO TENGGER DAN KISAH-KISAH LAINNYA</t>
  </si>
  <si>
    <t>398.2 Pusaka Ampuh Joko Tengger.jpg</t>
  </si>
  <si>
    <t>ASAL MULA DANAU TOBA</t>
  </si>
  <si>
    <t>392.2</t>
  </si>
  <si>
    <t>TIRA IKRANEGARA</t>
  </si>
  <si>
    <t>IR. ANAM</t>
  </si>
  <si>
    <t>SERBA JAYA</t>
  </si>
  <si>
    <t>398.2 Asal Mula Danau Toba.jpg</t>
  </si>
  <si>
    <t>SASAKALA TALAGA WARNA</t>
  </si>
  <si>
    <t>ELIN SJAMSURI</t>
  </si>
  <si>
    <t>PT KIBLAT BUKU UTAMA</t>
  </si>
  <si>
    <t>398.2 Sasakala Talaga Warna.jpg</t>
  </si>
  <si>
    <t>SERI CERITA RAKYAT - DARI AFRIKA - PANGERAN SINGA</t>
  </si>
  <si>
    <r>
      <rPr>
        <rFont val="&quot;Google Sans&quot;, Roboto, sans-serif"/>
        <color rgb="FF1F1F1F"/>
        <sz val="11.0"/>
      </rPr>
      <t>398.2</t>
    </r>
  </si>
  <si>
    <t>KAK YAN</t>
  </si>
  <si>
    <t>398.2 Seri Cerita Rakyat dari Afrika Pangeran Singa.jpg</t>
  </si>
  <si>
    <t>KUMPULAN DONGENG SI KANCIL</t>
  </si>
  <si>
    <t xml:space="preserve">RAHIMSYAH. AR, MB. </t>
  </si>
  <si>
    <t>HASBY LAWRENCE</t>
  </si>
  <si>
    <t>DUA MEDIA</t>
  </si>
  <si>
    <t>398.2 Kumpulan Dongeng Si Kancil.jpg</t>
  </si>
  <si>
    <t>SERI DONGENG POPULER ANAK INDONESIA | ANDE-ANDE LUMUT</t>
  </si>
  <si>
    <t>TIRA IKRANEGARA - MB. RAHIMSYAH</t>
  </si>
  <si>
    <t>PUSTAKA AGUNG HARAPAN</t>
  </si>
  <si>
    <t>398.2 Seri Dongeng Populer Anak Indonesia - Ande-Ande Lumut.jpg</t>
  </si>
  <si>
    <t>BENDERA MERAH</t>
  </si>
  <si>
    <t>808.8</t>
  </si>
  <si>
    <t>KUMPULAN CERPEN</t>
  </si>
  <si>
    <t>JUNIARSO RIDWAN</t>
  </si>
  <si>
    <t>YUS R. ISMAIL</t>
  </si>
  <si>
    <t>PUSTAKA LATIFAH</t>
  </si>
  <si>
    <t>80 hlm; 21 cm</t>
  </si>
  <si>
    <t>808.8 Bendera Merah.jpg</t>
  </si>
  <si>
    <t>BENCANA ALAM DAN DAMPAKNYA</t>
  </si>
  <si>
    <t>PERISTIWA</t>
  </si>
  <si>
    <t>ELFIATI, W.</t>
  </si>
  <si>
    <t>HANIM M</t>
  </si>
  <si>
    <t>CV KELOMPOK PENINGKATAN POTENSI SISWA</t>
  </si>
  <si>
    <t>978-602-1955-67-3</t>
  </si>
  <si>
    <t>904 Bencana Alam dan Dampaknya.jpg</t>
  </si>
  <si>
    <t>BENCANA MASA DEPAN</t>
  </si>
  <si>
    <t>363.3</t>
  </si>
  <si>
    <t>KEAMANAN BENCANA ALAM</t>
  </si>
  <si>
    <t>YULI ASTUTI, S.PD</t>
  </si>
  <si>
    <t>CV MATA PEDANG ILMU</t>
  </si>
  <si>
    <t>978-602-9430-14-1</t>
  </si>
  <si>
    <t>363.3 Bencana Masa Depan.jpg</t>
  </si>
  <si>
    <t>PALANG MERAH INTERNASIONAL</t>
  </si>
  <si>
    <t>361.77</t>
  </si>
  <si>
    <t>WAHYUNI</t>
  </si>
  <si>
    <t>HANIM. M</t>
  </si>
  <si>
    <t>GARUDA TITIS SEKSAMA</t>
  </si>
  <si>
    <t>978-602-9452-01-3</t>
  </si>
  <si>
    <t>361.77 Palang Merah Internasional.jpg</t>
  </si>
  <si>
    <t>MENGENAL PERSERIKATAN BANGSA-BANGSA (PBB)</t>
  </si>
  <si>
    <t>352.113</t>
  </si>
  <si>
    <t>PERSERIKATAN BANGSA-BANGSA, PBB</t>
  </si>
  <si>
    <t>ANIK NURCAHYATI</t>
  </si>
  <si>
    <t>TIM EDITOR IPS</t>
  </si>
  <si>
    <t>978-979-045-462-0</t>
  </si>
  <si>
    <t>108 hlm;
17,6 x 25 cm</t>
  </si>
  <si>
    <t>352.113 Mengenal Perserikatan Bangsa-Bangsa (PBB).jpg</t>
  </si>
  <si>
    <t>CUT NYAK DHIEN (1850-1908)</t>
  </si>
  <si>
    <t>BIOGRAFI TOKOH</t>
  </si>
  <si>
    <t>KAMAJAYA</t>
  </si>
  <si>
    <t>ARIES W. NOOR</t>
  </si>
  <si>
    <t>CV. MUARA INDAH BANDUNG</t>
  </si>
  <si>
    <t>923 Cut Nyak Dhien (1850 - 1908).jpg</t>
  </si>
  <si>
    <t>ANTARA HYPNO NLP &amp; PRESTASI OLAHRAGA</t>
  </si>
  <si>
    <t>796.01</t>
  </si>
  <si>
    <t>PSIKOLOGI OLAHRAGA</t>
  </si>
  <si>
    <t>M SYAIFUL S DIKKI</t>
  </si>
  <si>
    <t>YAYASAN BINA PRESTASI BANGSA</t>
  </si>
  <si>
    <t>111 hlm.</t>
  </si>
  <si>
    <t>796.01 Antara Hypno NLP &amp; Prestasi Olahraga.jpg</t>
  </si>
  <si>
    <t>MASALAH-MASALAH LINGKUNGAN DI BERBAGAI NEGARA</t>
  </si>
  <si>
    <t>NIAGA BUKU PENDIDIKAN</t>
  </si>
  <si>
    <t>978-602-9109-66-5</t>
  </si>
  <si>
    <t>60 hlm. ;
17,6 x 25 cm</t>
  </si>
  <si>
    <t>363.7 Masalah-Masalah Lingkungan di Berbagai Negara.jpg</t>
  </si>
  <si>
    <t>PERBANDINGAN SISTEM PENDIDIKAN 15 NEGARA</t>
  </si>
  <si>
    <t>PENDIDIKAN DAN NEGARA</t>
  </si>
  <si>
    <t>Prof.Dr. Drs. H. AGUSTIAR SYAH NUR</t>
  </si>
  <si>
    <t>CV.LUBUK AGUNG</t>
  </si>
  <si>
    <t>979505175X</t>
  </si>
  <si>
    <t>330 hlm ; 25 cm</t>
  </si>
  <si>
    <t>379 Perbandingan Sistem Pendidikan 15 Negara.jpg</t>
  </si>
  <si>
    <t>JIKA PERBEDAAN MEMBUAT KAYA, MENGAPA HARUS SENGSARA</t>
  </si>
  <si>
    <t>BUDAYA &amp; LEMBAGA</t>
  </si>
  <si>
    <t>ANISSA NURHIDAYATI</t>
  </si>
  <si>
    <t>978-602-9108-35-4</t>
  </si>
  <si>
    <t>306 Jika Perbedaan Membuat Kaya, Mengapa Harus Sengsara?.jpg</t>
  </si>
  <si>
    <t>SUKU BANGSA DAN BAHASA (PROVINSI SULAWESI SELATAN, PROVINSI NTB, DAN PROVINSI NTT)</t>
  </si>
  <si>
    <t>ETNIS</t>
  </si>
  <si>
    <t>ROSSALINA P
ICHSAN S
LENI A</t>
  </si>
  <si>
    <t>TIM EDITOR SARANA PANCA KARYA NUSA</t>
  </si>
  <si>
    <t>PT SARANA PNACA KARYA NUSA</t>
  </si>
  <si>
    <t>305.8 Suku Bangsa dan Bahasa.jpg</t>
  </si>
  <si>
    <t>PANCASILA DAN SIKAP REMAJA</t>
  </si>
  <si>
    <t>320.5</t>
  </si>
  <si>
    <t>978-602-8714-17-4</t>
  </si>
  <si>
    <t>320.5 Pancasila dan Sikap Remaja.jpg</t>
  </si>
  <si>
    <t>ANGGARAN DASAR, ANGGARAN RUMAH TANGGA, DAN PERATURAN ORGANISASI | KOMITE PEMUDA INDONESIA (KNPI)</t>
  </si>
  <si>
    <t>307</t>
  </si>
  <si>
    <t>KOMUNITAS</t>
  </si>
  <si>
    <t>KNPI</t>
  </si>
  <si>
    <t>DEWAN PENGURUS DAERAH KNPI PROV. JAWA BARAT</t>
  </si>
  <si>
    <t>LEBIH TAHU TENTANG PERIBAHASA</t>
  </si>
  <si>
    <t>398</t>
  </si>
  <si>
    <t>BERTAHINDARA</t>
  </si>
  <si>
    <t>RINA MEGAWATI</t>
  </si>
  <si>
    <t>978-602-9455-14-4</t>
  </si>
  <si>
    <t>398 Lebih Tahu Tentang Peribahasa.jpg</t>
  </si>
  <si>
    <t>KEARIFAN LOKAL : BENTENG KERUKUNAN</t>
  </si>
  <si>
    <t>390</t>
  </si>
  <si>
    <t>ADAT ISTIADAT DAN KEBIASAAN MASYARAKAT BERDASARKAN STATUS EKONOMI DAN KELAS SOSIAL</t>
  </si>
  <si>
    <t>SAMITA RADMIL</t>
  </si>
  <si>
    <t>F. PRAMESWARI</t>
  </si>
  <si>
    <t>PT. GADING INTI PRIMA</t>
  </si>
  <si>
    <t>978-602-8608-85-5</t>
  </si>
  <si>
    <t>390 Kearifan Lokal : Benteng Kerukunan.jpg</t>
  </si>
  <si>
    <t>JUBAH MERAH BERLIAN</t>
  </si>
  <si>
    <t>CERITA RAKYAT, DONGENG, MITOS, MITOLOGI</t>
  </si>
  <si>
    <t>JENNY ANGGITA</t>
  </si>
  <si>
    <t>AANG PERMANA,
KRESTIYATI M TANASSY</t>
  </si>
  <si>
    <t>66 hlm; 17,6x25 cm</t>
  </si>
  <si>
    <t>398.2 Jubah Merah Berlian.jpg</t>
  </si>
  <si>
    <t>BUNGA RAMPAI CERITA RAKYAT ACEH III</t>
  </si>
  <si>
    <t>SALMAN HAKIM</t>
  </si>
  <si>
    <t>HIKMATULLAH FIRDAUS</t>
  </si>
  <si>
    <t>76 hlm; 21x29,7 cm</t>
  </si>
  <si>
    <t>398.2 Bunga Rampai - Cerita Rakyat Aceh III.jpg</t>
  </si>
  <si>
    <t>BUNGA RAMPAI CERITA RAKYAT ACEH</t>
  </si>
  <si>
    <t>978-979-016-578-6</t>
  </si>
  <si>
    <t>398.2 Bunga Rampai - Cerita Rakyat Aceh.jpg</t>
  </si>
  <si>
    <t>BERWIRAUSAHA PRODUK PENGASINAN</t>
  </si>
  <si>
    <t>641.5</t>
  </si>
  <si>
    <t>KEWIRAUSAHAAN TERKAIT MAKANAN</t>
  </si>
  <si>
    <t>PRAYITNO ABADI, S, Si</t>
  </si>
  <si>
    <t>BINA SARANA PUSTAKA</t>
  </si>
  <si>
    <t>641.5 Berwirausaha Produk Pengasinan.jpg</t>
  </si>
  <si>
    <t>KUMPULAN CERITA RAKYAT NUSANTARA | DONGENG-LEGENDA-FABEL-MITOS-EPOS</t>
  </si>
  <si>
    <t>YUDHISTIRA IKRANEGARA</t>
  </si>
  <si>
    <t>398.2 Kumpulan Cerita Rakyat Nusantara - Dongeng-Legenda-Fabel-Mitos-Epos.jpg</t>
  </si>
  <si>
    <t>KATUMBIRI - KARYA TULIS KAMARI</t>
  </si>
  <si>
    <t>WAHYU WABISANA, SPK, (Drs.)</t>
  </si>
  <si>
    <t>398.2 Katumbiri - Karya Tulis Kamari.jpg</t>
  </si>
  <si>
    <t>PENGAJARAN KOMPETENSI BAHASA</t>
  </si>
  <si>
    <t>401.4</t>
  </si>
  <si>
    <t>BAHASA DAN KOMUNIKASI, LEKSIKOLOGI</t>
  </si>
  <si>
    <t xml:space="preserve">HENRY GUNTUR, Prof. DR. </t>
  </si>
  <si>
    <t>CV. ANGKASA</t>
  </si>
  <si>
    <t>978-979-665-601-0</t>
  </si>
  <si>
    <t>401.4 Pengajaran Kompetensi Bahasa.jpg</t>
  </si>
  <si>
    <t>PENULISAN KREATIF UNTUK ANAK</t>
  </si>
  <si>
    <t>411</t>
  </si>
  <si>
    <t>SISTEM TULISAN, PENULISAN</t>
  </si>
  <si>
    <t>NANING PRANOTO</t>
  </si>
  <si>
    <t>SUKINI</t>
  </si>
  <si>
    <t>978-979-045-420-0</t>
  </si>
  <si>
    <t>CERMAT BERBAHASA INDONESIA UNTUK PERGURUAN TINGGI</t>
  </si>
  <si>
    <t>410</t>
  </si>
  <si>
    <t>LINGUISTIK</t>
  </si>
  <si>
    <t xml:space="preserve">ZAENAL ARIFIN, E. </t>
  </si>
  <si>
    <t>AKADEMIKA PRESSINDO</t>
  </si>
  <si>
    <t>978-979-8035-51-8</t>
  </si>
  <si>
    <t>270 / A5</t>
  </si>
  <si>
    <t>410 Cermat Berbahasa Indonesia untuk Perguruan Tinggi.jpg</t>
  </si>
  <si>
    <t>STRATEGIES TO IDENTIFY THE MAIN IDEA CARA JITU MENEMUKAN IDE POKOK</t>
  </si>
  <si>
    <t>420</t>
  </si>
  <si>
    <t>BAHASA INGGRIS</t>
  </si>
  <si>
    <t>IWUK P</t>
  </si>
  <si>
    <t>PT. CITRA AJI PRATAMA</t>
  </si>
  <si>
    <t>979-1464-63-5</t>
  </si>
  <si>
    <t>BERBICARA SEBAGAI SUATU KETERAMPILAN BERBAHASA</t>
  </si>
  <si>
    <t>RETORIKA</t>
  </si>
  <si>
    <t>TIM PENYUNTING ANGKASA</t>
  </si>
  <si>
    <t>978-979-665-902-9</t>
  </si>
  <si>
    <t>808 Berbicara Sebagai Suatu Keterampilan Berbahasa.jpg</t>
  </si>
  <si>
    <t>KASUS-KASUS KEBAHASAAN DALAM PENGUMUMAN, PAPAN PETUNJUK, DAN PAPAN NAMA</t>
  </si>
  <si>
    <t>TOPIK MULYANA</t>
  </si>
  <si>
    <t>978-602-9110-01-2</t>
  </si>
  <si>
    <t>813 Kasus-Kasus Kebahasaan dalam Pengumuman, Papan Petunjuk dan Papan Nama.jpg</t>
  </si>
  <si>
    <t>SPEAK UP</t>
  </si>
  <si>
    <t>421.55</t>
  </si>
  <si>
    <t>EJAAN BAHASA INGGRIS, PENGUCAPAN BAHASA INGGRIS</t>
  </si>
  <si>
    <t xml:space="preserve">KRISTIN NINGRUM, E. </t>
  </si>
  <si>
    <t>978-602-9109-18-2</t>
  </si>
  <si>
    <t>421.55 Speak Up!.jpg</t>
  </si>
  <si>
    <t>VERB, ADVERB, AND ADJECTIVE</t>
  </si>
  <si>
    <t>LINGUISTIK BAHASA INGGRIS</t>
  </si>
  <si>
    <t>NETI SURIANA</t>
  </si>
  <si>
    <t>978-602-9108-14-9</t>
  </si>
  <si>
    <t>420 Verb, Adverb, and Adjective.jpg</t>
  </si>
  <si>
    <t>EYD EJAAN YANG DISEMPURNAKAN</t>
  </si>
  <si>
    <t>411.52</t>
  </si>
  <si>
    <t>EJAAN DAN UCAPAN</t>
  </si>
  <si>
    <t>978-602-350-010-9</t>
  </si>
  <si>
    <t>411.52 EYD - Ejaan Yang Disempurnakan.jpg</t>
  </si>
  <si>
    <t>KAMEKARAN, ADEGAN, JEUNG KANDAGA KECAP BASA SUNDA</t>
  </si>
  <si>
    <t>BAHASA SUNDA</t>
  </si>
  <si>
    <t xml:space="preserve">ABUD P, Drs. </t>
  </si>
  <si>
    <t>87 / A5</t>
  </si>
  <si>
    <t>418 Kamekaran, Adegan, Jeung Kandaga Kecap Basa Sunda.jpg</t>
  </si>
  <si>
    <t>KAMUS BAHASA INDONESIA - SUNDA</t>
  </si>
  <si>
    <t>KAMUS BAHASA SUNDA</t>
  </si>
  <si>
    <t xml:space="preserve">TOFFANDI, A. </t>
  </si>
  <si>
    <t>CAHYA REMADJA</t>
  </si>
  <si>
    <t>418 Kamus Bahasa Indonesia - Sunda.jpg</t>
  </si>
  <si>
    <t>KAMUS BAHASA INDONESIA</t>
  </si>
  <si>
    <t>413</t>
  </si>
  <si>
    <t>KAMUS</t>
  </si>
  <si>
    <t>HERMAWAN AKSAN</t>
  </si>
  <si>
    <t>IRWAN KURNIAWAN, MAE</t>
  </si>
  <si>
    <t>413 Kamus Bahasa Indonesia.jpg</t>
  </si>
  <si>
    <t>KAMUS ISTILAH SASTRA</t>
  </si>
  <si>
    <t>PANUTI SUDJIMAN</t>
  </si>
  <si>
    <t>PENERBIT UNIVERSITAS INDONESIA</t>
  </si>
  <si>
    <t>979-456-069-3</t>
  </si>
  <si>
    <t>TATA BAHASA BAKU BAHASA INDONESIA</t>
  </si>
  <si>
    <t>LINGUISTIK, BAHASA INDONESIA</t>
  </si>
  <si>
    <t>HASAN ALWI</t>
  </si>
  <si>
    <t>BELAJAR MENJADI SEORANG PENDONGENG</t>
  </si>
  <si>
    <t>793.84</t>
  </si>
  <si>
    <t>KETERAMPILAN MENDONGENG</t>
  </si>
  <si>
    <t>979-9148-61-8</t>
  </si>
  <si>
    <t>793.84 Belajar Menjadi Seorang Pendongeng.jpg</t>
  </si>
  <si>
    <t>BELAJAR PARTS OF SPEECH</t>
  </si>
  <si>
    <t>ISMA NOOR ANGGRAENI</t>
  </si>
  <si>
    <t>978-602-9108-13-2</t>
  </si>
  <si>
    <t>420 Belajar Parts of Speech.jpg</t>
  </si>
  <si>
    <t>BERKREASI DENGAN KALIMAT</t>
  </si>
  <si>
    <t>415</t>
  </si>
  <si>
    <t>TATA BAHASA, KALIMAT, SINTAKSIS, KATA</t>
  </si>
  <si>
    <t>M.G. HESTI PUJI RASTUTI</t>
  </si>
  <si>
    <t>MENULIS RANGKUMAN DAN SINOPSIS BUKU</t>
  </si>
  <si>
    <t>Y. BUDI ARTATI</t>
  </si>
  <si>
    <t>PANDAI MEMAHAMI DAN MENULIS CERITA PENDEK</t>
  </si>
  <si>
    <t>ENDANG KRISTIN N &amp; INDAH WIDAYATI</t>
  </si>
  <si>
    <t>979-9148-63-4</t>
  </si>
  <si>
    <t>411 Pandai Memahami &amp; Menulis Cerita Pendek.jpg</t>
  </si>
  <si>
    <t>PEDOMAN UMUM EJAAN BAHASA INDONESIA YANG DISEMPURNAKAN DAN PEDOMAN UMUM PEMBENTUKAN ISTILAH</t>
  </si>
  <si>
    <t>CV PUSTAKA SETIA</t>
  </si>
  <si>
    <t>SARIPATI BASA SUNDA</t>
  </si>
  <si>
    <t>AHMAD HADI KS</t>
  </si>
  <si>
    <t>ROHMAT K</t>
  </si>
  <si>
    <t>64 /A5</t>
  </si>
  <si>
    <t>ILMU BAHASA INDONESIA SINTAKSIS</t>
  </si>
  <si>
    <t>Prof. Drs. M. RAMLAN</t>
  </si>
  <si>
    <t>CV. KARYONO-YOGYAKARTA</t>
  </si>
  <si>
    <t>HAYU LESTARIKAN SUNDA YANG TERLUPAKAN</t>
  </si>
  <si>
    <t>AGUS SIMALANGO</t>
  </si>
  <si>
    <t>418 Hayu Lestarikan Sunda yang Terlupakan.jpg</t>
  </si>
  <si>
    <t>ULIKAN SEMANTIK SUNDA</t>
  </si>
  <si>
    <t>Drs. YAYAT SUDARYAT</t>
  </si>
  <si>
    <t>ULIKAN WACANA BASA SUNDA</t>
  </si>
  <si>
    <t>AGREEMENT AND DISAGREEMENT</t>
  </si>
  <si>
    <t>EKO</t>
  </si>
  <si>
    <t>BERI BAGJA PUTRA</t>
  </si>
  <si>
    <t>PT REGINA EKA UTAMA</t>
  </si>
  <si>
    <t>978-602-96799-35-6</t>
  </si>
  <si>
    <t>MAKNA KATA DAN MAJAS</t>
  </si>
  <si>
    <t>TEORI BAHASA</t>
  </si>
  <si>
    <t>MEILANY</t>
  </si>
  <si>
    <t>YUYUNG</t>
  </si>
  <si>
    <t>410 Makna Kata dan Majas.jpg</t>
  </si>
  <si>
    <t>PEDOMAN UMUM EYD</t>
  </si>
  <si>
    <t>SCIENTIFIC PRESS</t>
  </si>
  <si>
    <t>411.52 Pedoman Umum EYD.jpg</t>
  </si>
  <si>
    <t>PENGGUNAAN TANDA BACA YANG BAIK DAN BENAR</t>
  </si>
  <si>
    <t>SISTEM TULISAN DAN PENULISAN</t>
  </si>
  <si>
    <t>THARSYA RIESKYANA</t>
  </si>
  <si>
    <t>ENDANG</t>
  </si>
  <si>
    <t>978-602-9107-03-6</t>
  </si>
  <si>
    <t>411 Penggunaan Tanda Baca yang Baik dan Benar.jpg</t>
  </si>
  <si>
    <t>MUDAH MEMBACA TEKS BAHASA INGGRIS</t>
  </si>
  <si>
    <t>RITA RISMIATI</t>
  </si>
  <si>
    <t>TANTI SETIAWATI</t>
  </si>
  <si>
    <t>420 Mudah Membaca Teks Bahasa Inggris.jpg</t>
  </si>
  <si>
    <t>MEMBINA KETRAMPILAN MENULIS PARAGRAF DAN PENGEMBANGANNYA</t>
  </si>
  <si>
    <t>Dr. DJAGO TARIGAN</t>
  </si>
  <si>
    <t>BUDI HENDRIYANA</t>
  </si>
  <si>
    <t>PENERBIT ANGKASA BANDUNG</t>
  </si>
  <si>
    <t>58 hlm</t>
  </si>
  <si>
    <t>TERAMPIL BERDISKUSI DAN BERDEBAT</t>
  </si>
  <si>
    <t>PROF. DR. M. ATAR SEMI</t>
  </si>
  <si>
    <t>TIM ANGKASA</t>
  </si>
  <si>
    <t>TITIAN ILMU</t>
  </si>
  <si>
    <t>LET'S STUDY PREPOSITIONS | MARI BELAJAR PREPOSISI</t>
  </si>
  <si>
    <t>IDA MAHARANI</t>
  </si>
  <si>
    <t>INAWATI</t>
  </si>
  <si>
    <t>PEPERENIAN</t>
  </si>
  <si>
    <t>AHMAD HADIi, (Drs.  ) dkk</t>
  </si>
  <si>
    <t>DEDE RAHMAT</t>
  </si>
  <si>
    <t>418 Peperenian.jpg</t>
  </si>
  <si>
    <t>BELAJAR GENRE!!!</t>
  </si>
  <si>
    <t>978-602-9107-15-9</t>
  </si>
  <si>
    <t>420 Belajar Genre!!.jpg</t>
  </si>
  <si>
    <t>GAYA BAHASA DAN PERIBAHASA DALAM BAHASA INDONESIA</t>
  </si>
  <si>
    <t>PT INTAN PARIWARA</t>
  </si>
  <si>
    <t>A SERIES OF DAILY EXPRESSIONS | HAVE A TELEPHONE TALK</t>
  </si>
  <si>
    <t>NUR H. RAHMAWATI</t>
  </si>
  <si>
    <t>CICIK KURNIAWATI</t>
  </si>
  <si>
    <t>PAKAR RAYA</t>
  </si>
  <si>
    <t>MENGENAL JENIS TULISAN</t>
  </si>
  <si>
    <t>TEORI SASTRA</t>
  </si>
  <si>
    <t>PURI DELCO</t>
  </si>
  <si>
    <t>978-602-8713-16-0</t>
  </si>
  <si>
    <t>800 Mengenal Jenis Tulisan.jpg</t>
  </si>
  <si>
    <t>KREATIF MEMBUAT RAGAM TULISAN</t>
  </si>
  <si>
    <t>KUMPULAN TULISAN ILMU BAHASA</t>
  </si>
  <si>
    <t>PT. PURIPUSTAKA</t>
  </si>
  <si>
    <t>978-602-95714-4-8</t>
  </si>
  <si>
    <t>400 Kreatif Membuat Ragam Tulisan.jpg</t>
  </si>
  <si>
    <t>NGALAGENA | DIAJAR MACA JEUNG NULIS AKSARA SUNDA</t>
  </si>
  <si>
    <t>DUDI RUDIANA SETIAWIJAYA, IWAN SETIAWAN, DEDEPERMANA</t>
  </si>
  <si>
    <t>EDI LAISH</t>
  </si>
  <si>
    <t>978-602-7786-06-6</t>
  </si>
  <si>
    <t>YUK, JADI MC CILIK</t>
  </si>
  <si>
    <t>RULLY NASRULLAH dkk</t>
  </si>
  <si>
    <t>TIM MENULIS YUK</t>
  </si>
  <si>
    <t>978-602-9123-37-1</t>
  </si>
  <si>
    <t>STEP BY STEP TO SPEAK ENGLISH</t>
  </si>
  <si>
    <t>WALIDI, S.Pd</t>
  </si>
  <si>
    <t>978-979-1464-16-1</t>
  </si>
  <si>
    <t>420 Step by Step to Speak English.jpg</t>
  </si>
  <si>
    <t>PREFIKS DAN SUFIKS DALAM BAHASA INGGRIS</t>
  </si>
  <si>
    <t>425</t>
  </si>
  <si>
    <t>TATA BAHASA INGGRIS</t>
  </si>
  <si>
    <t>YULI KURNIA</t>
  </si>
  <si>
    <t>MUSKI BAEHAQI</t>
  </si>
  <si>
    <t>PT PUSTAKA PITALOKA</t>
  </si>
  <si>
    <t>978-602-9125-05-4</t>
  </si>
  <si>
    <t>CONFIRMATION</t>
  </si>
  <si>
    <t>HAMIDIYAH QUDSI</t>
  </si>
  <si>
    <t>DI ORYZA INTAN S</t>
  </si>
  <si>
    <t>978-602-96799-96-7</t>
  </si>
  <si>
    <t>425 Confirmation.jpg</t>
  </si>
  <si>
    <t>METODE LINGUISTIK; ANCANGAN METODE PENELITIAN DAN KAJIAN</t>
  </si>
  <si>
    <t>410.72</t>
  </si>
  <si>
    <t>PENELITIAN LINGUISTIK</t>
  </si>
  <si>
    <t>DJAJA SUDARMA, PROF. DR. HJ. T. FATIMAH,</t>
  </si>
  <si>
    <t>PT REFIKA ADITAMA</t>
  </si>
  <si>
    <t>979-8020-75-8</t>
  </si>
  <si>
    <t>410.72 Metode Linguistik.jpg</t>
  </si>
  <si>
    <t>SEMANTIK 2 - PEMAHAMAN ILMU MAKNA</t>
  </si>
  <si>
    <t>401.43</t>
  </si>
  <si>
    <t>SEMANTIK</t>
  </si>
  <si>
    <t>Prof. Dr. H. T. FATIMAH DJAJASUDARMA</t>
  </si>
  <si>
    <t>ALI MIFKA</t>
  </si>
  <si>
    <t>110 hlm</t>
  </si>
  <si>
    <t>KAMUS PINTAR IPA</t>
  </si>
  <si>
    <t>ILMU PENGETAHUAN ALAM</t>
  </si>
  <si>
    <t>SUHERMAN</t>
  </si>
  <si>
    <t>HELMIE L. RAMADHANI</t>
  </si>
  <si>
    <t>979-465-312-8</t>
  </si>
  <si>
    <t>500 Kamus Pintar IPA.jpg</t>
  </si>
  <si>
    <t>MENJADI GHOST WRITER</t>
  </si>
  <si>
    <t>TEOGRI BIOGRAFI</t>
  </si>
  <si>
    <t>WAWAN PRIYO HARMONO</t>
  </si>
  <si>
    <t>CV KARSA MANDIRI</t>
  </si>
  <si>
    <t>920 Menjadi Ghostwriter.jpg</t>
  </si>
  <si>
    <t>ENSIKLOPEDI BAHASA</t>
  </si>
  <si>
    <t>DAVID CRYSTAL</t>
  </si>
  <si>
    <t>372hlm; 21x29.7 cm</t>
  </si>
  <si>
    <t>KAMUS UNDAK USUK BASA SUNDA - SARENG CONTO LARAPNA DINA KALIMAH</t>
  </si>
  <si>
    <t>BUDI RAHAYU TAMSYAH, (Drs. )</t>
  </si>
  <si>
    <t>418 Kamus Undak Usuk Basa Sunda.jpg</t>
  </si>
  <si>
    <t>WE ALL SPEAK ENGLISH</t>
  </si>
  <si>
    <t>ERNA FITRINI,
RATIH SUMIRATINGRATRI</t>
  </si>
  <si>
    <t>DIDIK DJUNAEDI</t>
  </si>
  <si>
    <t>PT. CAHAYA PUSTAKA RAGA</t>
  </si>
  <si>
    <t>I LOVE ENGLISH</t>
  </si>
  <si>
    <t>SPEAKING ENGLISH AT HOME AND SCHOOL</t>
  </si>
  <si>
    <t>I SPEAK ENGLISH</t>
  </si>
  <si>
    <t>ENGLISH EVERYWHERE</t>
  </si>
  <si>
    <t>ENGLISH IS COOL</t>
  </si>
  <si>
    <t>ALWAYS ENGLISH</t>
  </si>
  <si>
    <t>ENGLISH IS FUN</t>
  </si>
  <si>
    <t>421.55 English is Fun.jpg</t>
  </si>
  <si>
    <t>MENULIS DENGAN HATI MEMBANGUN MOTIVASI MENULIS</t>
  </si>
  <si>
    <t>808.02</t>
  </si>
  <si>
    <t>MENGARANG</t>
  </si>
  <si>
    <t>NIET THANIA</t>
  </si>
  <si>
    <t>PT. PRIBUMI MEKAR</t>
  </si>
  <si>
    <t>808.02 Menulis dengan Hati Membangun Motivasi Menulis.jpg</t>
  </si>
  <si>
    <t>LET'S WRITE LETTERS (AYO MENULIS SURAT)</t>
  </si>
  <si>
    <t>WULANDARI</t>
  </si>
  <si>
    <t>WIDDA T.N.</t>
  </si>
  <si>
    <t>KECIL-KECIL BERANI MENYUNTING NASKAH</t>
  </si>
  <si>
    <t>PENULISAN</t>
  </si>
  <si>
    <t>ADI ABDUL SOMAD</t>
  </si>
  <si>
    <t>411 Kecil-Kecil Berani Menyunting Naskah.jpg</t>
  </si>
  <si>
    <t>BIANTARA BASA SUNDA</t>
  </si>
  <si>
    <t>499.22</t>
  </si>
  <si>
    <t>Drs. Tatang Sumarsono</t>
  </si>
  <si>
    <t>499.22 Biantara Basa Sunda.jpg</t>
  </si>
  <si>
    <t>CLOSER TO WORD</t>
  </si>
  <si>
    <t>YUYUN YUNINGSIH, S.Pd</t>
  </si>
  <si>
    <t>978-602-8024-15-0</t>
  </si>
  <si>
    <t>76 hlm; 17,5x25 cm</t>
  </si>
  <si>
    <t>LONCENG KEMATIAN BAHASA SUNDA</t>
  </si>
  <si>
    <t>SOSIOLINGUISTIK</t>
  </si>
  <si>
    <t>KOMUNITAS DANGIANG</t>
  </si>
  <si>
    <t>PT. KIBLAT BUKU UTAMA</t>
  </si>
  <si>
    <t>306.449 Lonceng Kematian Bahasa Sunda.jpg</t>
  </si>
  <si>
    <t>ZAT PENGAWET DAN ZAT PENYEDAP</t>
  </si>
  <si>
    <t>KIMIA</t>
  </si>
  <si>
    <t>ASEP SURYATNA</t>
  </si>
  <si>
    <t>IRMA NOVIATI</t>
  </si>
  <si>
    <t>540 Zat Pengawet dan Zat Penyedap.jpg</t>
  </si>
  <si>
    <t>PELESTARIAN LINGKUNGAN HIDUP</t>
  </si>
  <si>
    <t>333.7</t>
  </si>
  <si>
    <t>SUMBER DAYA ALAM DAN ENERGI</t>
  </si>
  <si>
    <t>KOES IRIANTO</t>
  </si>
  <si>
    <t>MARI MENGENAL MATEMATIKA-POLA BILANGAN,BARISAN, DAN DERET</t>
  </si>
  <si>
    <t>MATEMATIKA</t>
  </si>
  <si>
    <t xml:space="preserve">WAHYUDIN, PROF. </t>
  </si>
  <si>
    <t>E. SUHERMAN</t>
  </si>
  <si>
    <t>MARI MENGENAL MATEMATIKA-BILANGAN BERPANGKAT,BENTUK AKAR, DAN LOGARITMA</t>
  </si>
  <si>
    <t>513.2</t>
  </si>
  <si>
    <t>KALKULASI DAN SISTEM ANGKA</t>
  </si>
  <si>
    <t>PROF. WAHYUDIN</t>
  </si>
  <si>
    <t>513.2 Mari Mengenal Matematika.jpg</t>
  </si>
  <si>
    <t>MARI MENGENAL MATEMATIKA-STATISTIKA DAN PELUANG</t>
  </si>
  <si>
    <t>519.5</t>
  </si>
  <si>
    <t>MATEMATIKA STATISTIKA</t>
  </si>
  <si>
    <t>92 hlm;
25 cm</t>
  </si>
  <si>
    <t>MENGENAL ALAT REPRODUKSI</t>
  </si>
  <si>
    <t>612.6</t>
  </si>
  <si>
    <t>FISIOLOGI REPRODUKSI DAN PERKEMBANGAN MANUSIA</t>
  </si>
  <si>
    <t>E. TAKARI</t>
  </si>
  <si>
    <t>MENGENAL ALAT PENGELUARAN ( EKSRESI )</t>
  </si>
  <si>
    <t>612.4</t>
  </si>
  <si>
    <t>FISIOLOGI KELENJAR DAN SISTEM EKSERSI</t>
  </si>
  <si>
    <t>TSUNAMI : APA, MENGAPA?</t>
  </si>
  <si>
    <t>551.4637</t>
  </si>
  <si>
    <t>TSUNAMI</t>
  </si>
  <si>
    <t>NASIN EL-KABUMAINI</t>
  </si>
  <si>
    <t>978-602-95715-8-5</t>
  </si>
  <si>
    <t>551 Tsunami: Apa, Mengapa?.jpg</t>
  </si>
  <si>
    <t>PERLINDUNGAN HUTAN</t>
  </si>
  <si>
    <t>634.9</t>
  </si>
  <si>
    <t>ILMU KEHUTANAN</t>
  </si>
  <si>
    <t>PUTRANTO J</t>
  </si>
  <si>
    <t>RISSA YANUAR</t>
  </si>
  <si>
    <t>978-602-9110-36-4</t>
  </si>
  <si>
    <t>MATEMATIKA YANG KUSUKA | ASYIKNYA ALJABAR</t>
  </si>
  <si>
    <t>ALJABAR</t>
  </si>
  <si>
    <t>ASTRI PRATIWI</t>
  </si>
  <si>
    <t>978-602-9107-20-3</t>
  </si>
  <si>
    <t>MORFOLOGI TUMBUHAN</t>
  </si>
  <si>
    <t>581.4</t>
  </si>
  <si>
    <t>Prof. Ir. GEMBONG</t>
  </si>
  <si>
    <t>GADJAH MADA UNIVERSITY PRESS</t>
  </si>
  <si>
    <t>979-420-241-X</t>
  </si>
  <si>
    <t>MENGENAL TERUMBU KARANG</t>
  </si>
  <si>
    <t>551.42</t>
  </si>
  <si>
    <t>TERUMBU KARANG</t>
  </si>
  <si>
    <t>IPAR FAHRIZAL</t>
  </si>
  <si>
    <t>551.2 Mengenal Terumbu Karang.jpg</t>
  </si>
  <si>
    <t>BAHAN KIMIA BERACUN</t>
  </si>
  <si>
    <t>TIM DAPUR NASKAH</t>
  </si>
  <si>
    <t>RISSA YANUAR,S.S</t>
  </si>
  <si>
    <t>SARANA ILMU PUSTAKA</t>
  </si>
  <si>
    <t>540 Bahan Kimia Beracun.jpg</t>
  </si>
  <si>
    <t>BELAJAR SAINS ITU MENYENANGKAN</t>
  </si>
  <si>
    <t>SAINS</t>
  </si>
  <si>
    <t>ANDRIAN, S.T.</t>
  </si>
  <si>
    <t>SURURIYA, S.SI</t>
  </si>
  <si>
    <t>97 hlm;
21 cm</t>
  </si>
  <si>
    <t>500 Belajar Sains Itu Menyenangkan.jpg</t>
  </si>
  <si>
    <t>KAMUS FISIKA</t>
  </si>
  <si>
    <t>530.03</t>
  </si>
  <si>
    <t>978-602-7768-34-5</t>
  </si>
  <si>
    <t>530.03 Kamus Fisika.jpg</t>
  </si>
  <si>
    <t>978-602-7768-37-6</t>
  </si>
  <si>
    <t>KAMUS MATEMATIKA</t>
  </si>
  <si>
    <t>510.3</t>
  </si>
  <si>
    <t>ROHMAT KURNIA</t>
  </si>
  <si>
    <t>TRI WAGIYATI</t>
  </si>
  <si>
    <t>978-602-7768-38-3</t>
  </si>
  <si>
    <t>KEANEKARAGAMAN BIOTA LAUT</t>
  </si>
  <si>
    <t>578.77</t>
  </si>
  <si>
    <t>EKOLOGI BIOTA LAUT</t>
  </si>
  <si>
    <t>IYAM</t>
  </si>
  <si>
    <t>978-979-1493-19-2</t>
  </si>
  <si>
    <t>90 hlm;
21 cm</t>
  </si>
  <si>
    <t>578.77 Keanekaragaman Biota Laut.jpg</t>
  </si>
  <si>
    <t>MANFAAT DAN EFEK SAMPING BAHAN KIMIA</t>
  </si>
  <si>
    <t>HETTI R.A</t>
  </si>
  <si>
    <t>978-602-8713-24-5</t>
  </si>
  <si>
    <t>540 Manfaat &amp; Efek Samping Bahan Kimia.jpg</t>
  </si>
  <si>
    <t>BENCANA ALAM HIDROLOGI</t>
  </si>
  <si>
    <t>551.48</t>
  </si>
  <si>
    <t>HIDROLOGI</t>
  </si>
  <si>
    <t>SUSILA, P. HERU</t>
  </si>
  <si>
    <t>PT PUSTAKA TIGA KELANA</t>
  </si>
  <si>
    <t>978-602-8535-46-5</t>
  </si>
  <si>
    <t>60 hlm;
21 cm</t>
  </si>
  <si>
    <t>KAMUS DASAR BIOLOGI</t>
  </si>
  <si>
    <t>570.3</t>
  </si>
  <si>
    <t>NOVIANA VANAWATI</t>
  </si>
  <si>
    <t>978-602-7768-32-1</t>
  </si>
  <si>
    <t>570.3 Kamus Dasar Biologi.jpg</t>
  </si>
  <si>
    <t>MEMAHAMI SAINS DI SEKITAR RUMAH</t>
  </si>
  <si>
    <t>LILIK HASANAH</t>
  </si>
  <si>
    <t>TIM MU</t>
  </si>
  <si>
    <t>MITRA UTAMA</t>
  </si>
  <si>
    <t>978-979-17609-6-6</t>
  </si>
  <si>
    <t>MEMAHAMI KLASIFIKASI ZAT</t>
  </si>
  <si>
    <t>ZAT</t>
  </si>
  <si>
    <t>ADI WIBOWO</t>
  </si>
  <si>
    <t>978-602-8712-11-8</t>
  </si>
  <si>
    <t>530 Memahami Klasifikasi Zat.jpg</t>
  </si>
  <si>
    <t>MEMAHAMI SAINS DARI ALAM : GUNUNG</t>
  </si>
  <si>
    <t>577.53</t>
  </si>
  <si>
    <t xml:space="preserve">EKOLOGI PEGUNUNGAN, EKOLOGI </t>
  </si>
  <si>
    <t>MEIDIANA FRIKASARI</t>
  </si>
  <si>
    <t>978-979-17609-3-5</t>
  </si>
  <si>
    <t>500 Memahami Sains dari Alam Gunung.jpg</t>
  </si>
  <si>
    <t>PETUALANGAN MATEMATIKA MENYELIDIKI BENDA DI RUMAH SERI 2</t>
  </si>
  <si>
    <t>ANDRI PANDUWENI</t>
  </si>
  <si>
    <t>YUNI ASTUTI</t>
  </si>
  <si>
    <t>510 Petualangan Matematika Menyelidiki Benda Di Rumah.jpg</t>
  </si>
  <si>
    <t>PENGENALAN MATEMATIKA DASAR</t>
  </si>
  <si>
    <t>WAHYUDIN, (Prof.Dr.H. )</t>
  </si>
  <si>
    <t>IDRIS SUTRISNA</t>
  </si>
  <si>
    <t>CV. IPA ABONG</t>
  </si>
  <si>
    <t>978-979-3077-41-3</t>
  </si>
  <si>
    <t>510 Pengenalan Matematika Dasar.jpg</t>
  </si>
  <si>
    <t>POLUSI AIR</t>
  </si>
  <si>
    <t>AIR</t>
  </si>
  <si>
    <t>KOMUNITAS DIAN AKSARA</t>
  </si>
  <si>
    <t>978-602-8712-32-3</t>
  </si>
  <si>
    <t>551.48 Polusi Air.jpg</t>
  </si>
  <si>
    <t>POLUSI TANAH</t>
  </si>
  <si>
    <t>BIOLOGI</t>
  </si>
  <si>
    <t>978-602-8712-31-6</t>
  </si>
  <si>
    <t>570 Polusi Tanah.jpg</t>
  </si>
  <si>
    <t>MENGENAL ATOM, ION DAN MOLEKUL</t>
  </si>
  <si>
    <t>FISIKA</t>
  </si>
  <si>
    <t>WAHYU P.P</t>
  </si>
  <si>
    <t>EDI WARSIDI &amp; REISSA</t>
  </si>
  <si>
    <t>978-602-8713-23-8</t>
  </si>
  <si>
    <t>530 Mengenal Atom, Ion, dan Molekul.jpg</t>
  </si>
  <si>
    <t>KAMUS ISTILAH EKONOMI - INGGRIS-INDONESIA - INDONESIA-INGGRIS</t>
  </si>
  <si>
    <t>330.1</t>
  </si>
  <si>
    <t>TEORI EKONOMI</t>
  </si>
  <si>
    <t>WIEN'S ANORGA</t>
  </si>
  <si>
    <t>M2S BANDUNG</t>
  </si>
  <si>
    <t>330.1 Kamus Istilah Ekonomi.jpg</t>
  </si>
  <si>
    <t>BERANEKA RAGAM HEWAN BERTUBUH LUNAK</t>
  </si>
  <si>
    <t>MOLUSKA (HEWAN BERTUBUH LUNAK)</t>
  </si>
  <si>
    <t>DEWINA SYIFA</t>
  </si>
  <si>
    <t>PT. SANDIARTA SUKSES</t>
  </si>
  <si>
    <t>978-602-8148-37-5</t>
  </si>
  <si>
    <t>52 hlm;
25 cm</t>
  </si>
  <si>
    <t>BAGAIMANA BINATANG BERKEMBANG BIAK</t>
  </si>
  <si>
    <t>591.3</t>
  </si>
  <si>
    <t>REPRODUKSI HEWAN</t>
  </si>
  <si>
    <t>SUMIYATI SA'ADAH</t>
  </si>
  <si>
    <t>TIM GANECA EXACT</t>
  </si>
  <si>
    <t>67 hlm;
21 cm</t>
  </si>
  <si>
    <t>BUAH BERKHASIAT OBAT</t>
  </si>
  <si>
    <t>615.3</t>
  </si>
  <si>
    <t>SUMBER OBAT-OBATAN ALAM</t>
  </si>
  <si>
    <t>978-602-8713-48-1</t>
  </si>
  <si>
    <t>HEWAN BERSEL SATU &amp; HEWAN BERPORI</t>
  </si>
  <si>
    <t>HEWAN INVERTEBRATA</t>
  </si>
  <si>
    <t>TSURAYYA</t>
  </si>
  <si>
    <t>DESSY NURYANTI</t>
  </si>
  <si>
    <t>978-602-8148-34-4</t>
  </si>
  <si>
    <t>KESEBANGUNAN</t>
  </si>
  <si>
    <t>DEWI MARSIYAH</t>
  </si>
  <si>
    <t>NGAPININGSIH</t>
  </si>
  <si>
    <t>KLASIFIKASI TUMBUHAN</t>
  </si>
  <si>
    <t>ILMU TUMBUHAN</t>
  </si>
  <si>
    <t>YENNY FAHMAWATI</t>
  </si>
  <si>
    <t>580 Klasifikasi Tumbuhan.jpg</t>
  </si>
  <si>
    <t>DI BALIK INDAHNYA BUNGA MELATI</t>
  </si>
  <si>
    <t>TUMBUHAN BERBUNGA</t>
  </si>
  <si>
    <t>KARDONO</t>
  </si>
  <si>
    <t>PERMATA</t>
  </si>
  <si>
    <t>68 hlm;
16 x 24 cm</t>
  </si>
  <si>
    <t>583 Di Balik Indahnya Bunga Melati.jpg</t>
  </si>
  <si>
    <t>KIMIA SEBAGAI ILMU PUSAT SAINS</t>
  </si>
  <si>
    <t>NASHSHAR, (F.M. )</t>
  </si>
  <si>
    <t>EDI WARSIDI
REISSA Y</t>
  </si>
  <si>
    <t>72 hlm; 21 cm</t>
  </si>
  <si>
    <t>540 Kimia sebagai Ilmu Pusat Sains.jpg</t>
  </si>
  <si>
    <t>MENELUSURI JEJAK-JEJAK DI LANGIT</t>
  </si>
  <si>
    <t>ASTRONOMI</t>
  </si>
  <si>
    <t>ALI MUCHTADJI</t>
  </si>
  <si>
    <t>520 Menelusuri Jejak-Jejak Di Langit.jpg</t>
  </si>
  <si>
    <t>MENGENAL CAHAYA DAN OPTIK</t>
  </si>
  <si>
    <t>CAHAYA DAN OPTIK</t>
  </si>
  <si>
    <t>HESTTY P. UTAMI</t>
  </si>
  <si>
    <t>CHRISTINA M.M</t>
  </si>
  <si>
    <t>76 hlm;
21 cm</t>
  </si>
  <si>
    <t>MENGENAL LEBIH DEKAT BILANGAN</t>
  </si>
  <si>
    <t>ANDRI SALEH</t>
  </si>
  <si>
    <t>SOLEH</t>
  </si>
  <si>
    <t>978-602-8489-59-1</t>
  </si>
  <si>
    <t>MENGGENGGAM MUTIARA DALAM ANGKA</t>
  </si>
  <si>
    <t>DANIEL KURNIAWAN</t>
  </si>
  <si>
    <t>TIM KREATIF BE CHAMPION</t>
  </si>
  <si>
    <t>BE CHAMPION</t>
  </si>
  <si>
    <t>978-602-8884-51-8</t>
  </si>
  <si>
    <t>MENGKUDU YANG MULTIGUNA</t>
  </si>
  <si>
    <t>635.7</t>
  </si>
  <si>
    <t>PENANAMAN TUMBUHAN</t>
  </si>
  <si>
    <t>KANDI</t>
  </si>
  <si>
    <t>AYATULLAH K.S , M. UMAR RIANDI</t>
  </si>
  <si>
    <t>JASA GRAFIKA INDONESIA</t>
  </si>
  <si>
    <t>978-979-003-029-9</t>
  </si>
  <si>
    <t>635.7 Mengkudu yang Multiguna.jpg</t>
  </si>
  <si>
    <t>MENGUAK MISTERI TUBUH TUMBUHAN</t>
  </si>
  <si>
    <t>SITI NURKHAYATI</t>
  </si>
  <si>
    <t>NURULITA CANDRA DEWI</t>
  </si>
  <si>
    <t>979-28-0394-5</t>
  </si>
  <si>
    <t>MENGENAL MIKROSKOP</t>
  </si>
  <si>
    <t>502.82</t>
  </si>
  <si>
    <t>MIKROSKOP</t>
  </si>
  <si>
    <t>ZAHRANI K, (J. )</t>
  </si>
  <si>
    <t>978-602-8712-03-3</t>
  </si>
  <si>
    <t>502.82 Mengenal Mikroskop.jpg</t>
  </si>
  <si>
    <t>PEWARISAN SIFAT DAN PEMANFAATANNYA</t>
  </si>
  <si>
    <t>RENI MULYATI</t>
  </si>
  <si>
    <t>ROHANA KUSUMAWATI</t>
  </si>
  <si>
    <t>979-28-0395-2</t>
  </si>
  <si>
    <t>MATEMATIKA YANG KUSUKA | SERUNYA... STATISTIKA</t>
  </si>
  <si>
    <t>BUDIYANTI DWI HARDANIE</t>
  </si>
  <si>
    <t>510 Matematika yang Kusuka - Serunya Statistika.jpg</t>
  </si>
  <si>
    <t>KAYU PELAWAN DAN MADU PAHITNYA</t>
  </si>
  <si>
    <t>ILMU BIOLOGI</t>
  </si>
  <si>
    <t>ASYRAF SURYADIN, M.PD, (DR. )</t>
  </si>
  <si>
    <t>RISSA YANUAR S.S</t>
  </si>
  <si>
    <t>978-602-9106-12-1</t>
  </si>
  <si>
    <t>570 Kayu Pelawan dan Madu Pahitnya.jpg</t>
  </si>
  <si>
    <t>KELUARGA CUCURBITACEAE</t>
  </si>
  <si>
    <t>TUMBUHAN BERBIJI</t>
  </si>
  <si>
    <t>KORRIE L. RAMPAN</t>
  </si>
  <si>
    <t>ROZA</t>
  </si>
  <si>
    <t>PT. CAKRA MEDIA</t>
  </si>
  <si>
    <t>978-979-573-165-8</t>
  </si>
  <si>
    <t>582 Keluarga Cucurbitaceae.jpg</t>
  </si>
  <si>
    <t>EKOLOGI LAUT INDONESIA</t>
  </si>
  <si>
    <t>577.6</t>
  </si>
  <si>
    <t>EKOLOGI LAUT</t>
  </si>
  <si>
    <t>KOES IRIANTO, (DRS. )</t>
  </si>
  <si>
    <t>978-602-8714-05-1</t>
  </si>
  <si>
    <t>577.6 Ekologi Laut Indonesia.jpg</t>
  </si>
  <si>
    <t>BANGUN RUANG SEDERHANA (KUBUS, BALOK, TABUNG, DAN KERUCUT)</t>
  </si>
  <si>
    <t>M. PERMATA</t>
  </si>
  <si>
    <t>MARLINA R</t>
  </si>
  <si>
    <t>CV BORNEO ADIL KATALINO</t>
  </si>
  <si>
    <t>978-602-19444-0-0</t>
  </si>
  <si>
    <t>MENGENAL PRISMA TEGAK SEGITIGA DAN SEGIEMPAT</t>
  </si>
  <si>
    <t>510</t>
  </si>
  <si>
    <r>
      <rPr/>
      <t xml:space="preserve">PERMATA, </t>
    </r>
    <r>
      <rPr>
        <color rgb="FF1155CC"/>
        <u/>
      </rPr>
      <t>S.SI</t>
    </r>
    <r>
      <rPr/>
      <t>, (M. )</t>
    </r>
  </si>
  <si>
    <t>PYRAMID EMAS PUTIH</t>
  </si>
  <si>
    <t>978-602-9429-08-4</t>
  </si>
  <si>
    <t>510 Mengenal Prisma Tegak Segitiga dan Segi Empat.jpg</t>
  </si>
  <si>
    <t>MATEMATIKA YANG KUSUKA | GEMAR GEOMETRI 2</t>
  </si>
  <si>
    <t>978-602-9108-20-0</t>
  </si>
  <si>
    <t>510 Matematika Yang Kusuka - Gemar Geometri 2.jpg</t>
  </si>
  <si>
    <t>DAUR HIDUP HEWAN</t>
  </si>
  <si>
    <t>590</t>
  </si>
  <si>
    <t>ILMU HEWAN-HEWAN, ILMU BINATANG-BINATANG</t>
  </si>
  <si>
    <t>MUTIAH. S.PD</t>
  </si>
  <si>
    <t>ARIFIN ILHAM</t>
  </si>
  <si>
    <t>978-602-9429-26-8</t>
  </si>
  <si>
    <t>590 Daur Hidup Hewan.jpg</t>
  </si>
  <si>
    <t>ANEKA PERCOBAAN MATEMATIKA DENGAN BANGUN DATAR DAN BANGUN RUANG</t>
  </si>
  <si>
    <t>SRI NURHAYATI, M.T</t>
  </si>
  <si>
    <t>CV PYRAMID EMAS PUTIH</t>
  </si>
  <si>
    <t>978-602-9429-00-8</t>
  </si>
  <si>
    <t>KOMODITAS KEKAYAAN ALAM UNGGULAN</t>
  </si>
  <si>
    <t>DINA T</t>
  </si>
  <si>
    <t>ASEP SANTANA</t>
  </si>
  <si>
    <t>IZDA PRIMA</t>
  </si>
  <si>
    <t>330 Komoditas Kekayaan Alam Unggulan.jpg</t>
  </si>
  <si>
    <t>MEMAHAMI DUNIA SERANGGA</t>
  </si>
  <si>
    <t>595.7</t>
  </si>
  <si>
    <t>SERANGGA</t>
  </si>
  <si>
    <t>978-602-8714-27-3</t>
  </si>
  <si>
    <t>595.7 Memahami Dunia Serangga.jpg</t>
  </si>
  <si>
    <t>APAKAH DNA?</t>
  </si>
  <si>
    <t>FUNGSI ORGANISME MAKHLUK HIDUP</t>
  </si>
  <si>
    <t>WAHYU PP</t>
  </si>
  <si>
    <t>978-602-8713-20-7</t>
  </si>
  <si>
    <t>571 Apakah DNA?.jpg</t>
  </si>
  <si>
    <t>AKU PINTAR MATEMATIKA (BILANGAN DAN ALJABAR)</t>
  </si>
  <si>
    <t>NGAPININGSIH, S. Si</t>
  </si>
  <si>
    <t>SMARTMATH SOLUTION</t>
  </si>
  <si>
    <t>OPTIMA TEAM</t>
  </si>
  <si>
    <t>YOES ALAMSYAH</t>
  </si>
  <si>
    <t>978-979-75894-0-7</t>
  </si>
  <si>
    <t>510 SmartMath Solution.jpg</t>
  </si>
  <si>
    <t>KEHIDUPAN SATWA</t>
  </si>
  <si>
    <t>978-602-8713-29-0</t>
  </si>
  <si>
    <t>590 Kehidupan Satwa.jpg</t>
  </si>
  <si>
    <t>MEMAHAMI SALING KETERGANTUNGAN DALAM EKOSISTEM</t>
  </si>
  <si>
    <t>570</t>
  </si>
  <si>
    <t>BIOLOGI, ILMU HAYAT</t>
  </si>
  <si>
    <t>978-602-8713-19-1</t>
  </si>
  <si>
    <t>570 Memahami Saling Ketergantungan dalam Ekosistem.jpg</t>
  </si>
  <si>
    <t>MACAM-MACAM PERKEMBANGBIAKAN PADA HEWAN</t>
  </si>
  <si>
    <t>YENNI FAHMAWATI</t>
  </si>
  <si>
    <t>978-602-8712-07-1</t>
  </si>
  <si>
    <t>570 Macam-Macam Perkembangbiakan pada Hewan.jpg</t>
  </si>
  <si>
    <t>ASYIKNYA ALJABAR - SATU</t>
  </si>
  <si>
    <t>978-602-9107-18-0</t>
  </si>
  <si>
    <t>512 Asyiknya Aljabar.jpg</t>
  </si>
  <si>
    <t>FUN WITH MATH</t>
  </si>
  <si>
    <t>ANISSA NURHIDAYAT</t>
  </si>
  <si>
    <t>MIRNA INDRIANTI</t>
  </si>
  <si>
    <t>978-602-9108-17-0</t>
  </si>
  <si>
    <t>510 Fun With Math.jpg</t>
  </si>
  <si>
    <t>ILMU KEBUMIAN DAN ANTARIKSA</t>
  </si>
  <si>
    <t>520</t>
  </si>
  <si>
    <t>BAYONG TJASYONO HK., DEA (Prof. Dr. H. )</t>
  </si>
  <si>
    <t>979-692-595-8</t>
  </si>
  <si>
    <t>520 Ilmu Kebumian dan Antariksa.jpg</t>
  </si>
  <si>
    <t>MENGENAL VIRUS</t>
  </si>
  <si>
    <t>576.6</t>
  </si>
  <si>
    <t>VIROLOGI</t>
  </si>
  <si>
    <t>SUSI LAELAWATI, S.PD</t>
  </si>
  <si>
    <t>LINDA CHANDAYANI</t>
  </si>
  <si>
    <t>978-602-8123-45-7</t>
  </si>
  <si>
    <t>61 hlm;
21 cm</t>
  </si>
  <si>
    <t>BUMI DAN ANGKASA LUAR</t>
  </si>
  <si>
    <t>978-602-9110-21-0</t>
  </si>
  <si>
    <t>520 Bumi dan Angkasa Luar.jpg</t>
  </si>
  <si>
    <t>MUGY MUSTAMANT, S.PD</t>
  </si>
  <si>
    <t>MITRA EDUKASI INDONESIA</t>
  </si>
  <si>
    <t>978-602-1388-04-4</t>
  </si>
  <si>
    <t>ZAT | MENGUNGKAP RAHASIA DI BALIK PERUBAHAN WUJUD BENDA</t>
  </si>
  <si>
    <t>530.41</t>
  </si>
  <si>
    <t>FASE MATERI</t>
  </si>
  <si>
    <t>TRIJA FAYELDI &amp; SYERIF NURHAKIM</t>
  </si>
  <si>
    <t>DEDE ABDUROHMAN</t>
  </si>
  <si>
    <t>BESTARI KIDS</t>
  </si>
  <si>
    <t>978-979-063-264-6</t>
  </si>
  <si>
    <t>PINTAR MATEMATIKA | SERI : BILANGAN PRIMA, BILANGAN ROMAWI, KELIPATAN, DAN PECAHAN</t>
  </si>
  <si>
    <t>ALFARABI</t>
  </si>
  <si>
    <t>BIMA MAHDAR</t>
  </si>
  <si>
    <t>DELTA EDUKASI</t>
  </si>
  <si>
    <t>510 Pintar Matematika-Seri : Bilangan Prima, Romawi, Kelipatan dan Pecahan.jpg</t>
  </si>
  <si>
    <t>SERI SAINS DASAR | MENGENAL KESEIMBANGAN</t>
  </si>
  <si>
    <t>DARYANTO NURHIDAYAT</t>
  </si>
  <si>
    <t>DIANA LESTARI</t>
  </si>
  <si>
    <t>PT. ALBAMA</t>
  </si>
  <si>
    <t>978-602-3168-43-9</t>
  </si>
  <si>
    <t>BILANGAN DAN OPERASINYA</t>
  </si>
  <si>
    <t>SUWARNI</t>
  </si>
  <si>
    <t>IWAN SURYA</t>
  </si>
  <si>
    <t>510 Bilangan dan Operasinya.jpg</t>
  </si>
  <si>
    <t>MENGENAL BILANGAN DAN MENEMUKAN POLA</t>
  </si>
  <si>
    <t>A. ARY SATRIO</t>
  </si>
  <si>
    <t>978-602-8608-65-7</t>
  </si>
  <si>
    <t>MENGENAL BUMI UNTUK MENJAGA KELESTARIAN BUMI</t>
  </si>
  <si>
    <t>MASALAH LINGKUNGAN</t>
  </si>
  <si>
    <t>DELIK ISKANDAR</t>
  </si>
  <si>
    <t>INA HASANAH</t>
  </si>
  <si>
    <t>CV GRAHA ILMU MULIA</t>
  </si>
  <si>
    <t>978-979-756-011-9</t>
  </si>
  <si>
    <t>MATEMATIKA MODERN | SERI : SISTEM KOORDINAT DAN SIMETRI</t>
  </si>
  <si>
    <t>516.16</t>
  </si>
  <si>
    <t>SISTEM KOORDINAT</t>
  </si>
  <si>
    <t>DELTA EDUKASI PRIMA</t>
  </si>
  <si>
    <t>516.16 Matematika Modern - Seri : Sistem Koordinat dan Simetri.jpg</t>
  </si>
  <si>
    <t>BERSAHABAT DENGAN BENCANA GEMPA BUMI</t>
  </si>
  <si>
    <t>551.22</t>
  </si>
  <si>
    <t>GEMPA BUMI</t>
  </si>
  <si>
    <t>NUR AISAH</t>
  </si>
  <si>
    <t>978-602-7843-44-8</t>
  </si>
  <si>
    <t>60 hlm;
25 cm</t>
  </si>
  <si>
    <t>551.22 Bersahabat dengan Bencana Gempa Bumi.jpg</t>
  </si>
  <si>
    <t>PLANET MARS KEHIDUPAN MANUSIA MASA DEPAN</t>
  </si>
  <si>
    <t>YENI FAHMAWATI</t>
  </si>
  <si>
    <t>978-602-1388-11-2</t>
  </si>
  <si>
    <t>520 Planet Mars Kehidupan Manusia Masa Depan.jpg</t>
  </si>
  <si>
    <t>MENGENAL BUMI UNTUK MENJAGA KELESTARIAN BUMI 1</t>
  </si>
  <si>
    <t>CICEU INDARIAWATI</t>
  </si>
  <si>
    <t>978-979-756-009-6</t>
  </si>
  <si>
    <t>MENYELIDIKI MATAHARI</t>
  </si>
  <si>
    <t>523.7</t>
  </si>
  <si>
    <t>MATAHARI</t>
  </si>
  <si>
    <t>HS. MARDIYAH</t>
  </si>
  <si>
    <t>ASEP ISMAIL</t>
  </si>
  <si>
    <t>PT MUSI PERKASA UTAMA</t>
  </si>
  <si>
    <t>978-602-8264-10-5</t>
  </si>
  <si>
    <t>523.7 Menyelidiki Matahari.jpg</t>
  </si>
  <si>
    <t>BENCANA ALAM DAN MASA DEPAN BUMI</t>
  </si>
  <si>
    <t>HERLINA RAHMAWATI, S.Si</t>
  </si>
  <si>
    <t>PENERBIT NOBEL EDUMEDIA</t>
  </si>
  <si>
    <t>978-602-8219-69-3</t>
  </si>
  <si>
    <t>MEMAHAMI SAINS ZOOLOGI</t>
  </si>
  <si>
    <t>ILMU HEWAN</t>
  </si>
  <si>
    <t>KUSNO WALUYO, Drs. &amp; Drs. KOES IRIANTO</t>
  </si>
  <si>
    <t>978-602-8714-65-5</t>
  </si>
  <si>
    <t>590 Memahami Sains Zoologi.jpg</t>
  </si>
  <si>
    <t>MEMAHAMI SAINS BOTANI</t>
  </si>
  <si>
    <t>BOTANI</t>
  </si>
  <si>
    <t>KUSNO WALUYO &amp; Drs. KOES IRIANTO, (Drs. )</t>
  </si>
  <si>
    <t>530 Memahami Sains Botani.jpg</t>
  </si>
  <si>
    <t>SUMBER DAYA KELAUTAN</t>
  </si>
  <si>
    <t>ARUM P</t>
  </si>
  <si>
    <t>602-8227-37-7</t>
  </si>
  <si>
    <t>ENSIKLOPEDI FISIKA 4</t>
  </si>
  <si>
    <t>Dr. SITI ZULAIKAH</t>
  </si>
  <si>
    <t>PROF. THE HOUW LIONG Ph.D</t>
  </si>
  <si>
    <t>REPUBLIKA</t>
  </si>
  <si>
    <t>978-979-678-142-3</t>
  </si>
  <si>
    <t>MARI MENGENAL RAHASIA LAUTAN</t>
  </si>
  <si>
    <t>978-603-9107-49-1</t>
  </si>
  <si>
    <t>570 Mari Mengenal Rahasia Lautan.jpg</t>
  </si>
  <si>
    <t>MENGENAL BUMI UNTUK MENJAGA KELESTARIAN BUMI SERI 2</t>
  </si>
  <si>
    <t>SURYANINGSIH</t>
  </si>
  <si>
    <t>OTONG LESMANA</t>
  </si>
  <si>
    <t>978-979-756-010-2</t>
  </si>
  <si>
    <t>MENGENAL FLORA NUSANTARA 2</t>
  </si>
  <si>
    <t>NORMA KUSUMASTUTI</t>
  </si>
  <si>
    <t>978-602-9109-25-2</t>
  </si>
  <si>
    <t>580 Mengenal Flora Nusantara 2.jpg</t>
  </si>
  <si>
    <t>BIDANG DATAR</t>
  </si>
  <si>
    <t>UMI SALAMAH</t>
  </si>
  <si>
    <t>SUWARDI</t>
  </si>
  <si>
    <t>978-979-040-263-8</t>
  </si>
  <si>
    <t>510 Bidang Datar.jpg</t>
  </si>
  <si>
    <t>BILANGAN BULAT DAN PECAHAN</t>
  </si>
  <si>
    <t>978-979-040-281-2</t>
  </si>
  <si>
    <t>MARI BELAJAR APLIKASI GEOMETRI</t>
  </si>
  <si>
    <t>SULAIMAN, S.SI</t>
  </si>
  <si>
    <t>WENI R</t>
  </si>
  <si>
    <t>978-602-8489-70-6</t>
  </si>
  <si>
    <t>CAHAYA DI ALAM SEMESTA</t>
  </si>
  <si>
    <t>535.1</t>
  </si>
  <si>
    <t>TEORI TENTANG CAHAYA</t>
  </si>
  <si>
    <t>978-979-1276-48-1</t>
  </si>
  <si>
    <t>530 Cahaya di Alam Semesta.jpg</t>
  </si>
  <si>
    <t>LAUT UNTUK KEHIDUPAN</t>
  </si>
  <si>
    <t>574.5</t>
  </si>
  <si>
    <t>A. KANIA. D</t>
  </si>
  <si>
    <t>978-602-7932-16-6</t>
  </si>
  <si>
    <t>574.5 Laut untuk Kehidupan.jpg</t>
  </si>
  <si>
    <t>MENGENAL BANGUN DAN BELAJAR PECAHAN</t>
  </si>
  <si>
    <t>978-602-8608-66-4</t>
  </si>
  <si>
    <t>ORGANISME DAN KEHIDUPAN YANG MENGAGUMKAN</t>
  </si>
  <si>
    <t>AMELIA NOVITA, S. Si</t>
  </si>
  <si>
    <t>PT DIAN RAKYAT</t>
  </si>
  <si>
    <t>978-602-8489-67-6</t>
  </si>
  <si>
    <t>571 Organisme dan Kehidupan yang Mengagumkan.jpg</t>
  </si>
  <si>
    <t>MENGENAL LAUT UNTUK MENJAGA KELESTARIAN LAUT SERI 3</t>
  </si>
  <si>
    <t>LENI ARIANI</t>
  </si>
  <si>
    <t>ANNANUR YANA</t>
  </si>
  <si>
    <t>978-979-756-014-0</t>
  </si>
  <si>
    <t>MENGENAL LAUT UNTUK MENJAGA KELESTARIAN LAUT SERI 1</t>
  </si>
  <si>
    <t>BUDI NURANI</t>
  </si>
  <si>
    <t>RIA KURNIAWATI</t>
  </si>
  <si>
    <t>978-979-759-012-6</t>
  </si>
  <si>
    <t>TANAMAN OBAT TRADISIONAL</t>
  </si>
  <si>
    <t>PENGOBATAN HERBAL</t>
  </si>
  <si>
    <t>HERI PERMATA</t>
  </si>
  <si>
    <t>TITIAN ILMU BANDUNG</t>
  </si>
  <si>
    <t>978-979-1493-16-1</t>
  </si>
  <si>
    <t>613 Tanaman Obat Tradisional.jpg</t>
  </si>
  <si>
    <t>PENGETAHUAN TENTANG UDARA</t>
  </si>
  <si>
    <t>DEWI YULIANA ASTUTI</t>
  </si>
  <si>
    <t>978-979-678-397-7</t>
  </si>
  <si>
    <t>FENOMENA PERAIRAN DARAT</t>
  </si>
  <si>
    <t>ATIK RAHMAWATI</t>
  </si>
  <si>
    <t>KUSTIONO</t>
  </si>
  <si>
    <t>978-602-99435-4-2</t>
  </si>
  <si>
    <t>551.48 Fenomena Perairan Darat.jpg</t>
  </si>
  <si>
    <t>AYO BELAJAR GEOMETRI | BANGUN DATAR DAN BANGUN RUANG</t>
  </si>
  <si>
    <t>MARTORAHARJO</t>
  </si>
  <si>
    <t>RETNA MASITA</t>
  </si>
  <si>
    <t>PT JEPE PRESS MEDIA UTAMA</t>
  </si>
  <si>
    <t>510 Ayo Belajar Geometri.jpg</t>
  </si>
  <si>
    <t>SERI SAINS DASAR 10 | MENGENAL MOLEKUL</t>
  </si>
  <si>
    <t>M. RUSLIN. M</t>
  </si>
  <si>
    <t>MARTINA DAMAYANTI</t>
  </si>
  <si>
    <t>978-602-3168-51-4</t>
  </si>
  <si>
    <t>BERANEKA RAGAM BURUNG (AVES)</t>
  </si>
  <si>
    <t>ALYA FATHIYA</t>
  </si>
  <si>
    <t>978-602-8148-43-6</t>
  </si>
  <si>
    <t>MISTERI PERILAKU SATWA</t>
  </si>
  <si>
    <t>591.5</t>
  </si>
  <si>
    <t>PSIKOLOGI HEWAN</t>
  </si>
  <si>
    <t>WENNY SUHENDRA</t>
  </si>
  <si>
    <t>M. MAHSAN BURHANI</t>
  </si>
  <si>
    <t>978-602-99442-3-5</t>
  </si>
  <si>
    <t>MENGENAL LAUT UNTUK MENJAGA KELESTARIAN LAUT SERI 2</t>
  </si>
  <si>
    <t>SITI RUKOYAH</t>
  </si>
  <si>
    <t>978-979-756-013-3</t>
  </si>
  <si>
    <t>MATEMATIKA MODERN | SERI : BANGUN DATAR, ORIGAMI, DAN KESEBANGUNAN</t>
  </si>
  <si>
    <t>516.22</t>
  </si>
  <si>
    <t>GEOMETRI DASAR</t>
  </si>
  <si>
    <t>978-602-196-256-5</t>
  </si>
  <si>
    <t>516.22 Matematika Modern : Seri Bangun Datar, Origami, dan Kesebangunan.jpg</t>
  </si>
  <si>
    <t>MARI BEREKSPERIMEN DENGAN SAINS</t>
  </si>
  <si>
    <t>R. NURFADILAH</t>
  </si>
  <si>
    <t>978-602-8264-12-9</t>
  </si>
  <si>
    <t>SERI IPA DAN TEKNOLOGI - WAKTU, PANJANG, DAN BERAT</t>
  </si>
  <si>
    <t>EMMA SAIDAH ZHAFIRA</t>
  </si>
  <si>
    <t>SITI RS.</t>
  </si>
  <si>
    <t>CV MEDIA KOMUNIKASI</t>
  </si>
  <si>
    <t>MENYELIDIKI AIR DAN MANFAATNYA</t>
  </si>
  <si>
    <t>KEMALA DEWI</t>
  </si>
  <si>
    <t>DEWI SUARTINI</t>
  </si>
  <si>
    <t>978-602-8264-13-6</t>
  </si>
  <si>
    <t>551.48 Menyelidiki Air dan Manfaatnya.jpg</t>
  </si>
  <si>
    <t>SERI SAINS DASAR 9 | MENGENAL ELEKTROMAGNET</t>
  </si>
  <si>
    <t>UMI SAIDAH W</t>
  </si>
  <si>
    <t>SITI ROSIDAH</t>
  </si>
  <si>
    <t>PT ALBAMA</t>
  </si>
  <si>
    <t>978-602-3168-50-7</t>
  </si>
  <si>
    <t>REFERENSI MATEMATIKA DALAM KEHIDUPAN MANUSIA 3</t>
  </si>
  <si>
    <t>WAHYUDIN, (DR.)</t>
  </si>
  <si>
    <t>510 Referensi Matematika - Dalam Kehidupan Manusia 3.jpg</t>
  </si>
  <si>
    <t>MENJELAJAH LAUTAN</t>
  </si>
  <si>
    <t>978-979-678-398-4</t>
  </si>
  <si>
    <t>SERI SAINS DASAR - MENGENAL LISTRIK</t>
  </si>
  <si>
    <t>LISTRIK</t>
  </si>
  <si>
    <t>JAKA PERMANA</t>
  </si>
  <si>
    <t>537 Seri Sains Dasar - Mengenal Listrik.jpg</t>
  </si>
  <si>
    <t>MENGENAL KEHIDUPAN HEWAN</t>
  </si>
  <si>
    <t>DADAN AHMAD S.</t>
  </si>
  <si>
    <t>AGUS MAWARDI</t>
  </si>
  <si>
    <t>PT. GRAFINDO MEDIA PRATAMA</t>
  </si>
  <si>
    <t>979-758-264-7</t>
  </si>
  <si>
    <t>REFERENSI MATEMATIKA DALAM KEHIDUPAN MANUSIA 2</t>
  </si>
  <si>
    <t>WAHYUDIN &amp; ANDRIAN YUSMANDAR</t>
  </si>
  <si>
    <t>510 Referensi Matematika dalam Kehidupan Manusia 2.jpg</t>
  </si>
  <si>
    <t>MENYELIDIKI UDARA</t>
  </si>
  <si>
    <t>M FAHMI ZAKI</t>
  </si>
  <si>
    <t>M RUSLIN</t>
  </si>
  <si>
    <t>978-602-8264-14-3</t>
  </si>
  <si>
    <t>MATEMATIKA DALAM TELEVISI</t>
  </si>
  <si>
    <t>SIMON GARNER</t>
  </si>
  <si>
    <t>RUDIYANTO</t>
  </si>
  <si>
    <t>979-662-449-2</t>
  </si>
  <si>
    <t>510 Matematika dalam Televisi.jpg</t>
  </si>
  <si>
    <t>MATEMATIKA DALAM MAKANAN</t>
  </si>
  <si>
    <t>SUE TIOMSON - IAN FOSTER</t>
  </si>
  <si>
    <t>979-662-442-3</t>
  </si>
  <si>
    <t>510 Matematika dalam Makanan.jpg</t>
  </si>
  <si>
    <t>MATEMATIKA DALAM TEKNOLOGI</t>
  </si>
  <si>
    <t>BARBARA LYNCH</t>
  </si>
  <si>
    <t>979-662-446-1</t>
  </si>
  <si>
    <t>CAKRAWALA ASTRONOMI</t>
  </si>
  <si>
    <t>MUHAMMAD RAMDHAN ADI</t>
  </si>
  <si>
    <t>MAYA ROHMAYATI</t>
  </si>
  <si>
    <t>978-979-678-386-1</t>
  </si>
  <si>
    <t>SIKLUS KEHIDUPAN DI ALAM</t>
  </si>
  <si>
    <t>BAIDURI WIDAD</t>
  </si>
  <si>
    <t>DIAN ISNAINI</t>
  </si>
  <si>
    <t>978-979-042-014-4</t>
  </si>
  <si>
    <t>MEDIA PENDIDIKAN BIOLOGI AVERTEBRATA</t>
  </si>
  <si>
    <t>DRS. SUHARDI, M.PD</t>
  </si>
  <si>
    <t>SURYO NUGROHO</t>
  </si>
  <si>
    <t>PT. WIDYA DUTA GRAFIKA</t>
  </si>
  <si>
    <t>979-517-345-6</t>
  </si>
  <si>
    <t>FAKTA TENTANG UNSUR</t>
  </si>
  <si>
    <t>ROBERT WINSTON</t>
  </si>
  <si>
    <t>RANI NURAENI M.PD</t>
  </si>
  <si>
    <t>01-19-197-0</t>
  </si>
  <si>
    <t>MENGENAL KIMIA</t>
  </si>
  <si>
    <t>978-979-678-358-8</t>
  </si>
  <si>
    <t>MENGUAK KEAJAIBAN ENERGI</t>
  </si>
  <si>
    <t>ARI WAHYU ARYANDI</t>
  </si>
  <si>
    <t>978-979-678-378-6</t>
  </si>
  <si>
    <t>BERKENALAN DENGAN FISIKA</t>
  </si>
  <si>
    <t>978-979-678-389-2</t>
  </si>
  <si>
    <t>MENGENAI SAMUDRA</t>
  </si>
  <si>
    <t>551.46</t>
  </si>
  <si>
    <t>HIDROSFER, OSEANOGRAFI</t>
  </si>
  <si>
    <t>PT MAPAN</t>
  </si>
  <si>
    <t>978-602-8262-51-4</t>
  </si>
  <si>
    <t>551.46 Mengenai Samudra.jpg</t>
  </si>
  <si>
    <t>SERI BACAAN IPA UNTUK ANAK; MENGENAL ZAT</t>
  </si>
  <si>
    <t>SETIA AJI &amp; A. HIDAYAT</t>
  </si>
  <si>
    <t>SAADAH</t>
  </si>
  <si>
    <t>PT GRAHA BANDUNG KENCANA</t>
  </si>
  <si>
    <t>978-602-8363-11-2</t>
  </si>
  <si>
    <t>MENJALAJAH RUANG ANGKASA</t>
  </si>
  <si>
    <t>Tim pas</t>
  </si>
  <si>
    <t>PT PANCA ANUGRAH SAKTI</t>
  </si>
  <si>
    <t>978-979-1433-13-6</t>
  </si>
  <si>
    <t>SERI ANAK PINTAR: MEMAHAMI GELOMBANG, BUNYI, DAN CAHAYA</t>
  </si>
  <si>
    <t>TEDY WIJAYA</t>
  </si>
  <si>
    <t>FIANA GIANTI</t>
  </si>
  <si>
    <t>GRAHA BANDUNG KENCANA</t>
  </si>
  <si>
    <t>978-602-8363-21-1</t>
  </si>
  <si>
    <t>SUNGAI, LAUT, DAN BUMI KITA</t>
  </si>
  <si>
    <t>AYUDIAH PITALOKA`</t>
  </si>
  <si>
    <t>978-602-8608-69-5</t>
  </si>
  <si>
    <t>MENGENAL KEHIDUPAN SERANGGA</t>
  </si>
  <si>
    <t>ARTIYONO</t>
  </si>
  <si>
    <t>RIA SETYO MARDANI</t>
  </si>
  <si>
    <t>MEDIA KERTAGAMA</t>
  </si>
  <si>
    <t>978-602-99432-0-7</t>
  </si>
  <si>
    <t>BERANEKA RAGAM IKAN AIR TAWAR</t>
  </si>
  <si>
    <t>978-602-8148-41-2</t>
  </si>
  <si>
    <t>BERAT, WAKTU, DAN PENGUKURAN</t>
  </si>
  <si>
    <t>TITIEK TRI INDRIJANINGSIH</t>
  </si>
  <si>
    <t>MATEMATIKA DALAM PENGUKURAN - MEMPELAJARI KECEPATAN</t>
  </si>
  <si>
    <t>MUKLIS</t>
  </si>
  <si>
    <t>SRIYONO</t>
  </si>
  <si>
    <t>PT. JEPE PRESS MEDIA UTAMA</t>
  </si>
  <si>
    <t>52 hlm; 14,8 x 21 cm</t>
  </si>
  <si>
    <t>510 Mempelajari Kecepatan.jpg</t>
  </si>
  <si>
    <t>BERANEKA RAGAM AMFIBI</t>
  </si>
  <si>
    <t>597.8</t>
  </si>
  <si>
    <t>AMFIBI</t>
  </si>
  <si>
    <t>SUKIMAN</t>
  </si>
  <si>
    <t>HEPPI DJIMI A</t>
  </si>
  <si>
    <t>597.8 Beraneka Ragam Amfibi.jpg</t>
  </si>
  <si>
    <t>BERANEKA RAGAM CACING (VERMES)</t>
  </si>
  <si>
    <t>RASYA M</t>
  </si>
  <si>
    <t>BERANEKA RAGAM IKAN AIR LAUT</t>
  </si>
  <si>
    <t>SATRIO A. YUDHOYONO</t>
  </si>
  <si>
    <t>DUNIA BINATANG YANG MENGAGUMKAN</t>
  </si>
  <si>
    <t>WAHYU DEWANTO</t>
  </si>
  <si>
    <t>KARYA MANDIRI NUSANTARA</t>
  </si>
  <si>
    <t>60 hlm; 17,5x25 cm</t>
  </si>
  <si>
    <t>SERI SAINS DASAR - MENGENAL GERAK 1</t>
  </si>
  <si>
    <t>CANDRA HERMANTO</t>
  </si>
  <si>
    <t>DENI SUPRAPTO</t>
  </si>
  <si>
    <t>978-602-316-842-2</t>
  </si>
  <si>
    <t>SERI SAINS DASAR - MENGENAL PESAWAT SEDERHANA 4</t>
  </si>
  <si>
    <t>SAINS DASAR</t>
  </si>
  <si>
    <t>BUDI SULAKSANA</t>
  </si>
  <si>
    <t>IWAN GUMILANG</t>
  </si>
  <si>
    <t>530 Seri Sains Dasar - Mengenal Pesawat Sederhana 4.jpg</t>
  </si>
  <si>
    <t>SERI SAINS DASAR - MENGENAL MAGNET</t>
  </si>
  <si>
    <t>TOPAN A. MUGNI</t>
  </si>
  <si>
    <t>FLORA YANG MENAKJUBKAN</t>
  </si>
  <si>
    <t>MUHAMMAD KHALID ZULFIKAR</t>
  </si>
  <si>
    <t>MUHAMMAD NAUFAL ZHARIF BAKAR</t>
  </si>
  <si>
    <t>CV. HABSA JAYA</t>
  </si>
  <si>
    <t>580 Flora yang Menakjubkan.jpg</t>
  </si>
  <si>
    <t>MENGAMATI KEHIDUPAN FLORA DAN FAUNA</t>
  </si>
  <si>
    <t>BIOLOGI DAN ILMU HAYAT</t>
  </si>
  <si>
    <t>PAK TEDJO</t>
  </si>
  <si>
    <t>64 hlm; 14,8x21 cm</t>
  </si>
  <si>
    <t>570 Mengamati Kehidupan Flora dan Fauna.jpg</t>
  </si>
  <si>
    <t>MAKHLUK HIDUP DI SEKITARKU</t>
  </si>
  <si>
    <t>NAEYANA AYOMI
MEIDY KAUTSAR</t>
  </si>
  <si>
    <t>FRIEMADONA
ARMAN BADRIZA</t>
  </si>
  <si>
    <t>52 hlm; 17,6x25 cm</t>
  </si>
  <si>
    <t>570 Makhluk Hidup di Sekitarku.jpg</t>
  </si>
  <si>
    <t>MATEMATIKA DALAM PENGUKURAN - MEMPELAJARI PENCERMINAN</t>
  </si>
  <si>
    <t>RINA DYAH RAHMITASARI,
ADITYA</t>
  </si>
  <si>
    <t>MUKLIS,
SRIYONO</t>
  </si>
  <si>
    <t>52 hlm; 14,8x21 cm</t>
  </si>
  <si>
    <t>510 Mempelajari Pencerminan.jpg</t>
  </si>
  <si>
    <t>ELANG JAWA - PERAMBAH ANGKASA RAYA</t>
  </si>
  <si>
    <t>ANANG SAEPULOH</t>
  </si>
  <si>
    <t>56 hlm; 17,5 x 25 cm</t>
  </si>
  <si>
    <t>590 Elang Jawa - Perambah Angkasa Raya.jpg</t>
  </si>
  <si>
    <t>MENGENAI PLANET BUMI</t>
  </si>
  <si>
    <t>ILMU KEBUMIAN</t>
  </si>
  <si>
    <t>SRI LESTARI</t>
  </si>
  <si>
    <t>PT. MAPAN</t>
  </si>
  <si>
    <t>59 hlm</t>
  </si>
  <si>
    <t>550 Mengenai Bumi.jpg</t>
  </si>
  <si>
    <t>JARAK</t>
  </si>
  <si>
    <t>ANIA NORISKI</t>
  </si>
  <si>
    <t>SIC</t>
  </si>
  <si>
    <t>56 hlm; 21 x 29,7 cm</t>
  </si>
  <si>
    <t>510 Jarak.jpg</t>
  </si>
  <si>
    <t>MENGENAL IKAN AIR TAWAR</t>
  </si>
  <si>
    <t>MENGENAL HEWAN</t>
  </si>
  <si>
    <t>DADAN AHMAD S,
SITI MULYATI</t>
  </si>
  <si>
    <t>RIKKY FIRMANSYAH</t>
  </si>
  <si>
    <t>CV NUANSA CITRA GRAFIKA</t>
  </si>
  <si>
    <t>590 Mengenal Ikan Air Tawar.jpg</t>
  </si>
  <si>
    <t>MATERIAL DAN SIFATNYA | SAINS DIBUAT MUDAH</t>
  </si>
  <si>
    <t>578.7</t>
  </si>
  <si>
    <t>BIOLOGI LINGKUNGAN</t>
  </si>
  <si>
    <t>TOTO SUBROTO</t>
  </si>
  <si>
    <t>FARIDA DZALFA</t>
  </si>
  <si>
    <t>578.7 Material dan Sifatnya.jpg</t>
  </si>
  <si>
    <t>MENGENAL IKAN LAUT</t>
  </si>
  <si>
    <t>DADAN AHMAD S,
RINA FITRIANA</t>
  </si>
  <si>
    <t>590 Mengenal Ikan Laut.jpg</t>
  </si>
  <si>
    <t>RAHASIA DI BALIK BILANGAN?</t>
  </si>
  <si>
    <t>JANU ISMADI</t>
  </si>
  <si>
    <t>66 hlm; 14,8 x 21 cm</t>
  </si>
  <si>
    <t>510 Rahasia Di Balik Bilangan.jpg</t>
  </si>
  <si>
    <t>MENGUNGKAP MASA LALU DENGAN MATEMATIKA</t>
  </si>
  <si>
    <t>510 Mengungkap Masa Lalu dengan Matematika.jpg</t>
  </si>
  <si>
    <t>MENENTUKAN PANJANG, LUAS &amp; VOLUME BENDA</t>
  </si>
  <si>
    <t>IDEY SETIASIH</t>
  </si>
  <si>
    <t>HARYO</t>
  </si>
  <si>
    <t>68 hlm; 21 cm</t>
  </si>
  <si>
    <t>510 Menentukan Panjang, Luas, Volume Benda.jpg</t>
  </si>
  <si>
    <t>PENDIDIKAN NASIONAL MELALUI PERANGKO -KEANEKARAGAMAN FLORA INDONESIA - SERI TANAMAN KOMODITAS</t>
  </si>
  <si>
    <t>580</t>
  </si>
  <si>
    <t>ILMU TUMBUHAN, ILMU TANAMAN</t>
  </si>
  <si>
    <t>VELENTINO BARUS, (Drs. )
Dra. MM. SRI HANDAYANI, M.Si,
RIYANTO, SE,
Dra. SUGIARTI,
VINCENT PANDIA</t>
  </si>
  <si>
    <t>580 PENDIDIKAN NASIONAL MELALUI PERANGKO -KEANEKARAGAMAN FLORA INDONESIA - SERI TANAMAN KOMODITAS.jpg</t>
  </si>
  <si>
    <t>PENDIDIKAN NASIONAL MELALUI PERANGKO - KEANEKARAGAMAN FAUNA INDONESIA - SERI BINATANG MENYUSUI</t>
  </si>
  <si>
    <t>VELENTINO BARUS, (Drs. )
Dra. MM. TRI. S. MILDAWANI, MA,
Dra. SRI HANDAYANI, M.Si,
RIYANTO, SE,
Dra. SUGIARTI</t>
  </si>
  <si>
    <t>590 Keanekaragaman Fauna Indonesia - Seri Binatang Menyusui.jpg</t>
  </si>
  <si>
    <t>PENDIDIKAN NASIONAL MELALUI PERANGKO - KEANEKARAGAMAN FLORA INDONESIA SERI ANGGREK</t>
  </si>
  <si>
    <t>580 Keanekaragaman Flora Indonesia - Seri Anggrek.jpg</t>
  </si>
  <si>
    <t>PENDIDIKAN NASIONAL MELALUI PERANGKO - KEANEKARAGAMAN FAUNA INDONESIA - SERI BURUNG</t>
  </si>
  <si>
    <t>590 PENDIDIKAN NASIONAL MELALUI PERANGKO - KEANEKARAGAMAN FAUNA INDONESIA - SERI BURUNG.jpg</t>
  </si>
  <si>
    <t>PENDIDIKAN NASIONAL MELALUI PERANGKO - KEANEKARAGAMAN FAUNA INDONESIA - SERI IKAN</t>
  </si>
  <si>
    <t>VELENTINO BARUS (Drs. ),
Dra. MM. TRI. S. MILDAWANI, MA,
Dra. SRI HANDAYANI, M.Si,
RIYANTO, SE,
Dra. SUGIARTI</t>
  </si>
  <si>
    <t>590 Pendidikan Nasional Melalui Perangko - Keanekaragaman Fauna Indonesia - Seri Ikan.jpg</t>
  </si>
  <si>
    <t>RINGKASAN MUDAH MATEMATIKA</t>
  </si>
  <si>
    <t>IIS NUR AISYAH</t>
  </si>
  <si>
    <t>VINI</t>
  </si>
  <si>
    <t>50 hlm; 21 cm</t>
  </si>
  <si>
    <t>510 Ringkasan Mudah Matematika.jpg</t>
  </si>
  <si>
    <t>PENDIDIKAN NASIONAL MELALUI PERANGKO - KEANEKARAGAMAN FLORA INDONESIA - SERI TANAMAN HIAS</t>
  </si>
  <si>
    <t>Drs. VELENTINO BARUS,
Dra. MM. SRI HANDAYANI, M.Si,
RIYANTO, SE,
Dra. SUGIARTI,
VINCENT PANDIA</t>
  </si>
  <si>
    <t>IVAN,
SAMMY BAROES</t>
  </si>
  <si>
    <t>MATEMATIKA PADA ZAMAN PURBA</t>
  </si>
  <si>
    <t>930.1</t>
  </si>
  <si>
    <t>MATEMATIKA ZAMAN PURBA</t>
  </si>
  <si>
    <t>BADRUL KOMAR,
RUSLANI</t>
  </si>
  <si>
    <t>NOVA YULIANAWATI</t>
  </si>
  <si>
    <t>ANGKASA</t>
  </si>
  <si>
    <t>126 hlm; 14 x 20 cm</t>
  </si>
  <si>
    <t>930.1 Matematika pada Zaman Purba.jpg</t>
  </si>
  <si>
    <t>26 TRIK CEPAT PERKALIAN</t>
  </si>
  <si>
    <t>HARRIS SYAMSI YULIANTO</t>
  </si>
  <si>
    <t>SHERLY DANINGSIH</t>
  </si>
  <si>
    <t>510 26 Trik Cepat Perkalian.jpg</t>
  </si>
  <si>
    <t>LEBIH DEKAT DENGAN LAUTKU</t>
  </si>
  <si>
    <t>OSEANOGRAFI</t>
  </si>
  <si>
    <t>MARTYN BRAMWELL</t>
  </si>
  <si>
    <t>MAREK WALISIEWICZ</t>
  </si>
  <si>
    <t>551.46 Lebih Dekat dengan Lautku.jpg</t>
  </si>
  <si>
    <t>ZAT KIMIA DALAM ROKOK</t>
  </si>
  <si>
    <t>TOKSIKOLOGI ZAT KIMIA YANG BERASAL DARI TUMBUHAN</t>
  </si>
  <si>
    <t>SULTAN AGENG TIRTAYASA</t>
  </si>
  <si>
    <t>BIOGRAFI</t>
  </si>
  <si>
    <t>978-602-5645-26-6</t>
  </si>
  <si>
    <t>920 Sultan Ageng Tirtayasa.jpg</t>
  </si>
  <si>
    <t>MINYAK BUMI</t>
  </si>
  <si>
    <t>ISLAMISASI KERAJAAN GOWA</t>
  </si>
  <si>
    <t>297.09</t>
  </si>
  <si>
    <t>AHMAD M. SEWANG, M.A. (Prof. DR.)</t>
  </si>
  <si>
    <t>YAYASAN OBOR INDONESIA</t>
  </si>
  <si>
    <t>979-461-530-0</t>
  </si>
  <si>
    <t>210 hlm;
14,5 x 21 cm</t>
  </si>
  <si>
    <t>297.09 Islamisasi Kerajaan Gowa.jpg</t>
  </si>
  <si>
    <t>TENAGA EKSOGEN PERIAS BUMI</t>
  </si>
  <si>
    <t>551.3</t>
  </si>
  <si>
    <t>EKSOGEN</t>
  </si>
  <si>
    <t>TATA LETAK PUSTAKA PRIMA</t>
  </si>
  <si>
    <t>551.3 Tenaga Eksogen Perias Bumi.jpg</t>
  </si>
  <si>
    <t>MENGAMBIL MANFAAT DARI HEWAN DAN TUMBUHAN LAUT</t>
  </si>
  <si>
    <t>EKOLOGI</t>
  </si>
  <si>
    <t>AAT UJI M</t>
  </si>
  <si>
    <t>570 Mengambil Manfaat dari Hewan dan Tumbuhan Laut.jpg</t>
  </si>
  <si>
    <t>PINTAR MATEMATIKA | SERI : WAKTU, KECEPATAN, DEBIT, LUAS DAN VOLUME</t>
  </si>
  <si>
    <t>62 hlm; 17.5 cm x 25 cm</t>
  </si>
  <si>
    <t>510 Pintar Matematika - Seri : Waktu, Kecepatan, Debit, Luas dan volume.jpg</t>
  </si>
  <si>
    <t>REFERENSI MATEMATIKA DALAM KEHIDUPAN MANUSIA 4</t>
  </si>
  <si>
    <t>WAHYUDIN, (DR. )
Drs. SUDRAJAT, M.Pd</t>
  </si>
  <si>
    <t>62 hlm; 23 cm</t>
  </si>
  <si>
    <t>510 Referensi Matematika dalam Kehidupan Manusia 4.jpg</t>
  </si>
  <si>
    <t>REFERENSI MATEMATIKA DALAM KEHIDUPAN MANUSIA 1</t>
  </si>
  <si>
    <t>DR. WAHYUDIN 
Drs. SUDRAJAT, M.Pd</t>
  </si>
  <si>
    <t>86 hlm; 23 cm</t>
  </si>
  <si>
    <t>SAINS UNTUK PEMULA 1 | MARI BERMAIN GERAK</t>
  </si>
  <si>
    <t>MEKANIKA</t>
  </si>
  <si>
    <t>Drs. SUHENDIANA NOOR &amp; Dra. IDA KANIAWATI, M.Si</t>
  </si>
  <si>
    <t>DEBBY JUWITA, S.Si.</t>
  </si>
  <si>
    <t>PT SETIA PURNA INVES</t>
  </si>
  <si>
    <t>979-1192-13-8</t>
  </si>
  <si>
    <t>531 Sains untuk Pemula 1.jpg</t>
  </si>
  <si>
    <t>SAINS UNTUK PEMULA 2 | MARI BERMAIN KESEIMBANGAN</t>
  </si>
  <si>
    <t>SUHENDIANA NOOR, (Drs. )
Dra. IDA KANIAWATI, M.Si</t>
  </si>
  <si>
    <t>FIRDAUS SUKMONO</t>
  </si>
  <si>
    <t>530 Sains untuk Pemula - Mari Bermain Keseimbangan.jpg</t>
  </si>
  <si>
    <t>SAINS UNTUK PEMULA 3 | MARI BERMAIN KELEMBAMAN DAN GESEKAN</t>
  </si>
  <si>
    <t>KELEMBAMAN DAN GESEKAN</t>
  </si>
  <si>
    <t>Drs. SUHENDIANA NOOR,
Dra. IDA KANIAWATI, M.Si</t>
  </si>
  <si>
    <t>FIRDAUS SUKMONO S.S.</t>
  </si>
  <si>
    <t>SAINS UNTUK PEMULA 4 | MARI BERMAIN PESAWAT SEDERHANA</t>
  </si>
  <si>
    <t>MEKANIKA PESAWAT</t>
  </si>
  <si>
    <t>AHMAD SARIPUDIN, S.Si.</t>
  </si>
  <si>
    <t>531 Sains untuk Pemula 4 : Mari Bermain Pesawat Sederhana.jpg</t>
  </si>
  <si>
    <t>SAINS UNTUK PEMULA 5 | MARI BERMAIN BUNYI</t>
  </si>
  <si>
    <t>BUNYI</t>
  </si>
  <si>
    <t>DRS. SUHENDIANA NOOR &amp; DRA. IDA KANIAWATI, M.SI</t>
  </si>
  <si>
    <t>AHMAD FAUZI, S.Si</t>
  </si>
  <si>
    <t>PT. SETIA PURNA INVES</t>
  </si>
  <si>
    <t>979-1192-17-0</t>
  </si>
  <si>
    <t>534 Sains untuk Pemula 5 : Mari Bermain Bunyi.jpg</t>
  </si>
  <si>
    <t>SAINS UNTUK PEMULA 6 | MARI BERMAIN CAHAYA</t>
  </si>
  <si>
    <t>SANI RUSDIANSAH, S. Si</t>
  </si>
  <si>
    <t>535 Sains untuk Pemula 6 : Mari Bermain Cahaya.jpg</t>
  </si>
  <si>
    <t>SAINS UNTUK PEMULA 7 | MARI BERMAIN LISTRIK STATIS</t>
  </si>
  <si>
    <t>537.6</t>
  </si>
  <si>
    <t>LISTRIK STATIS</t>
  </si>
  <si>
    <t>979-1192-19-7</t>
  </si>
  <si>
    <t>537.6 Sains untuk Pemula 7 : Mari Bermain Listrik Statis.jpg</t>
  </si>
  <si>
    <t>SAINS UNTUK PEMULA 8 | MARI BERMAIN MAGNET</t>
  </si>
  <si>
    <t>MAGNETISME</t>
  </si>
  <si>
    <t>979-1192-20-8</t>
  </si>
  <si>
    <t>538 Sains untuk Pemula 8 : Mari Bermain Magnet.jpg</t>
  </si>
  <si>
    <t>SAINS UNTUK PEMULA 9 | MARI BERMAIN ELEKTROMAGNET</t>
  </si>
  <si>
    <t>LISTRIK DAN ELEKTROMAGNETISME</t>
  </si>
  <si>
    <t>DRS. SUHENDIANA NOOR,
DRA. IDA KANIAWATI, M.SI</t>
  </si>
  <si>
    <t>537 Sains untuk Pemula 9.jpg</t>
  </si>
  <si>
    <t>SAINS UNTUK PEMULA 10 | MARI BERMAIN MOLEKUL</t>
  </si>
  <si>
    <t>539.6</t>
  </si>
  <si>
    <t>MOLEKUL</t>
  </si>
  <si>
    <t>SANI RUSDIANSAH, S.Si</t>
  </si>
  <si>
    <t>979-1192-22-7</t>
  </si>
  <si>
    <t>539.6 Sains untuk Pemula 10 : Mari Bermain Molekul.jpg</t>
  </si>
  <si>
    <t>BANGUN DATAR DAN RUMUS-RUMUSNYA</t>
  </si>
  <si>
    <t>IMAM SUJARWO, S.Si</t>
  </si>
  <si>
    <t>510 Bangun Datar dan Rumus-Rumusnya.jpg</t>
  </si>
  <si>
    <t>PINTAR MATEMATIKA | SERI : BILANGAN BULAT, BILANGAN CACAH, DAN PERPANGKATAN</t>
  </si>
  <si>
    <t>62 hlm; 17,5 x 25 cm</t>
  </si>
  <si>
    <t>PROYEK SAINS YANG MENARIK - KEHIDUPAN BINATANG</t>
  </si>
  <si>
    <t>SALLY HEWITT</t>
  </si>
  <si>
    <t>PROYEK SAINS YANG MENARIK - TANAMAN</t>
  </si>
  <si>
    <t>SERI IPA DAN TEKNOLOGI - GERAK DAN ENERGI</t>
  </si>
  <si>
    <t>500</t>
  </si>
  <si>
    <t>RAMLAN FIRMANSYAH</t>
  </si>
  <si>
    <t>SUARTINI DEWI</t>
  </si>
  <si>
    <t>PENINGKATAN DAN PENGAYAAN MATEMATIKA 1</t>
  </si>
  <si>
    <t>WAHYUDIN, (PROF. )
Drs. SUDRAJAT, M.Pd.</t>
  </si>
  <si>
    <t>CV IPA ABONG</t>
  </si>
  <si>
    <t>98 hlm; 28 cm</t>
  </si>
  <si>
    <t>510 Peningkatan dan Pengayaan Matematika 1.jpg</t>
  </si>
  <si>
    <t>PENINGKATAN DAN PENGAYAAN MATEMATIKA 2</t>
  </si>
  <si>
    <t>130 hlm; 28 cm</t>
  </si>
  <si>
    <t>510 Peningkatan dan Pengayaan Matematika 2.jpg</t>
  </si>
  <si>
    <t>PENINGKATAN DAN PENGAYAAN MATEMATIKA 3</t>
  </si>
  <si>
    <t>50 hlm; 28 cm</t>
  </si>
  <si>
    <t>510 Peningkatan dan Pengayaan Matematika 3.jpg</t>
  </si>
  <si>
    <t>EKSPERIMEN IPA 1</t>
  </si>
  <si>
    <t>HENNY SYATIRIAH</t>
  </si>
  <si>
    <t>52 hlm; 21 x 29,7 cm</t>
  </si>
  <si>
    <t>500 Eksperimen IPA 1.jpg</t>
  </si>
  <si>
    <t>EKSPERIMEN IPA 2</t>
  </si>
  <si>
    <t>500 Eksperimen IPA 2.jpg</t>
  </si>
  <si>
    <t>EKSPERIMEN IPA 3</t>
  </si>
  <si>
    <t>500 Eksperimen IPA 3.jpg</t>
  </si>
  <si>
    <t>EKSPERIMEN IPA 4</t>
  </si>
  <si>
    <t>500 Eksperimen IPA 4.jpg</t>
  </si>
  <si>
    <t>MODEL PEMBELAJARAN PENEMUAN TERBIMBING - KELILING DAN LUAS DAERAH BANGUN DATAR</t>
  </si>
  <si>
    <t>AHMAD HARIYADI</t>
  </si>
  <si>
    <t>55 hlm; 21 x 29,7 cm</t>
  </si>
  <si>
    <t>510 Model Pembelajaran Penemuan Terbimbing - Keliling dan Luas Daerah Bangun Datar.jpg</t>
  </si>
  <si>
    <t>MATEMATIKA - BANGUN DATAR</t>
  </si>
  <si>
    <t>WAHYUDIN</t>
  </si>
  <si>
    <t>510 Matematika - Bangun Datar.jpg</t>
  </si>
  <si>
    <t>MATEMATIKA - BILANGAN</t>
  </si>
  <si>
    <t>510 Matematika - Bilangan.jpg</t>
  </si>
  <si>
    <t>MATEMATIKA - BANGUN RUANG</t>
  </si>
  <si>
    <t>510 Matematika - Bangun Ruang.jpg</t>
  </si>
  <si>
    <t>MATEMATIKA - PECAHAN</t>
  </si>
  <si>
    <t>510 Matematika - Pecahan.jpg</t>
  </si>
  <si>
    <t>MATEMATIKA - STATISTIKA</t>
  </si>
  <si>
    <t>510 Matematika - Statistika.jpg</t>
  </si>
  <si>
    <t>ENSIKLOPEDIA MATEMATIKA 3 - BANGUN DATAR</t>
  </si>
  <si>
    <t>NUGROHO</t>
  </si>
  <si>
    <t>RIZKA</t>
  </si>
  <si>
    <t>CITRA ADI BANGSA</t>
  </si>
  <si>
    <t>510 Ensiklopedia Matematika 3 - Bangun Datar.jpg</t>
  </si>
  <si>
    <t>ENSIKLOPEDIA MATEMATIKA 5 - PENGUKURAN</t>
  </si>
  <si>
    <t>RETNA MASLIKAH</t>
  </si>
  <si>
    <t>510 Ensiklopedia Matematika 5 - Pengukuran.jpg</t>
  </si>
  <si>
    <t>KEKAYAAN ALAM BAHARI INDONESIA</t>
  </si>
  <si>
    <t>577.75</t>
  </si>
  <si>
    <t>EKOLOGI DI LAUT INDONESIA</t>
  </si>
  <si>
    <t>DINI NURDIANI</t>
  </si>
  <si>
    <t>978-602-9108-46-0</t>
  </si>
  <si>
    <t>577.75 Kekayaan Alam Bahari Indonesia.jpg</t>
  </si>
  <si>
    <t>MATEMATIKA DI SEKITAR KITA</t>
  </si>
  <si>
    <t>64 hlm; 21 cm</t>
  </si>
  <si>
    <t>PEMELIHARAAN TERUMBU KARANG</t>
  </si>
  <si>
    <t>978-979-1493-14-7</t>
  </si>
  <si>
    <t>98 hlm;
21 cm</t>
  </si>
  <si>
    <t>551.42 Pemeliharaan Terumbu Karang.jpg</t>
  </si>
  <si>
    <t>BELAJAR FISIKA BERSAMA DON QUIXOTE GAYA DAN GERAK</t>
  </si>
  <si>
    <t>KIM SOO KYEONG</t>
  </si>
  <si>
    <t>KIM JIN KYU</t>
  </si>
  <si>
    <t>PT BHUANA ILMU POPULER</t>
  </si>
  <si>
    <t>979-074-043-3</t>
  </si>
  <si>
    <t>530 Belajar Fisika Bersama Profesor Don Quixote Gaya dan Gerak.jpg</t>
  </si>
  <si>
    <t>ENSIKLOPEDI PERCOBAAN SAINS DASAR DARI BALON AJAIB HINGGA GUNUNG ES</t>
  </si>
  <si>
    <t>TIM NUANSA</t>
  </si>
  <si>
    <t>ENSIKLOPEDI PERCOBAAN SAINS DASAR DARI BIJI JAGUNG HINGGA KACANG</t>
  </si>
  <si>
    <t>YUK, JADI ILMUWAN CILIK</t>
  </si>
  <si>
    <t>507.24</t>
  </si>
  <si>
    <t>SAINS UNTUK ANAK-ANAK</t>
  </si>
  <si>
    <t>RULLY NASRULLAH</t>
  </si>
  <si>
    <t>DANGIANG PUSTAKA</t>
  </si>
  <si>
    <t>978-602-9123-64-7</t>
  </si>
  <si>
    <t>104 hlm;
25 cm</t>
  </si>
  <si>
    <t>BELAJAR STATISTIKA DI KEBUN BUAH KAKEK</t>
  </si>
  <si>
    <t>519.5 Belajar Statistika di Kebun Buah Kakek.jpg</t>
  </si>
  <si>
    <t>ASYIK BEREKSPERIMEN 1</t>
  </si>
  <si>
    <t>001.43</t>
  </si>
  <si>
    <t>EKSPERIMEN DAN PERCOBAAN</t>
  </si>
  <si>
    <t>53 hlm; 17,6 x 25 cm</t>
  </si>
  <si>
    <t>001.43 Asyik Bereksperimen 1.jpg</t>
  </si>
  <si>
    <t>ASYIK BEREKSPERIMEN 2</t>
  </si>
  <si>
    <t>PENDIDIKAN SAINS</t>
  </si>
  <si>
    <t>507 Asyik Bereksperiman 2.jpg</t>
  </si>
  <si>
    <t>ASYIK BEREKSPERIMEN 3</t>
  </si>
  <si>
    <t>507 Asyik Bereksperimen 3.jpg</t>
  </si>
  <si>
    <t>ASYIK BEREKSPERIMEN 4</t>
  </si>
  <si>
    <t>STATISTIKA DASAR MENGOLAH DATA</t>
  </si>
  <si>
    <t>STATISTIKA</t>
  </si>
  <si>
    <t>MARIA NOOR HIDAYAT</t>
  </si>
  <si>
    <t>519.5 Statistika Dasar Mengolah Data.jpg</t>
  </si>
  <si>
    <t>BAHAYA MEROKOK BAGI GENERASI MUDA</t>
  </si>
  <si>
    <t>PERMASALAHAN ROKOK</t>
  </si>
  <si>
    <t>RENI A A T</t>
  </si>
  <si>
    <t>PT ERA ADICITRA INTERMEDIA</t>
  </si>
  <si>
    <t>979-3415-39-9</t>
  </si>
  <si>
    <t>360 Bahaya Merokok Bagi Generasi Muda.jpg</t>
  </si>
  <si>
    <t>MENJELAJAH SUNGAI NIL</t>
  </si>
  <si>
    <t>FIKSI</t>
  </si>
  <si>
    <t>TIM CBM</t>
  </si>
  <si>
    <t>AHMAD FAUZI</t>
  </si>
  <si>
    <t>NUANSA CITRA GRAFIKA</t>
  </si>
  <si>
    <t>978-979-3711-28-7</t>
  </si>
  <si>
    <t>813 Menjelajah Sungai Nil.jpg</t>
  </si>
  <si>
    <t>PANTAI DAN KEHIDUPANNYA</t>
  </si>
  <si>
    <t>EDY KARSONO</t>
  </si>
  <si>
    <t>PT. INDAHJAYA</t>
  </si>
  <si>
    <t>978-979-24-1764-7</t>
  </si>
  <si>
    <t>AKU TAHU TENTANG.....DANAU</t>
  </si>
  <si>
    <t>BENI S. AMBARJAYA</t>
  </si>
  <si>
    <t>MUH. HABIBIE</t>
  </si>
  <si>
    <t>978-979-045-838-3</t>
  </si>
  <si>
    <t>54 / A5</t>
  </si>
  <si>
    <t>CUACA DAN IKLIM</t>
  </si>
  <si>
    <t>551.6</t>
  </si>
  <si>
    <t>SULISTIANI</t>
  </si>
  <si>
    <t>PT WIDYA DUTA GRAFIKA</t>
  </si>
  <si>
    <t>979517554-8</t>
  </si>
  <si>
    <t>551.6 Cuaca dan Iklim.jpg</t>
  </si>
  <si>
    <t>BENCANA ALAM GEOLOGI</t>
  </si>
  <si>
    <t>GEOLOGI</t>
  </si>
  <si>
    <t>P. HERU SUSILA</t>
  </si>
  <si>
    <t>PT. PUSTAKA TIGA KELANA</t>
  </si>
  <si>
    <t>978-602-8535-45-8</t>
  </si>
  <si>
    <t>551 Bencana Alam Geologi.jpg</t>
  </si>
  <si>
    <t>MARI MENGENAL BUMI</t>
  </si>
  <si>
    <t>979-758-2663-3</t>
  </si>
  <si>
    <t>BUMIMU BUMIKU</t>
  </si>
  <si>
    <t>550 Bumimu Bumiku.jpg</t>
  </si>
  <si>
    <t>BERPETUALANG DI PLANET BUMI</t>
  </si>
  <si>
    <t>RIA KURNIAWATIN</t>
  </si>
  <si>
    <t>978-979-678-383-0</t>
  </si>
  <si>
    <t>SERI BENCANA ALAM - GEMPA BUMI</t>
  </si>
  <si>
    <t>ADE YETI NURYANTINI</t>
  </si>
  <si>
    <t>KARYA PUTRA DARWATI</t>
  </si>
  <si>
    <t>SERI BENCANA ALAM - ANGIN PUTING BELIUNG</t>
  </si>
  <si>
    <t>ANGIN PUTING BELIUNG</t>
  </si>
  <si>
    <t>Dr. GUNAWAN IBRAHIM</t>
  </si>
  <si>
    <t>56 hlm;
17 cm</t>
  </si>
  <si>
    <t>551.552 Angin Puting Beliung.jpg</t>
  </si>
  <si>
    <t>DUNIA YANG HILANG</t>
  </si>
  <si>
    <t>PALEONTOLOGI, PALEOZOOLOGI</t>
  </si>
  <si>
    <t>YOYOK RAHAYU BASUKI, S.Pd.,
DUTA NARENDRATAMA</t>
  </si>
  <si>
    <t>CV CITRA MALANG</t>
  </si>
  <si>
    <t>560 Dunia Yang Hilang.jpg</t>
  </si>
  <si>
    <t>MENGENAL ATMOSFER DAN HIDROSFER</t>
  </si>
  <si>
    <t>551.5</t>
  </si>
  <si>
    <t>METEOROLOGI</t>
  </si>
  <si>
    <t>A. SALIM,
A. PERMANA W</t>
  </si>
  <si>
    <t>PT. OPTIMA INTELIJENSIA</t>
  </si>
  <si>
    <t>63 hlm; 17,6x25 cm</t>
  </si>
  <si>
    <t>551.5 Mengenal Atmosfer dan Hidrosfer.jpg</t>
  </si>
  <si>
    <t>DINOSAURUS DAN FOSIL</t>
  </si>
  <si>
    <t>560 Dinosaurus dan Fosil.jpg</t>
  </si>
  <si>
    <t>MENGENAL BANGUN DATAR</t>
  </si>
  <si>
    <t>ANDINI JULIANA</t>
  </si>
  <si>
    <t>VANIA ALYAPUTRI</t>
  </si>
  <si>
    <t>978-602-8363-03-7</t>
  </si>
  <si>
    <t>68 hlm.; 26 cm</t>
  </si>
  <si>
    <t>MENGENAL BANGUN RUANG</t>
  </si>
  <si>
    <t>DEWI ISMALIYAH</t>
  </si>
  <si>
    <t>52 hal; 25 cm</t>
  </si>
  <si>
    <t>MENGENAL BILANGAN</t>
  </si>
  <si>
    <t>REZA SAPUTRA</t>
  </si>
  <si>
    <t>92 hal; 25 cm</t>
  </si>
  <si>
    <t>MENGENAL PECAHAN</t>
  </si>
  <si>
    <t>IMAN RAJASA</t>
  </si>
  <si>
    <t>978-602-8363-01-3</t>
  </si>
  <si>
    <t>76 hal; 25 cm</t>
  </si>
  <si>
    <t>MENGENAL PENGUKURAN</t>
  </si>
  <si>
    <t>LAILA NURHASANAH</t>
  </si>
  <si>
    <t>U MAULANA</t>
  </si>
  <si>
    <t>76 hlm; 25 cm</t>
  </si>
  <si>
    <t>MENGENAL STATISTIKA</t>
  </si>
  <si>
    <t>SOFYAN KERTAWIJAYA</t>
  </si>
  <si>
    <t>KAMALUDIN, A.</t>
  </si>
  <si>
    <t>978-602-8363-05-1</t>
  </si>
  <si>
    <t>52 hlm; 25 cm</t>
  </si>
  <si>
    <t>KAMUS VISUAL TUMBUHAN</t>
  </si>
  <si>
    <t>580.3</t>
  </si>
  <si>
    <t>KAMUS BOTANI, ENSIKLOPEDIA BOTANI</t>
  </si>
  <si>
    <t>E TAKARI, S.PD</t>
  </si>
  <si>
    <t>ASRIMIARTI</t>
  </si>
  <si>
    <t>EPSILON GROUP</t>
  </si>
  <si>
    <t>SERI SAINS DASAR 5 | MENGENAL BUNYI</t>
  </si>
  <si>
    <t>JUWARIYAH</t>
  </si>
  <si>
    <t>L HARTONO</t>
  </si>
  <si>
    <t>978-602-3168-46-0</t>
  </si>
  <si>
    <t>ASYIKNYA ALJABAR - TIGA</t>
  </si>
  <si>
    <t>BAHAN-BAHAN KIMIA DALAM MAKANAN</t>
  </si>
  <si>
    <t>540</t>
  </si>
  <si>
    <t>NISA AFIFAH</t>
  </si>
  <si>
    <t>M. RAMADHANIYATI</t>
  </si>
  <si>
    <t>978-602-9443-14-1</t>
  </si>
  <si>
    <t>90 EKSPERIMEN - 2</t>
  </si>
  <si>
    <t>502</t>
  </si>
  <si>
    <t>ANEKA RAGAM TENTANG ILMU PENGETAHUAN ALAM</t>
  </si>
  <si>
    <t>ANITA VAN SAAN</t>
  </si>
  <si>
    <t>D. LIANA</t>
  </si>
  <si>
    <t>TIGA SERANGKAI PUSTAKA MANDIRI</t>
  </si>
  <si>
    <t>64 hlm; 26,5 cm</t>
  </si>
  <si>
    <t>502 90 Eksperimen 2.jpg</t>
  </si>
  <si>
    <t>UDARA DI SEKELILING BUMI</t>
  </si>
  <si>
    <t>550</t>
  </si>
  <si>
    <t>BAHRUDIN SUPARDI
DARIS EFENDI</t>
  </si>
  <si>
    <t>550 Udara di Sekeliling Bumi.jpg</t>
  </si>
  <si>
    <t>DAGING SUSU TELUR DAN PENGOLAHANNYA</t>
  </si>
  <si>
    <t>TEKNOLOGI PANGAN</t>
  </si>
  <si>
    <t>KEAJAIBAN OTAK MANUSIA</t>
  </si>
  <si>
    <t>ANATOMI MANUSIA</t>
  </si>
  <si>
    <t>611 Keajaiban Otak Manusia.jpg</t>
  </si>
  <si>
    <t>615.9</t>
  </si>
  <si>
    <t>TOKSIKOLOGI (RACUN)</t>
  </si>
  <si>
    <t>ENSIKLOPEDI KESEHATAN 1</t>
  </si>
  <si>
    <t>KESEHATAN</t>
  </si>
  <si>
    <t>610 Ensiklopedi Kesehatan 1.jpg</t>
  </si>
  <si>
    <t>ENSIKLOPEDI KESEHATAN 2</t>
  </si>
  <si>
    <t>ENSIKLOPEDI KESEHATAN 3</t>
  </si>
  <si>
    <t>ENSIKLOPEDI KESEHATAN 4</t>
  </si>
  <si>
    <t>ENSIKLOPEDI KESEHATAN 5</t>
  </si>
  <si>
    <t>ENSIKLOPEDI KESEHATAN 6</t>
  </si>
  <si>
    <t>VARIASI OLAHAN KARBOHIDRAT NON BERAS 1-SINGKONG</t>
  </si>
  <si>
    <t>KUSNO WALUYO</t>
  </si>
  <si>
    <t>SRI MULYANI,S.P.</t>
  </si>
  <si>
    <t>VARIASI OLAHAN KARBOHIDRAT NON BERAS 2- JAGUNG TALAS SAGU</t>
  </si>
  <si>
    <t>AGROBISNIS BAWANG MERAH</t>
  </si>
  <si>
    <t>BUDIDAYA STROBERI</t>
  </si>
  <si>
    <t>BUDIDAYA KANGKUNG DAN BAYAM</t>
  </si>
  <si>
    <t>MENGENAL SISTEM SARAF, HORMON,DAN ALAT INDERA</t>
  </si>
  <si>
    <t>ENSIKLOPEDIA : MENGENAL DUNIA SEKRETARIS</t>
  </si>
  <si>
    <t>651.3</t>
  </si>
  <si>
    <t>MANAJEMEN KANTOR</t>
  </si>
  <si>
    <t>ANANDITA FITRIANI P</t>
  </si>
  <si>
    <t>978-602-72689-2-0</t>
  </si>
  <si>
    <t>TERAMPIL MENULIS SURAT</t>
  </si>
  <si>
    <t>651.1</t>
  </si>
  <si>
    <t>SURAT</t>
  </si>
  <si>
    <t>REISSA Y</t>
  </si>
  <si>
    <t>651.1 Terampil Menulis Surat.jpg</t>
  </si>
  <si>
    <t>PANDUAN PERTOLONGAN PERTAMA</t>
  </si>
  <si>
    <t>978-602-8714-31-0</t>
  </si>
  <si>
    <t>KIAT MENCEGAH PENURUNAN PRODUKSI TELUR</t>
  </si>
  <si>
    <t>SUPARMAN</t>
  </si>
  <si>
    <t>AZKA PRESS</t>
  </si>
  <si>
    <t>979-1211-20-5</t>
  </si>
  <si>
    <t>JOHAN WAHYUDIN</t>
  </si>
  <si>
    <t>978-602-9124-04-0</t>
  </si>
  <si>
    <t>WUJUDKAN MIMPI UNTUK SUKSES</t>
  </si>
  <si>
    <t>NURYANTI RAMDANI</t>
  </si>
  <si>
    <t>978-602-9106-20-6</t>
  </si>
  <si>
    <t>ENTREPRENEUR, FROM INSPIRATION BECOME PERSPIRATION</t>
  </si>
  <si>
    <t>JUBILEE ENTERPRISE</t>
  </si>
  <si>
    <t>978-602-02-15730</t>
  </si>
  <si>
    <t>JAGA DAN LESTARIKAN HUTAN LINDUNG KITA</t>
  </si>
  <si>
    <t>ERIKA J</t>
  </si>
  <si>
    <t>CIPTA PERSADA</t>
  </si>
  <si>
    <t>TEKNOLOGI &amp; MASYARAKAT - PEMIKIRAN-PEMIKIRAN SEORANG TEKNOLOG</t>
  </si>
  <si>
    <t>153.4</t>
  </si>
  <si>
    <t>PEMIKIRAN</t>
  </si>
  <si>
    <t>RAHARDI RAMELAN</t>
  </si>
  <si>
    <t>Dr.RONNY M. BISHRY</t>
  </si>
  <si>
    <t>CV LUBUK AGUNG</t>
  </si>
  <si>
    <t>978-979-505-180-7</t>
  </si>
  <si>
    <t>153.4 Teknologi &amp; Masyarakat.jpg</t>
  </si>
  <si>
    <t>TERAPI SEHAT DENGAN SHALAT</t>
  </si>
  <si>
    <t>ABU MUH. AL-HANNAN</t>
  </si>
  <si>
    <t>AULIA COMPUTINDO</t>
  </si>
  <si>
    <t>AULIA SURABAYA</t>
  </si>
  <si>
    <t>RICH DAD'S | THE BUSINESS SCHOOL</t>
  </si>
  <si>
    <t>ROBERT T. KIYOSAKI</t>
  </si>
  <si>
    <t>PT. GRAMEDIA PUSTAKA UTAMA</t>
  </si>
  <si>
    <t>979-686-729-X</t>
  </si>
  <si>
    <t>IBU SEHAT, ANAK SEHAT. BANGSAKU KUAT</t>
  </si>
  <si>
    <t>SEKAR AMALIA</t>
  </si>
  <si>
    <t>SETYAWAN</t>
  </si>
  <si>
    <t>PANTJA SIMPATI</t>
  </si>
  <si>
    <t>978-602-9139-16-7</t>
  </si>
  <si>
    <t>TRANSPORTASI RAMAH LINGKUNGAN</t>
  </si>
  <si>
    <t>SOFYAN FIRDAUS</t>
  </si>
  <si>
    <t>MUHAMMAD SOFYAN</t>
  </si>
  <si>
    <t>RICARDO PUBLISHING AND PUBLISHING</t>
  </si>
  <si>
    <t>978-602-8349-80-2</t>
  </si>
  <si>
    <t xml:space="preserve">ATAR SEMI, Prof. Drs. M. </t>
  </si>
  <si>
    <t>PENEMUAN YANG MENGUBAH DUNIA</t>
  </si>
  <si>
    <t>978-602-8169-13-4</t>
  </si>
  <si>
    <t>SUPRIYADI DAN PERLAWANAN PETA DI BLITAR</t>
  </si>
  <si>
    <t>SEJARAH ASIA</t>
  </si>
  <si>
    <t>AGUS SALIM</t>
  </si>
  <si>
    <t>NAFISA INAYATULHUSNA</t>
  </si>
  <si>
    <t>RADIAN PRESS</t>
  </si>
  <si>
    <t>950 Supriyadi dan Perlawanan PETA di Blitar.jpg</t>
  </si>
  <si>
    <t>AIR SEHAT KITA SEHAT</t>
  </si>
  <si>
    <t>ILMU KESEHATAN</t>
  </si>
  <si>
    <t>978-602-7932-01-2</t>
  </si>
  <si>
    <t>610 Air Sehat Kita Sehat.jpg</t>
  </si>
  <si>
    <t>KENALI PARU-PARU ANDA</t>
  </si>
  <si>
    <t>INDRA GANI ADIWENA</t>
  </si>
  <si>
    <t>PURWANTO</t>
  </si>
  <si>
    <t>610 Kenali Paru-paru Anda.jpg</t>
  </si>
  <si>
    <t>PENGHIJAUAN UNTUK MENGURANGI PENCEMARAN</t>
  </si>
  <si>
    <t>ADE YETI N</t>
  </si>
  <si>
    <t>TIM EDITOR AMM</t>
  </si>
  <si>
    <t>SISTEM PEREDARAN DARAH PADA MANUSIA</t>
  </si>
  <si>
    <t>612.1</t>
  </si>
  <si>
    <t>PEREDARAN DARAH</t>
  </si>
  <si>
    <t>WAHYU P.P.</t>
  </si>
  <si>
    <t>978-602-8713-22-1</t>
  </si>
  <si>
    <t>612.1 Sistem Peredaran Darah Pada Manusia.jpg</t>
  </si>
  <si>
    <t>PERNAPASAN PADA MANUSIA DAN HUBUNGANNYA DENGAN KESEHATAN</t>
  </si>
  <si>
    <t>611.2</t>
  </si>
  <si>
    <t>PERNAPASAN MANUSIA</t>
  </si>
  <si>
    <t>978-602-8713-21-4</t>
  </si>
  <si>
    <t>611.2 Pernapasan Manusia dan Hubungannya dengan Kesehatan.jpg</t>
  </si>
  <si>
    <t>SISTEM KOORDINASI DAN ALAT INDERA PADA MANUSIA</t>
  </si>
  <si>
    <t>RAHMAT O</t>
  </si>
  <si>
    <t>978-602-8714-11-2</t>
  </si>
  <si>
    <t>611 Sistem Koordinasi dan Alat Indera pada Manusia.jpg</t>
  </si>
  <si>
    <t>SISTEM PENCERNAAN PADA MANUSIA</t>
  </si>
  <si>
    <t>978-602-8714-10-5</t>
  </si>
  <si>
    <t>811 Sistem Pencernaan Pada Manusia.jpg</t>
  </si>
  <si>
    <t>SISTEM REPRODUKSI PADA MANUSIA</t>
  </si>
  <si>
    <t>REPRODUKSI MANUSIA</t>
  </si>
  <si>
    <t>612.6 Sistem Reproduksi Pada Manusia.jpg</t>
  </si>
  <si>
    <t>GIGI SEHAT SENYUM PUN INDAH</t>
  </si>
  <si>
    <t>TEGUH SETIAWAN</t>
  </si>
  <si>
    <t>978-979-18132-0-4</t>
  </si>
  <si>
    <t>HIDUP SEHAT DENGAN LINGKUNGAN HIJAU</t>
  </si>
  <si>
    <t xml:space="preserve">KANIA D,, A. </t>
  </si>
  <si>
    <t>978-602-7932-07-4</t>
  </si>
  <si>
    <t>610 Hidup Sehat Dengan Lingkungan Hijau.jpg</t>
  </si>
  <si>
    <t>DARAH DALAM TUBUH MANUSIA</t>
  </si>
  <si>
    <t>NURHAYATI SETIAWAN</t>
  </si>
  <si>
    <t>TIM ACARYA</t>
  </si>
  <si>
    <t>978-979-1074-90-2</t>
  </si>
  <si>
    <t>BERMULA DARI MAKANAN</t>
  </si>
  <si>
    <t>RIZAL H</t>
  </si>
  <si>
    <t>ARIES W</t>
  </si>
  <si>
    <t>978-602-8147-70-5</t>
  </si>
  <si>
    <t>ANEKA RAMUAN BERKHASIAT DARI TEMU-TEMUAN</t>
  </si>
  <si>
    <t>OBAT HERBAL</t>
  </si>
  <si>
    <t>SARDHI DARYATMO</t>
  </si>
  <si>
    <t>TETY ROHMAWATI</t>
  </si>
  <si>
    <t>PUSPA SWARA, ANGGOTA IKAPI</t>
  </si>
  <si>
    <t>979-3235-77-2</t>
  </si>
  <si>
    <t>615.3 Aneka Ramuan Berkhasiat dari Temu-Temuan.jpg</t>
  </si>
  <si>
    <t>MESIN DAN TENAGA</t>
  </si>
  <si>
    <t>ILMU TEKNIK</t>
  </si>
  <si>
    <t>BAHARUDIN SUPARDI</t>
  </si>
  <si>
    <t>ANGGOTA IKAPI</t>
  </si>
  <si>
    <t>978-979-692-052-5</t>
  </si>
  <si>
    <t>620 Mesin dan Tenaga.jpg</t>
  </si>
  <si>
    <t>SERI DIKLAT MANAJEMEN - CARA PRODUKSI PANGAN YANG BAIK</t>
  </si>
  <si>
    <t>M. BAHRUL DAHLAN</t>
  </si>
  <si>
    <t>SERI KESEHATAN | MENGENAL KOPI DAN KHASIATNYA</t>
  </si>
  <si>
    <t>633.7</t>
  </si>
  <si>
    <t>TANAMAN ALKALOIDAL</t>
  </si>
  <si>
    <t>AKBAR WAHIDIN,S.Pd.</t>
  </si>
  <si>
    <t>633.7 Seri Kesehatan - Mengenal Kopi dan Khasiatnya.jpg</t>
  </si>
  <si>
    <t>SELUK BELUK NANAS DAN PENANAMANNYA</t>
  </si>
  <si>
    <t>PENANAMAN</t>
  </si>
  <si>
    <t>INDAH APRIANTI</t>
  </si>
  <si>
    <t>BETI DWI SEPTININGSIH,
AHMAD SARIPUDIN</t>
  </si>
  <si>
    <t>631 Seluk-Beluk Nanas dan Penanamannya.jpg</t>
  </si>
  <si>
    <t>GOD.SPEED</t>
  </si>
  <si>
    <t>GHYNA AMANDA</t>
  </si>
  <si>
    <t>PT GRAMEDIA PUSTAKA UTAMA</t>
  </si>
  <si>
    <t>978-602-03-0767-1</t>
  </si>
  <si>
    <t>224 hlm;
20 cm</t>
  </si>
  <si>
    <t>813 God.Speed.jpg</t>
  </si>
  <si>
    <t>MAKAN NIKMAT, BADAN SEHAT</t>
  </si>
  <si>
    <t>AHN, KWANG-HYUN</t>
  </si>
  <si>
    <t>PT ELEX MEDIA KOMPUTINDO</t>
  </si>
  <si>
    <t>610 Makan Nikmat, Badan Sehat.jpg</t>
  </si>
  <si>
    <t>BUDIDAYA DURIAN MONTONG</t>
  </si>
  <si>
    <t>HERI NURYANTO</t>
  </si>
  <si>
    <t>TIM EDITOR DUP</t>
  </si>
  <si>
    <t>DHARMA UTAMA</t>
  </si>
  <si>
    <t>74 / A5</t>
  </si>
  <si>
    <t>20 USAHA SAMPINGAN PALING MENGUNTUNGKAN</t>
  </si>
  <si>
    <t>AJEN DIANAWATI</t>
  </si>
  <si>
    <t>VISIMEDIA</t>
  </si>
  <si>
    <t>141 / A5</t>
  </si>
  <si>
    <t>SEHAT DENGAN TANAMAN OBAT INDONESIA</t>
  </si>
  <si>
    <t>Drs. KOES IRIANTO</t>
  </si>
  <si>
    <t>978-602-8714-33-4</t>
  </si>
  <si>
    <t>135 / A5</t>
  </si>
  <si>
    <t>MERACIK SELAI RUMAHAN</t>
  </si>
  <si>
    <t>MERACIK BAHAN MAKANAN</t>
  </si>
  <si>
    <t>ANITA KHAIRUNNISA</t>
  </si>
  <si>
    <t>NURUL</t>
  </si>
  <si>
    <t>978-602-9106-09-1</t>
  </si>
  <si>
    <t>58 / A5</t>
  </si>
  <si>
    <t>664 Meracik Selai Rumahan.jpg</t>
  </si>
  <si>
    <t>PENYAKIT PERUT</t>
  </si>
  <si>
    <t>611.3</t>
  </si>
  <si>
    <t>KESEHATAN PENCERNAAN</t>
  </si>
  <si>
    <t>RIANA AFRIADI</t>
  </si>
  <si>
    <t>978-602-8713-00-9</t>
  </si>
  <si>
    <t>56 / A5</t>
  </si>
  <si>
    <t>611.3 Penyakit Perut.jpg</t>
  </si>
  <si>
    <t>BERTANAM TANPA TANAH (HIDROPONIK)</t>
  </si>
  <si>
    <t>RENY SUKMAWANI</t>
  </si>
  <si>
    <t>PT. PANCA ANUGERAH SAKTI</t>
  </si>
  <si>
    <t>978-979-1433-36-5</t>
  </si>
  <si>
    <t>52 / A5</t>
  </si>
  <si>
    <t>WASPADAI BAHAN KIMIA DI RUMAH KITA</t>
  </si>
  <si>
    <t>KURNIASIH</t>
  </si>
  <si>
    <t>DIANA NURDIANSYAH</t>
  </si>
  <si>
    <t>PT. VISINDO MEDIA PERSADA</t>
  </si>
  <si>
    <t>540 Waspadai Bahan Kimia di Rumah Kita.jpg</t>
  </si>
  <si>
    <t>AGRIBISNIS CABAI</t>
  </si>
  <si>
    <t>ADHI SANTIKA, Ph.D</t>
  </si>
  <si>
    <t>PT. PENEBAR SWADAYA</t>
  </si>
  <si>
    <t>979-489-292-0</t>
  </si>
  <si>
    <t>183 / A5</t>
  </si>
  <si>
    <t>USAHA PRAKTIS KAULA MUDA</t>
  </si>
  <si>
    <t>ODIH PERMADI</t>
  </si>
  <si>
    <t>RAMADHAN</t>
  </si>
  <si>
    <t>978-602-7659-69-8</t>
  </si>
  <si>
    <t>ENSIKLOPEDIA MENGENAL TATA BOGA</t>
  </si>
  <si>
    <t>GASTRONOMI / TATA BOGA</t>
  </si>
  <si>
    <t>ANANDITA FITRIANI</t>
  </si>
  <si>
    <t>AZIZ NURJAMAN</t>
  </si>
  <si>
    <t>978-602-72689-1-3</t>
  </si>
  <si>
    <t>641 Ensiklopedia - Mengenal Tata Boga.jpg</t>
  </si>
  <si>
    <t>SUMBER DAYA ALAM  KESEJAHTERAAN KITA</t>
  </si>
  <si>
    <t>SUMBER DAYA ALAM</t>
  </si>
  <si>
    <t>ODIH PERMANA</t>
  </si>
  <si>
    <t>978-602-7659-78-0</t>
  </si>
  <si>
    <t>64/ A5</t>
  </si>
  <si>
    <t>500 Sumber Daya Alam Kesejahteraan Kita.jpg</t>
  </si>
  <si>
    <t>BIOTEKNOLOGI</t>
  </si>
  <si>
    <t>660.6</t>
  </si>
  <si>
    <t>SUSI LAELAWATI, S.Pd</t>
  </si>
  <si>
    <t>PT PERCA</t>
  </si>
  <si>
    <t>660.6 Bioteknologi.jpg</t>
  </si>
  <si>
    <t>KREASI KUE IMITASI</t>
  </si>
  <si>
    <t>SENI KERAMIK</t>
  </si>
  <si>
    <t>YONGKY ISKANDAR</t>
  </si>
  <si>
    <t>978-602-8714-41-9</t>
  </si>
  <si>
    <t>738 Kreasi Kue Imitasi.jpg</t>
  </si>
  <si>
    <t>PENTINGNYA KARAKTER WIRAUSAHA UNTUK REMAJA</t>
  </si>
  <si>
    <t>338.04</t>
  </si>
  <si>
    <t>KARAKTER WIRAUSAHA</t>
  </si>
  <si>
    <t>978-602-8712-42-2</t>
  </si>
  <si>
    <t>338.04 Pentingnya Karakter Wirausaha untuk Remaja.jpg</t>
  </si>
  <si>
    <t>MEMBUAT TERARIUM</t>
  </si>
  <si>
    <t>PERTANIAN</t>
  </si>
  <si>
    <t xml:space="preserve">WISNUWATI, Drs. </t>
  </si>
  <si>
    <t>630 Membuat Terarium Unik dan Cara Merawatnya.jpg</t>
  </si>
  <si>
    <t>ANEKA MASAKAN DAN MINUMAN</t>
  </si>
  <si>
    <t>MASAK</t>
  </si>
  <si>
    <t>HANIFA N</t>
  </si>
  <si>
    <t>DRA. AI TATI NURHAYATI</t>
  </si>
  <si>
    <t>979-571-190-0</t>
  </si>
  <si>
    <t>641.5 Aneka Masakan dan Minuman.jpg</t>
  </si>
  <si>
    <t>BETERNAK AYAM JAGO SUPER</t>
  </si>
  <si>
    <t>BETERNAK IKAN LELE</t>
  </si>
  <si>
    <t>SLAMET SOESENO</t>
  </si>
  <si>
    <t>INTERMASA</t>
  </si>
  <si>
    <t>979-3791-13-6</t>
  </si>
  <si>
    <t>BISNIS DAN BUDI DAYA KERAPU</t>
  </si>
  <si>
    <t>WIWIE SOEMARJATI,
AHMAD B. MUSLIM,
RINI SUSIANA,
CAHYO SAPARINTO</t>
  </si>
  <si>
    <t>B. PRASETYA W</t>
  </si>
  <si>
    <t>PENEBAR SWADAYA</t>
  </si>
  <si>
    <t>148 hlm; 23 cm</t>
  </si>
  <si>
    <t>BUDIDAYA CABE</t>
  </si>
  <si>
    <t>635.6</t>
  </si>
  <si>
    <t>TANAMAN CABE</t>
  </si>
  <si>
    <t>ISKANDAR</t>
  </si>
  <si>
    <t>635.6 Budidaya Cabe.jpg</t>
  </si>
  <si>
    <t>BUDI DAYA IKAN DI KOLAM DAN AKUARIUM</t>
  </si>
  <si>
    <t>PERTANIAN DAN PETERNAKAN</t>
  </si>
  <si>
    <t>978-602-95716-3-9</t>
  </si>
  <si>
    <t>630 Budi Daya Ikan di Kolam dan Akuarium.jpg</t>
  </si>
  <si>
    <t>BUDIDAYA IKAN DIPEKARANGAN</t>
  </si>
  <si>
    <t>639.3</t>
  </si>
  <si>
    <t>BUDIDAYA PERIKANAN</t>
  </si>
  <si>
    <t>SITI ROCHANI</t>
  </si>
  <si>
    <t>AZKA MULIA MEDIA</t>
  </si>
  <si>
    <t>BUDI DAYA IKAN HIAS</t>
  </si>
  <si>
    <t>639.34</t>
  </si>
  <si>
    <t>SOETRISNO</t>
  </si>
  <si>
    <t>LIZA</t>
  </si>
  <si>
    <t>CARA MEMBUAT EMPING MELINJO</t>
  </si>
  <si>
    <t>PRODUKSI MAKANAN</t>
  </si>
  <si>
    <t>DIAN NURDIANI, Ir.</t>
  </si>
  <si>
    <t>640 Cara Membuat Emping Melinjo.jpg</t>
  </si>
  <si>
    <t>DAUR ULANG LIMBAH</t>
  </si>
  <si>
    <t>FARIDA</t>
  </si>
  <si>
    <t>ROCHMAD</t>
  </si>
  <si>
    <t>IRANTI MITRA UTAMA</t>
  </si>
  <si>
    <t>978-602-96263-3-7</t>
  </si>
  <si>
    <t>DI BALIK BAHAYA KEMASAN OLAHAN</t>
  </si>
  <si>
    <t>978-602-7932-10-4</t>
  </si>
  <si>
    <t>363.7 Di Balik Bahaya Kemasan Olahan.jpg</t>
  </si>
  <si>
    <t>INDAHNYA MASA PUBERTAS</t>
  </si>
  <si>
    <t>POETRI LESTARI</t>
  </si>
  <si>
    <t>INDRAWATI</t>
  </si>
  <si>
    <t>CV KARYA MANDIRI NUSANTARA</t>
  </si>
  <si>
    <t>INSAN BERKARAKTER CINTA KESEHATAN</t>
  </si>
  <si>
    <t>TIM EDITOR PURI PUSTAKA</t>
  </si>
  <si>
    <t>PURI PUSTAKA</t>
  </si>
  <si>
    <t>978-602-8712-97-2</t>
  </si>
  <si>
    <t>610 Insan Berkarakter Mengutamakan Cinta Kesehatan.jpg</t>
  </si>
  <si>
    <t>RAGAM KERIPIK SINGKONG</t>
  </si>
  <si>
    <t>AGE WIDRO</t>
  </si>
  <si>
    <t>978-979-1420-58-7</t>
  </si>
  <si>
    <t>KERUPUK DARI NASI AKING (GENDAR)</t>
  </si>
  <si>
    <t>641.3</t>
  </si>
  <si>
    <t>MAKANAN</t>
  </si>
  <si>
    <t>EKO PURWANINGSIH</t>
  </si>
  <si>
    <t>DIMAN</t>
  </si>
  <si>
    <t>TAHU MAKANAN BERGIZI TINGGI</t>
  </si>
  <si>
    <t xml:space="preserve">DADI PERMANA, A </t>
  </si>
  <si>
    <t>BAMBANG SUPRATMAN</t>
  </si>
  <si>
    <t>979-9282-78-0</t>
  </si>
  <si>
    <t>610 Tahu Makanan Bergizi Tinggi.jpg</t>
  </si>
  <si>
    <t>MARI KITA MELAKUKAN 3R (REDUCE, RE-USE, RECYCLING)</t>
  </si>
  <si>
    <t>628.44</t>
  </si>
  <si>
    <t>PENGOLAHAN SAMPAH</t>
  </si>
  <si>
    <t>THARSYA REISTYANA</t>
  </si>
  <si>
    <t>PUPUNG</t>
  </si>
  <si>
    <t>978-602-9107-11-1</t>
  </si>
  <si>
    <t>628.44 Mari Kita Melakukan 3R.jpg</t>
  </si>
  <si>
    <t>MELON | PEMELIHARAAN SECARA INTENSIF KIAT SUKSES BERAGRIBISNIS</t>
  </si>
  <si>
    <t>Ir. FINAL PRAJNANTA</t>
  </si>
  <si>
    <t>PT PENEBAR SWADAYA</t>
  </si>
  <si>
    <t>979-489-444-3</t>
  </si>
  <si>
    <t>MEMBIASAKAN HIDUP SEHAT</t>
  </si>
  <si>
    <t>TITIN FITRIANI</t>
  </si>
  <si>
    <t>978-979-17609-8</t>
  </si>
  <si>
    <t>610 Membiasakan Hidup Sehat.jpg</t>
  </si>
  <si>
    <t>PEMBUATAN MINYAK KELAPA</t>
  </si>
  <si>
    <t>DENDI S.A.R, dkk</t>
  </si>
  <si>
    <t>BAYU INDRA KUSUMAH</t>
  </si>
  <si>
    <t>100 hlm</t>
  </si>
  <si>
    <t>MEMBUAT NERACA</t>
  </si>
  <si>
    <t>681.2</t>
  </si>
  <si>
    <t>ALAT UKUR</t>
  </si>
  <si>
    <t>EKA PURJIYANTA, S.Pd</t>
  </si>
  <si>
    <t>SOCRATES S.SI</t>
  </si>
  <si>
    <t>MEMINDAH KEBUN KE DAPUR</t>
  </si>
  <si>
    <t>BAHRUN SODIKIN</t>
  </si>
  <si>
    <t>978-979-1433-37-2</t>
  </si>
  <si>
    <t>MENANAM MENTIMUN SECARA HIDROPONIK</t>
  </si>
  <si>
    <t>AHMAD SAID</t>
  </si>
  <si>
    <t>TIM EDITOR AZKA MULIA MEDIA</t>
  </si>
  <si>
    <t>PENCEGAHAN DAN PENANGGULANGAN PENYAKIT</t>
  </si>
  <si>
    <t>ADDIN A</t>
  </si>
  <si>
    <t>978-602-95715-6-1</t>
  </si>
  <si>
    <t>610 Pencegahan dan Penanggulangan Penyakit.jpg</t>
  </si>
  <si>
    <t>OLAHAN KELAPA DAN KHASIATNYA</t>
  </si>
  <si>
    <t>SETIAWAN</t>
  </si>
  <si>
    <t>630 Olahan Kelapa dan Khasiatnya.jpg</t>
  </si>
  <si>
    <t>PAPRIKA HIDROPONIK DAN NONHIDROPONIK</t>
  </si>
  <si>
    <t>635.98</t>
  </si>
  <si>
    <t>BUDIDAYA TANAMAN</t>
  </si>
  <si>
    <t>HERU PRIHMANTORO</t>
  </si>
  <si>
    <t>978-489-310-2</t>
  </si>
  <si>
    <t>635.98 Paprika - Hidroponik dan Nonhidroponik.jpg</t>
  </si>
  <si>
    <t>PENERAPAN TEKNOLOGI TEPAT GUNA</t>
  </si>
  <si>
    <t>TEKNOLOGI TERAPAN</t>
  </si>
  <si>
    <t>SHINTA NURSUCI</t>
  </si>
  <si>
    <t>978-602-9110-35-7</t>
  </si>
  <si>
    <t>600 Penerapan Teknologi Tepat Guna.jpg</t>
  </si>
  <si>
    <t>PENGHIJAUAN, DAUR ULANG LIMBAH, IKLIM, DAN EKOSISTEM DI DUNIA</t>
  </si>
  <si>
    <t>PEMELIHARAAN LINGKUNGAN</t>
  </si>
  <si>
    <t>978-602-9110-11-1</t>
  </si>
  <si>
    <t>363.7 Penghijauan, Daur Ulang Limbah, Iklim, dan Ekosistem di Dunia.jpg</t>
  </si>
  <si>
    <t>SAWI DAN SELADA</t>
  </si>
  <si>
    <t>EKO HARYANTO</t>
  </si>
  <si>
    <t>JOHANNES SUGITO</t>
  </si>
  <si>
    <t>979-489-254-5</t>
  </si>
  <si>
    <t>SERVIS RADIO, PEREKAM SUARA, TELEVISI, VCD</t>
  </si>
  <si>
    <t>621.3</t>
  </si>
  <si>
    <t>ELEKTRO</t>
  </si>
  <si>
    <t>ADO VEBRIANDO</t>
  </si>
  <si>
    <t>CV. BIMANTARA ALUGUDA SEJAHTERA</t>
  </si>
  <si>
    <t>978-602-96266-1-2</t>
  </si>
  <si>
    <t>SULAM PITA</t>
  </si>
  <si>
    <t>TITIN KURAESIN</t>
  </si>
  <si>
    <t>ENDANG KRISTIN</t>
  </si>
  <si>
    <t>PT. KARSA MANDIRI PERSADA</t>
  </si>
  <si>
    <t>978-979-005-038-9</t>
  </si>
  <si>
    <t>TEKNIK MEMBUAT ABON, ACAR DAN BAKSO</t>
  </si>
  <si>
    <t>REISSA USADINATA</t>
  </si>
  <si>
    <t>978-602-95714-0-0</t>
  </si>
  <si>
    <t>MEMANFAATKAN SAMPAH MENJADI KOMPOS</t>
  </si>
  <si>
    <t>ADI ADDUL SOMAD, M UMAR RIANDI</t>
  </si>
  <si>
    <t>VISINDO</t>
  </si>
  <si>
    <t>978-979-1323-48-2</t>
  </si>
  <si>
    <t>CIPTA KARYA PEMBANGUNAN BIDANG KERAJINAN</t>
  </si>
  <si>
    <t>TJ. ARISMAN</t>
  </si>
  <si>
    <t>DINA MARIANA</t>
  </si>
  <si>
    <t>CV RIAN UTAMA</t>
  </si>
  <si>
    <t>978-979-8843-22-3</t>
  </si>
  <si>
    <t>BUDI DAYA JAMBU AIR KAGET DELIMA</t>
  </si>
  <si>
    <t>SUTEDJO, S.PD</t>
  </si>
  <si>
    <t>KAUSAR</t>
  </si>
  <si>
    <t>630 Budi Daya Jambu Air Kaget Delima.jpg</t>
  </si>
  <si>
    <t>BUDI DAYA TANAMAN ANGGREK</t>
  </si>
  <si>
    <t>635.9</t>
  </si>
  <si>
    <t>TANAMAN HIAS</t>
  </si>
  <si>
    <t>SITI ROCHANI, S.PD.</t>
  </si>
  <si>
    <t>TIM GANESA EXACT</t>
  </si>
  <si>
    <t>635.9 Budi Daya Tanaman Anggrek.jpg</t>
  </si>
  <si>
    <t>BERKREASI DENGAN ANYAMAN TALI PLASTIK</t>
  </si>
  <si>
    <t>978-602-9427-32-5</t>
  </si>
  <si>
    <t>BUDIDAYA SAPI PERAH DAN SAPI POTONG</t>
  </si>
  <si>
    <t>BUDIDAYA</t>
  </si>
  <si>
    <t>SRI MULYANI, S.P</t>
  </si>
  <si>
    <t>979-978-465-501-6</t>
  </si>
  <si>
    <t>830 Budidaya Sapi Perah dan Sapi Potong.jpg</t>
  </si>
  <si>
    <t>MEMBUAT PERASUT SEDERHANA</t>
  </si>
  <si>
    <t>W. ELFIATI</t>
  </si>
  <si>
    <t>SITI NOVIANTI</t>
  </si>
  <si>
    <t>978-602-9427-40-0</t>
  </si>
  <si>
    <t>PENGHIJAUAN DI LINGKUNGAN RUMAH</t>
  </si>
  <si>
    <t>A. ASIANTO</t>
  </si>
  <si>
    <t>HANIM MAFTUHAH</t>
  </si>
  <si>
    <t>978-602-9455-11-3</t>
  </si>
  <si>
    <t>BAGAIMANA SENDOK DIBUAT</t>
  </si>
  <si>
    <t>IR. W. MARIANI, M.T - IR. HJ. WINARNI E</t>
  </si>
  <si>
    <t>DIMAS B. ,S. SI</t>
  </si>
  <si>
    <t>CV UTAN KAYU SEJATI</t>
  </si>
  <si>
    <t>978-602-9666-66-3</t>
  </si>
  <si>
    <t>MEMBUAT CAIRAN PELEMBUT PAKAIAN</t>
  </si>
  <si>
    <t>AJAR PERMONO</t>
  </si>
  <si>
    <t>TIM REDAKSI</t>
  </si>
  <si>
    <t>PUSPA SWARA</t>
  </si>
  <si>
    <t>979-3235-31-4</t>
  </si>
  <si>
    <t>MEMBUAT BAHAN BANGUNAN DARI SAMPAH</t>
  </si>
  <si>
    <t>EDDI SUKARDI - TANUDI</t>
  </si>
  <si>
    <t>MULYONO</t>
  </si>
  <si>
    <t>979-8955-97-6</t>
  </si>
  <si>
    <t>MEMBUAT SAMPO</t>
  </si>
  <si>
    <t>GRIAND GIWANDA</t>
  </si>
  <si>
    <t>979-3235-19-5</t>
  </si>
  <si>
    <t>PESAWAT TERBANG | ALAT TRANSPORTASI UDARA</t>
  </si>
  <si>
    <t>DAYU KISWORO JATI</t>
  </si>
  <si>
    <t>978-602-9427-42-4</t>
  </si>
  <si>
    <t>KUMAN DI SEKITAR KITA</t>
  </si>
  <si>
    <t>978-602-8714-06-8</t>
  </si>
  <si>
    <t>610 Kuman di Sekitar Kita.jpg</t>
  </si>
  <si>
    <t>HEALTH SECRET OF DELIMA (POMEGRANATE)</t>
  </si>
  <si>
    <t>PANGKALAN IDE</t>
  </si>
  <si>
    <t>ELEX MEDIA KOMPUTINDO</t>
  </si>
  <si>
    <t>978-602-00-1554-5</t>
  </si>
  <si>
    <t>610 Health Secret of Delima.jpg</t>
  </si>
  <si>
    <t>CARA MEMBUAT IKAN ASAP</t>
  </si>
  <si>
    <t>IR. SRI RINI DWIARI - DRS. HAWIGNYO</t>
  </si>
  <si>
    <t>PT BALAI PUSTAKA</t>
  </si>
  <si>
    <t>BUDIDAYA COKLAT</t>
  </si>
  <si>
    <t>978-979-465-482-8</t>
  </si>
  <si>
    <t>MEMBUAT KARTU UCAPAN DARI LIMBAH</t>
  </si>
  <si>
    <t>688.7</t>
  </si>
  <si>
    <t>PRODUKSI KREATIF</t>
  </si>
  <si>
    <t>ANY SULISTYOWATI, IR.  dkk</t>
  </si>
  <si>
    <t>979-9386-02-0</t>
  </si>
  <si>
    <t>688.7 Membuat Kartu Ucapan dari Limbah.jpg</t>
  </si>
  <si>
    <t>MEMBUAT MAINAN DARI LILIN</t>
  </si>
  <si>
    <t>NURUL IKHSAN</t>
  </si>
  <si>
    <t>YOGIE NUGRAHA</t>
  </si>
  <si>
    <t>978-979-035-001-4</t>
  </si>
  <si>
    <t>SEHAT DENGAN KACANG HIJAU</t>
  </si>
  <si>
    <t>S. ROSITAWATY</t>
  </si>
  <si>
    <t>TRIYATI</t>
  </si>
  <si>
    <t>978-979-035-008-3</t>
  </si>
  <si>
    <t>MENGENAL DAN MEMBUDIDAYAKAN BUAH NAGA</t>
  </si>
  <si>
    <t>SRI WINARSIH, S.PD</t>
  </si>
  <si>
    <t>YUNI WINARTI</t>
  </si>
  <si>
    <t>ANEKA ILMU</t>
  </si>
  <si>
    <t>979-736-724-X</t>
  </si>
  <si>
    <t>PETUNJUK PRAKTIS MEMBUAT ES KRIM DAN PUDING</t>
  </si>
  <si>
    <t>ETI NURHAYATI</t>
  </si>
  <si>
    <t>RINI PURBANINGRUM</t>
  </si>
  <si>
    <t>BERCOCOK TANAM POHON BUAH-BUAHAN YANG BAIK DAN BENAR</t>
  </si>
  <si>
    <t>OMA ZAEDIN</t>
  </si>
  <si>
    <t>PT INTERMASA</t>
  </si>
  <si>
    <t>979-3791-14-4</t>
  </si>
  <si>
    <t>TEKNIK MENCANGKOK YANG MUDAH</t>
  </si>
  <si>
    <t>SUPARMAN, AMA.PD</t>
  </si>
  <si>
    <t>SURURIYAH,S.SI</t>
  </si>
  <si>
    <t>BUDI DAYA JAMUR</t>
  </si>
  <si>
    <t>I.G.B WIDYANTARA</t>
  </si>
  <si>
    <t>PENCEGAHAN DAN PEMBERANTASAN MIKRO ORGANISME PADA MANUSIA</t>
  </si>
  <si>
    <t>DRS. KOES IRIANTO</t>
  </si>
  <si>
    <t>978-602-8714-29-7</t>
  </si>
  <si>
    <t>MEMAHAMI VITAMIN &amp; MINERAL</t>
  </si>
  <si>
    <t>978-602-8714-30-3</t>
  </si>
  <si>
    <t>610 Memahami VItamin &amp; Mineral.jpg</t>
  </si>
  <si>
    <t>TERAMPIL MEMPRAKTIKAN PERTOLONGAN PERTAMA PADA KECELAKAAN (P3K)</t>
  </si>
  <si>
    <t>978-602-95716-8-4</t>
  </si>
  <si>
    <t>610 Terampil Mempraktikkan Pertolongan Pertama pada Kecelakaan (P3K).jpg</t>
  </si>
  <si>
    <t>BUDIDAYA TAMBAK BANDENG MODERN</t>
  </si>
  <si>
    <t>Drs. ANTONI IDEL &amp; SETYO WIBOWO</t>
  </si>
  <si>
    <t>Drs. BAMBANG MARHIJANTO</t>
  </si>
  <si>
    <t>GITAMEDIA PRESS</t>
  </si>
  <si>
    <t>MELIRIK USAHA LUKISAN KALENG</t>
  </si>
  <si>
    <t>658.81</t>
  </si>
  <si>
    <t>MANAJEMEN PEMASARAN</t>
  </si>
  <si>
    <t>OPICK</t>
  </si>
  <si>
    <t>TEAM CAHAYA</t>
  </si>
  <si>
    <t>978-602-9107-22-7</t>
  </si>
  <si>
    <t>658.81 Melirik Usaha Lukisan Kaleng.jpg</t>
  </si>
  <si>
    <t>BUDI DAYA JAMUR MERANG</t>
  </si>
  <si>
    <t>PROF. DR. IR. MEITY SURADJI SINAGA, M.SC</t>
  </si>
  <si>
    <t>SONY NUGROHO</t>
  </si>
  <si>
    <t>979-002-492-2</t>
  </si>
  <si>
    <t>APLIKASI CANTIK KAIN FLANEL</t>
  </si>
  <si>
    <t>646.48</t>
  </si>
  <si>
    <t>ASESORIS</t>
  </si>
  <si>
    <t>FAUZA YOSHI ZAKIYYA</t>
  </si>
  <si>
    <t>MUFIDA NUR AFIFA</t>
  </si>
  <si>
    <t>978-602-7768-09-3</t>
  </si>
  <si>
    <t>646.48 Aplikasi Cantik Kain Flanel.jpg</t>
  </si>
  <si>
    <t>MENENTUKAN LOKASI BUDI DAYA WALET</t>
  </si>
  <si>
    <t>636.5</t>
  </si>
  <si>
    <t>BUDI DAYA UNGGAS</t>
  </si>
  <si>
    <t>DRS. ARIEF BUDIMAN</t>
  </si>
  <si>
    <t>979-002-531-9</t>
  </si>
  <si>
    <t>SISTEM PENJERNIHAN AIR TRADISIONAL</t>
  </si>
  <si>
    <t>SRI NOVA</t>
  </si>
  <si>
    <t>PRODUK OLAHAN KOTORAN TERNAK</t>
  </si>
  <si>
    <t>SINGGIH S &amp; AGUS S</t>
  </si>
  <si>
    <t>TIM EDITOR GANECA EXACT</t>
  </si>
  <si>
    <t>AYO MEMBUAT NATA DE COCO</t>
  </si>
  <si>
    <t>978-979-1420-56-6</t>
  </si>
  <si>
    <t>BUDI DAYA &amp; BISNIS KAYU JATI</t>
  </si>
  <si>
    <t>SUGI PURWANTA, PUJO SUMANTORO, HESTI DWI SETYANINGRUM, CAHYO SARINTO</t>
  </si>
  <si>
    <t>TRIAS KAMAL</t>
  </si>
  <si>
    <t>978-979-002-663-6</t>
  </si>
  <si>
    <t>630 Budi Daya &amp; Bisnis Kayu Jati.jpg</t>
  </si>
  <si>
    <t>DAHSYATNYA BISNIS TOKEK</t>
  </si>
  <si>
    <t>BISNIS</t>
  </si>
  <si>
    <t>AGUS BROTO, Ir.,
PURWADAKSI RAHMAT</t>
  </si>
  <si>
    <t>TINTON DWI PUTERAQ</t>
  </si>
  <si>
    <t>PT AGROMEDIA PUSTAKA</t>
  </si>
  <si>
    <t>90 hlm; 15 x 23 cm</t>
  </si>
  <si>
    <t>650 Dahsyatnya Bisnis Tokek.jpg</t>
  </si>
  <si>
    <t>MEMBANGUN PABRIK BIODESEL SKALA KECIL</t>
  </si>
  <si>
    <t>PABRIK</t>
  </si>
  <si>
    <t>TIM PENULIS BRDST</t>
  </si>
  <si>
    <t>SURIP PRAYUGO</t>
  </si>
  <si>
    <t>979-002-357-X</t>
  </si>
  <si>
    <t>670 Membangun Pabrik Biodiesel Skala Kecil.jpg</t>
  </si>
  <si>
    <t>BELAJAR MEMASAK SIAPA TAKUT</t>
  </si>
  <si>
    <t>WIDI</t>
  </si>
  <si>
    <t>978-602-8219-41-9</t>
  </si>
  <si>
    <t>SISTEM PERSARAFAN, GANGGUAN, DAN PENYAKITNYA</t>
  </si>
  <si>
    <t xml:space="preserve">KOES IRIANTO, Drs. </t>
  </si>
  <si>
    <t>978-602-8713-32-0</t>
  </si>
  <si>
    <t>610 Sistem Persarafan, Gangguan, dan Penyakitnya.jpg</t>
  </si>
  <si>
    <t>AYO JAGA TUBUH KITA</t>
  </si>
  <si>
    <t>WADATI</t>
  </si>
  <si>
    <t>PRASETYO SANTOSO</t>
  </si>
  <si>
    <t>CV PUTRA NUGRAHA</t>
  </si>
  <si>
    <t>978-979-743-182-2</t>
  </si>
  <si>
    <t>HUTAN</t>
  </si>
  <si>
    <t>978-979-3846-98-9</t>
  </si>
  <si>
    <t>SAMPAH ORGANIK DAN NON-ORGANIK</t>
  </si>
  <si>
    <t>978-602-9107-10-4</t>
  </si>
  <si>
    <t>628 Sampah Organik dan Non-Organik.jpg</t>
  </si>
  <si>
    <t>AKSESORI DARI BARANG BEKAS</t>
  </si>
  <si>
    <t>745.1</t>
  </si>
  <si>
    <t>SENI TERAMPIL</t>
  </si>
  <si>
    <t>978-979-1276-73-3</t>
  </si>
  <si>
    <t>745.1 Aksesori dari Barang Bekas.jpg</t>
  </si>
  <si>
    <t>KEBUGARAN DAN KESEHATAN</t>
  </si>
  <si>
    <t>ERMINAWATI</t>
  </si>
  <si>
    <t>RICARDO</t>
  </si>
  <si>
    <t>978-602-8349-83-3</t>
  </si>
  <si>
    <t>SAINS KESEHATAN MASYARAKAT</t>
  </si>
  <si>
    <t>KESEHATAN MASYARAKAT</t>
  </si>
  <si>
    <t>Dr KOES IRIANTA - PUTRANTO JOKOHADIKUSUMO, S.Sos</t>
  </si>
  <si>
    <t>978-602-8714-63-1</t>
  </si>
  <si>
    <t>614 Sains Kesehatan Masyarakat.jpg</t>
  </si>
  <si>
    <t>PEMBANGUNAN GIZI UNTUK KUALITAS SUMBER DAYA MANUSIA</t>
  </si>
  <si>
    <t>613.2</t>
  </si>
  <si>
    <t>GIZI</t>
  </si>
  <si>
    <t>PUTRANTO JOKOHADIKUSUMO, S.Sos</t>
  </si>
  <si>
    <t>978-602-8713-31-3</t>
  </si>
  <si>
    <t>613.2 Pembangunan Gizi untuk Kualitas Sumber Daya Manusia.jpg</t>
  </si>
  <si>
    <t>BISNIS KREATIF UNTUK ANAK CEWEK</t>
  </si>
  <si>
    <t>978-602-9110-16-6</t>
  </si>
  <si>
    <t>650 Bisnis Kreatif untuk Anak Cewek.jpg</t>
  </si>
  <si>
    <t>SERI KETERAMPILAN ANAK : WADAH-WADAH PRAKTIS</t>
  </si>
  <si>
    <t>745.5</t>
  </si>
  <si>
    <t>KETERAMPILAN ANAK</t>
  </si>
  <si>
    <t>978-979-1276-62-7</t>
  </si>
  <si>
    <t>745.5 Wadah-Wadah Praktis.jpg</t>
  </si>
  <si>
    <t>KREASI BONEKA KAOS KAKI UNIK &amp; LUCU</t>
  </si>
  <si>
    <t>KERAJINAN TANGAN</t>
  </si>
  <si>
    <t>HARIS ASRI CANDRA DEWI</t>
  </si>
  <si>
    <t>RAKHA</t>
  </si>
  <si>
    <t>DUNIA KREASI</t>
  </si>
  <si>
    <t>978-602-7991-49-1</t>
  </si>
  <si>
    <t>745.5 Kreasi Boneka Kaos Kaki Unik dan Lucu.jpg</t>
  </si>
  <si>
    <t>MENGENAL LUKA DAN PENANGANANNYA</t>
  </si>
  <si>
    <t>617.7</t>
  </si>
  <si>
    <t>LUKA</t>
  </si>
  <si>
    <t>DWI GUSTANTI &amp; M. UMAR RIANDI</t>
  </si>
  <si>
    <t>978-979-9282-90-3</t>
  </si>
  <si>
    <t>617.7 Mengenal Luka dan Penangannya.jpg</t>
  </si>
  <si>
    <t>MENJAGA KESEHATAN SEBELUM SAKIT</t>
  </si>
  <si>
    <t>WIDATI</t>
  </si>
  <si>
    <t>SUSANTO</t>
  </si>
  <si>
    <t>978-979-743-195-2</t>
  </si>
  <si>
    <t>MEMAHAMI DAN MEMBANTU ANAK ADHD</t>
  </si>
  <si>
    <t>Drs. Mif. BAIHAQI - Drs. M. SUGIARMIN, M. Pd</t>
  </si>
  <si>
    <t>979-1073-07-4</t>
  </si>
  <si>
    <t>DIET SEHAT UNTUK MEMBENTUK TUBUH LANGSING &amp; BUGAR</t>
  </si>
  <si>
    <t>MIRZA MAULANA</t>
  </si>
  <si>
    <t>AZIZ SAFA</t>
  </si>
  <si>
    <t>A PLUS BOOKS</t>
  </si>
  <si>
    <t>978-979-25-4575-3</t>
  </si>
  <si>
    <t>ANEKA OLAHAN UMBI-UMBIAN</t>
  </si>
  <si>
    <t>DIANA HAPSARI</t>
  </si>
  <si>
    <t>978-979-678-402-8</t>
  </si>
  <si>
    <t>SERI DIKLAT KEWIRAUSAHAAN - ANALISA EKONOMI BUDIDAYA PERKUTUT</t>
  </si>
  <si>
    <t>Ir. ZUMROTUM, MP</t>
  </si>
  <si>
    <t>SERI PENGOLAHAN HASIL PERTANIAN - MEMBUAT EMPING</t>
  </si>
  <si>
    <t>RIKRIK WIRASETIADI</t>
  </si>
  <si>
    <t>630 Seri Pengolahan Pertanian - Membuat Emping.jpg</t>
  </si>
  <si>
    <t>SERI TANAMAN BUAH-BUAHAN - PEMBUDIDAYAAN STROBERI</t>
  </si>
  <si>
    <t>NENI PRIHATINI</t>
  </si>
  <si>
    <t>BERWIRAUSAHA PRODUK PENGERINGAN</t>
  </si>
  <si>
    <t>BERWIRAUSAHA MAKANAN</t>
  </si>
  <si>
    <t>68 hlm</t>
  </si>
  <si>
    <t>641.5 Berwirausaha Produk Pengeringan.jpg</t>
  </si>
  <si>
    <t>MENJADI WIRAUSAHAWAN</t>
  </si>
  <si>
    <t>KEWIRAUSAHAAN</t>
  </si>
  <si>
    <t>A. SOLIHAT</t>
  </si>
  <si>
    <t>PT. SARANA PENUNJANG PENDIDIKAN</t>
  </si>
  <si>
    <t>60 hlm; 17,6x26 cm</t>
  </si>
  <si>
    <t>338.04 Menjadi Wirausahawan.jpg</t>
  </si>
  <si>
    <t>RAHASIA DI BALIK DERING TELEPON</t>
  </si>
  <si>
    <t>TELEPON</t>
  </si>
  <si>
    <t>PRISTA RINI</t>
  </si>
  <si>
    <t>56 hlm; 14,8x21 cm</t>
  </si>
  <si>
    <t>621.385 Rahasia di Balik Dering Telepon.jpg</t>
  </si>
  <si>
    <t>SANTRI PRODUKTIF - PERINTIS BUDIDAYA LELE</t>
  </si>
  <si>
    <t>SATIAWAN ISLAM</t>
  </si>
  <si>
    <t>L_FITRIA</t>
  </si>
  <si>
    <t>PT. MULTAZAM MULIA UTAMA</t>
  </si>
  <si>
    <t>MINYAK KELAPA BUATAN LUQMAN</t>
  </si>
  <si>
    <t>665.3</t>
  </si>
  <si>
    <t>PRODUKSI MINYAK</t>
  </si>
  <si>
    <t>ANDHINI IASHA AMALA</t>
  </si>
  <si>
    <t>CV SARANA PENUNJANG PENDIDIKAN</t>
  </si>
  <si>
    <t>72 hlm; 17,5x25 cm</t>
  </si>
  <si>
    <t>665.3 Minyak Kelapa Buatan Luqman.jpg</t>
  </si>
  <si>
    <t>MENGOLAH SAMPAH MENJADI BERKAH</t>
  </si>
  <si>
    <t>MARSHALL BAKAR</t>
  </si>
  <si>
    <t>87 hlm; 17,6x25 cm</t>
  </si>
  <si>
    <t>BUDIDAYA IKAN GURAME</t>
  </si>
  <si>
    <t>639.31</t>
  </si>
  <si>
    <t>BUDIDAYA IKAN</t>
  </si>
  <si>
    <t>SRI MULYANI S. P</t>
  </si>
  <si>
    <t>639.31 Budidaya Ikan Gurame.jpg</t>
  </si>
  <si>
    <t>BUDIDAYA MANGGIS</t>
  </si>
  <si>
    <t>PENANAMAN BUAH</t>
  </si>
  <si>
    <t>634 Budidaya Manggis.jpg</t>
  </si>
  <si>
    <t>BUDIDAYA NANGKA DAN JAMBU BIJI</t>
  </si>
  <si>
    <t>TANAMAN PERKEBUNAN</t>
  </si>
  <si>
    <t>633 Budidaya Nangka &amp; Jambu Biji.jpg</t>
  </si>
  <si>
    <t>MENGENAL TEKNOLOGI ROKET</t>
  </si>
  <si>
    <t>TEKNIK TRANSPORTASI</t>
  </si>
  <si>
    <t>ANDINI IASHA AMALA</t>
  </si>
  <si>
    <t>ARINI BAKAR</t>
  </si>
  <si>
    <t>74 hlm; 14,8x21 cm</t>
  </si>
  <si>
    <t>629 Mengenal Teknologi Roket.jpg</t>
  </si>
  <si>
    <t>BUDIDAYA LELE DUMBO</t>
  </si>
  <si>
    <t>PETERNAKAN IKAN</t>
  </si>
  <si>
    <t>639.31 Budidaya Lele Dumbo.jpg</t>
  </si>
  <si>
    <t>TEKNIK PERAWATAN</t>
  </si>
  <si>
    <t>TEKNIK PEMELIHARAAN</t>
  </si>
  <si>
    <t>ENNE RISWENDI</t>
  </si>
  <si>
    <t>RICKY RISMAN</t>
  </si>
  <si>
    <t>620.004 Teknik Perawatan.jpg</t>
  </si>
  <si>
    <t>PENYAKIT KULIT</t>
  </si>
  <si>
    <t>616.5</t>
  </si>
  <si>
    <t>DERMATOLOGI</t>
  </si>
  <si>
    <t>RETNO PRAVITASARI</t>
  </si>
  <si>
    <t>A. S. SUPARDI</t>
  </si>
  <si>
    <t>NUSA AGUNG</t>
  </si>
  <si>
    <t>616.5 Penyakit Kulit.jpg</t>
  </si>
  <si>
    <t>BETERNAK ITIK PETELUR &amp; PEDAGING UNGGULAN</t>
  </si>
  <si>
    <t>PETERNAK</t>
  </si>
  <si>
    <t>ERNI PUSPITA, S.Pt</t>
  </si>
  <si>
    <t>636 Beternak Itik Petelur dan Pedaging Unggulan.jpg</t>
  </si>
  <si>
    <t>BERTANAM TOMAT SECARA VERTIKULTUR</t>
  </si>
  <si>
    <t>BERTANAM TOMAT</t>
  </si>
  <si>
    <t>635.6 Bertanam Tomat Secara Vertikultur.jpg</t>
  </si>
  <si>
    <t>A-Z LIDAH BUAYA - OLAHAN LIDAH BUAYA SERTA TIPS PEMASARANNYA</t>
  </si>
  <si>
    <t>633.8</t>
  </si>
  <si>
    <t>TANAMAN INDUSTRI LAIN</t>
  </si>
  <si>
    <t>AMELIA NOVITA, S.Si</t>
  </si>
  <si>
    <t>633.8 A-Z Lidah Buaya.jpg</t>
  </si>
  <si>
    <t>BERKREASI DENGAN MUTE</t>
  </si>
  <si>
    <t>KESEJAHTERAAN RUMAH TANGGA</t>
  </si>
  <si>
    <t>RATIH INDAH PUJI H</t>
  </si>
  <si>
    <t>IKA ARMASARI,
INDAH WIDAYATI</t>
  </si>
  <si>
    <t>640 Berkreasi dengan Mute.jpg</t>
  </si>
  <si>
    <t>SUKSES BERBISNIS DENGAN BANGSA CINA</t>
  </si>
  <si>
    <t>650</t>
  </si>
  <si>
    <t>BISNIS &amp; MANAJEMEN</t>
  </si>
  <si>
    <t>SHEILA MELVIN</t>
  </si>
  <si>
    <t>DIXIGRAF INTERNASIONAL</t>
  </si>
  <si>
    <t>202 hlm; 23x25 cm</t>
  </si>
  <si>
    <t>650 Sukses Berbisnis dengan Bangsa Cina.jpg</t>
  </si>
  <si>
    <t>MENUMBUHKAN JIWA ENTREPRENEUR DALAM DIRI SISWA</t>
  </si>
  <si>
    <t>MANAJEMEN</t>
  </si>
  <si>
    <t>DONNI JUNI PRIANSA</t>
  </si>
  <si>
    <t>FAHRI ALWINANTO</t>
  </si>
  <si>
    <t>650 Menumbuhkan Jiwa Entrepreneur dalam Diri Siswa.jpg</t>
  </si>
  <si>
    <t>SULAM PAYET</t>
  </si>
  <si>
    <t>746.5</t>
  </si>
  <si>
    <t>SENI MENYULAM</t>
  </si>
  <si>
    <t>INTAN PERMATA,
INDAH WIDAYATI</t>
  </si>
  <si>
    <t>746.5 Sulam Payet.jpg</t>
  </si>
  <si>
    <t>ANAK SEHAT BUGAR DAN CERDAS</t>
  </si>
  <si>
    <t>BETWEEN LUTAM
ENDANG PARJIATI, S.Pd.</t>
  </si>
  <si>
    <t>610 Anak Sehat Bugar dan Cerdas.jpg</t>
  </si>
  <si>
    <t>VARIASI OLAHAN KARBOHIDRAT NON BERAS 1 - SINGKONG</t>
  </si>
  <si>
    <t>VARIASI OLAHAN KARBOHIDRAT NON BERAS 2 -  JAGUNG TALAS SAGU</t>
  </si>
  <si>
    <t>KERTAS DAN PLASTIK</t>
  </si>
  <si>
    <t>668.4</t>
  </si>
  <si>
    <t>SURYATNA, ASEP</t>
  </si>
  <si>
    <t>668.4 Kertas dan Plastik.jpg</t>
  </si>
  <si>
    <t>TEKNOLOGI SEDERHANA</t>
  </si>
  <si>
    <t>SUKSES BETERNAK KAMBING PERANAKAN ETAWA</t>
  </si>
  <si>
    <t>636.3</t>
  </si>
  <si>
    <t>BETERNAK KAMBING</t>
  </si>
  <si>
    <t>636.3 Sukses Beternak Kambing Peranakan Etawa.jpg</t>
  </si>
  <si>
    <t>ANEKA KREASI DARI BOTOL</t>
  </si>
  <si>
    <t>SENI KETERAMPILAN TANGAN</t>
  </si>
  <si>
    <t>745.5 Aneka Kreasi dari Botol.jpg</t>
  </si>
  <si>
    <t>SERI TANAMAN SAYUR-SAYURAN - BERTANAM PAK CHOY (SAWI HIJAU)</t>
  </si>
  <si>
    <t>TIYAR S.P</t>
  </si>
  <si>
    <t>Dr. ABUR MUSTIKAWANTO</t>
  </si>
  <si>
    <t>SERI TANAMAN BUAH-BUAHAN - BERTANAM MELON</t>
  </si>
  <si>
    <t>Y.P. SUMARDHAN</t>
  </si>
  <si>
    <t>MENGENAL LEBIH DEKAT TANAMAN MENDONG "PRIMADONA KERAJINAN TASIKMALAYA"</t>
  </si>
  <si>
    <t>ENCENG IMRON</t>
  </si>
  <si>
    <t>MARLINA,
AHMAD SARIPUDIN</t>
  </si>
  <si>
    <t>JAGALAH KESEHATAN MULUT DAN GIGI</t>
  </si>
  <si>
    <t xml:space="preserve">617.6 </t>
  </si>
  <si>
    <t>KEDOKTERAN GIGI</t>
  </si>
  <si>
    <t>TIM REDAKSI EXISTUDIO</t>
  </si>
  <si>
    <t>617.6 Jagalah Kesehatan Mulut dan Gigi.jpg</t>
  </si>
  <si>
    <t>SENI KERAJINAN: MEMBORDIR</t>
  </si>
  <si>
    <t>SOEDJONO, B.Sc., DKK</t>
  </si>
  <si>
    <t>LEILA WULANSARI</t>
  </si>
  <si>
    <t>PENERBIT ANGKASA</t>
  </si>
  <si>
    <t>978-979-665-552-7</t>
  </si>
  <si>
    <t>LET'S WRITE LETTERS</t>
  </si>
  <si>
    <t>WIDDA T N</t>
  </si>
  <si>
    <t>SANTRI PRODUKTIF PERINTIS BUDIDAYA LELE</t>
  </si>
  <si>
    <t>SETIAWAN ISLAM</t>
  </si>
  <si>
    <t>MULTAZAM MULIA UTAMA</t>
  </si>
  <si>
    <t>639.31 Santri Produktif Perintis Budidaya Lele.jpg</t>
  </si>
  <si>
    <t>PENGETAHUAN TENTANG PENGGUNDULAN HUTAN UNTUK PERTANIAN (DEFORESTASI)</t>
  </si>
  <si>
    <t>632</t>
  </si>
  <si>
    <t>KERUSAKAN PADA TANAMAN PERTANIAN, KERUSAKAN PADA TUMBUHAN PERTANIAN</t>
  </si>
  <si>
    <t>AWAS NARKOBA !</t>
  </si>
  <si>
    <t>NARKOBA</t>
  </si>
  <si>
    <t>978-602-8714-32-7</t>
  </si>
  <si>
    <t>362.293 Awas Narkoba.jpg</t>
  </si>
  <si>
    <t>PERKEMBANGAN ALAT KOMUNIKASI</t>
  </si>
  <si>
    <t>621.382</t>
  </si>
  <si>
    <t>TEKNIK KOMUNIKASI</t>
  </si>
  <si>
    <t>ERMA WIDYASTUTI</t>
  </si>
  <si>
    <t>ABADI ZAM-ZAM</t>
  </si>
  <si>
    <t>978-602-9432-30-5</t>
  </si>
  <si>
    <t>621.382 Perkembangan Alat Komunikasi.jpg</t>
  </si>
  <si>
    <t>PERTANIAN RAMAH LINGKUNGAN</t>
  </si>
  <si>
    <t>631</t>
  </si>
  <si>
    <t>TEKNIK KHUSUS TENTANG PERTANIAN</t>
  </si>
  <si>
    <t>Drs. RISMAN</t>
  </si>
  <si>
    <t>IZMI TAUFIK</t>
  </si>
  <si>
    <t>CITRAUNGGUL LAKSANA</t>
  </si>
  <si>
    <t>978-979-2441-15-4</t>
  </si>
  <si>
    <t>613.8</t>
  </si>
  <si>
    <t>KECANDUAN DAN KETAGIHAN</t>
  </si>
  <si>
    <t>FREDDY H. TULUNG</t>
  </si>
  <si>
    <t>IGNATIUS UNTUNG SARSONO</t>
  </si>
  <si>
    <t>620.86</t>
  </si>
  <si>
    <t>TEKNIK DAN MESIN YANG AMAN</t>
  </si>
  <si>
    <t>PAHLAWAN-PAHLAWAN LINGKUNGAN KITA</t>
  </si>
  <si>
    <t>628</t>
  </si>
  <si>
    <t>TEKNIK PERLINDUNGAN LINGKUNGAN, TEKNIK LINGKUNGAN</t>
  </si>
  <si>
    <t>978-602-7932-04-3</t>
  </si>
  <si>
    <t>628 Pahlawan-Pahlawan Lingkungan Kita.jpg</t>
  </si>
  <si>
    <t>MEMBUAT SUSU KEDELAI</t>
  </si>
  <si>
    <t>663.6</t>
  </si>
  <si>
    <t>TEKNOLOGI PEMBUATAN MINUMAN NON ALKOHOL</t>
  </si>
  <si>
    <t>TIM PENULIS MODUL KF</t>
  </si>
  <si>
    <t>DHANTON</t>
  </si>
  <si>
    <t>663.6 Membuat Susu Kedelai.jpg</t>
  </si>
  <si>
    <t>SERI IDE CEMERLANG - KEHIDUPAN SEHARI-HARI DAN KESEHATAN</t>
  </si>
  <si>
    <t>610</t>
  </si>
  <si>
    <t>ILMU KEDOKTERAN DAN ILMU PENGOBATAN</t>
  </si>
  <si>
    <t>RICHARD PLATT</t>
  </si>
  <si>
    <t>TANTI SETIAWATI,
RIKKY FIRMANSYAH</t>
  </si>
  <si>
    <t xml:space="preserve">TAKARI, E. </t>
  </si>
  <si>
    <t>745.5 Kerajinan Tangan.jpg</t>
  </si>
  <si>
    <t>ANEKA KREASI GRAFIS PEMULA DENGAN COREL DRAW</t>
  </si>
  <si>
    <t>DIKY RACHMAT</t>
  </si>
  <si>
    <t>A. RUHMAT</t>
  </si>
  <si>
    <t>978-979-045-850-5</t>
  </si>
  <si>
    <t>741.6 Aneka Kreasi Grafis dengan Corel Draw.jpg</t>
  </si>
  <si>
    <t>KAMUS PENERBITAN DAN GRAFIKA</t>
  </si>
  <si>
    <t>HENRY JACOB</t>
  </si>
  <si>
    <t>978-602-7768-39-0</t>
  </si>
  <si>
    <t>PANDUAN PRAKTIS DESAIN PERWAJAHAN BUKU</t>
  </si>
  <si>
    <t>CAHYANA INSANA S</t>
  </si>
  <si>
    <t>978-979-1323-13-0</t>
  </si>
  <si>
    <t>ANEKA PERMAINAN TRADISIONAL DI NUSANTARA</t>
  </si>
  <si>
    <t>ARTIYONO S. PT</t>
  </si>
  <si>
    <t>CV BUKU BERCAHAYA</t>
  </si>
  <si>
    <t>978-602-9426-50-2</t>
  </si>
  <si>
    <t>BERKREASI DENGAN KULIT JAGUNG</t>
  </si>
  <si>
    <t>RETNO SULISTYOWATI</t>
  </si>
  <si>
    <t>PERCA | RAGAM INSPIRASI DESAIN CANTIK</t>
  </si>
  <si>
    <t>746.4</t>
  </si>
  <si>
    <t>SENI MENJAHIT</t>
  </si>
  <si>
    <t>SARI SULISTIYO</t>
  </si>
  <si>
    <t>BIMS</t>
  </si>
  <si>
    <t>978-602-8454-34-6</t>
  </si>
  <si>
    <t>SENI KETERAMPILAN MEMANFAATKAN BARANG BEKAS: ANEKA KREASI DARI BAMBU</t>
  </si>
  <si>
    <t>978-602-8489-09-6</t>
  </si>
  <si>
    <t>KETERAMPILAN MENGHIAS KAIN: RAGAM TEKNIK MENGHIAS KAIN DAN MENYULAM</t>
  </si>
  <si>
    <t>WASIA ROESBANI PULUKADANG</t>
  </si>
  <si>
    <t>YURITA PUTRI</t>
  </si>
  <si>
    <t>978-979-665-550-1</t>
  </si>
  <si>
    <t>BEKERJA SEBAGAI SUTRADARA</t>
  </si>
  <si>
    <t>SUBIYANTO &amp; ESTU SRI LUHUR</t>
  </si>
  <si>
    <t>978-602-8147-01-9</t>
  </si>
  <si>
    <t>PENJELAJAHAN DAN PERKEMAHAN</t>
  </si>
  <si>
    <t>796.54</t>
  </si>
  <si>
    <t>BERKEMAH</t>
  </si>
  <si>
    <t>ACHMAD ANDANG WAHYU BAWA</t>
  </si>
  <si>
    <t>USAS BUDI KASIATI</t>
  </si>
  <si>
    <t>978-602-9139-05-1</t>
  </si>
  <si>
    <t>AKU BISA BERKREASI DENGAN CLAY</t>
  </si>
  <si>
    <t>RENY NOVITA,
ELIN MEYLINA</t>
  </si>
  <si>
    <t>PT KOPEMDIK NUSANTARA</t>
  </si>
  <si>
    <t>745.5 Aku Bisa Berkreasi dengan Clay.jpg</t>
  </si>
  <si>
    <t>MENGENAL PENYAKIT KULIT DAN CARA PENCEGAHANNYA</t>
  </si>
  <si>
    <t>DIAN NOVITASARI</t>
  </si>
  <si>
    <t>978-979-18132-3-5</t>
  </si>
  <si>
    <t>52 hlm.</t>
  </si>
  <si>
    <t>616.5 Mengenal Penyakit Kulit dan Cara Pencegahannya.jpg</t>
  </si>
  <si>
    <t>NEUNDEUN KATINEUNG - NGITUNG POE SATUNGTUNG WAKTU</t>
  </si>
  <si>
    <t>ANTOLOGI CARPON JEUNG SAJAK</t>
  </si>
  <si>
    <t>MUHAMAD BUDI WAHYU</t>
  </si>
  <si>
    <t>978-602-5434-32-7</t>
  </si>
  <si>
    <t>819 Neundeun Katineung.jpg</t>
  </si>
  <si>
    <t>791.43</t>
  </si>
  <si>
    <t>PERFILMAN</t>
  </si>
  <si>
    <t>FITRYAN G. DENNIS</t>
  </si>
  <si>
    <t>AUDINA FURI NIRUKTI &amp; YATI SUMIHARTI</t>
  </si>
  <si>
    <t>791.43 Bekerja sebagai Sutradara.jpg</t>
  </si>
  <si>
    <t>KETERAMPILAN KERAMIK</t>
  </si>
  <si>
    <t>SOEDJONO Bsc.,
YOGI PRAPNOMO</t>
  </si>
  <si>
    <t>YUSANDI</t>
  </si>
  <si>
    <t>APRESIASI KARYA SENI TARI DAERAH NUSANTARA</t>
  </si>
  <si>
    <t>793.3</t>
  </si>
  <si>
    <t>TARIAN DAERAH</t>
  </si>
  <si>
    <t>978-602-95714-7-9</t>
  </si>
  <si>
    <t>793.3 Apresiasi Karya Seni Tari Daerah Nusantara.jpg</t>
  </si>
  <si>
    <t>APRESIASI DAN EKSPRESI SENI RUPA</t>
  </si>
  <si>
    <t>SENI RUPA</t>
  </si>
  <si>
    <t>AMINUDDIN</t>
  </si>
  <si>
    <t>978-602-8712-13-2</t>
  </si>
  <si>
    <t>700 Apresiasi dan Ekspresi Seni Rupa.jpg</t>
  </si>
  <si>
    <t>BINCARUNG</t>
  </si>
  <si>
    <t>784.4</t>
  </si>
  <si>
    <t>MUSIK</t>
  </si>
  <si>
    <t>MANG KOKO</t>
  </si>
  <si>
    <t>MITRA BUANA</t>
  </si>
  <si>
    <t>784.4 Bincarung.jpg</t>
  </si>
  <si>
    <t>BULU TANGKIS</t>
  </si>
  <si>
    <t>YUDHA PUTRA</t>
  </si>
  <si>
    <t>GELEGAR DIRGANTARA</t>
  </si>
  <si>
    <t>978-602-19446-1-5</t>
  </si>
  <si>
    <t>CINTAKU NEGERIKU NOT BALOK &amp; NOT ANGKA KUMPULAN LAGU-LAGU WAJIB DAN PERJUANGAN</t>
  </si>
  <si>
    <t>DS. SOEWITO M</t>
  </si>
  <si>
    <t>CV. TITIK TERANG</t>
  </si>
  <si>
    <t>901-3859-4-8</t>
  </si>
  <si>
    <t>125 / A5</t>
  </si>
  <si>
    <t>DASAR-DASAR MENGGAMBAR ILUSTRASI</t>
  </si>
  <si>
    <t>MUNTOHA</t>
  </si>
  <si>
    <t>PT. JP PRESS MEDIA UTAMA</t>
  </si>
  <si>
    <t>978-602-8729-01-7</t>
  </si>
  <si>
    <t>INDAHNYA TARIAN JAWA TENGAH</t>
  </si>
  <si>
    <t>ALFAN NOOR RAKHMAT</t>
  </si>
  <si>
    <t>GELORA SWARA MAHARDIKA</t>
  </si>
  <si>
    <t>978-602-1944-50-9</t>
  </si>
  <si>
    <t>793.3 Indahnya Tarian Jawa Tengah.jpg</t>
  </si>
  <si>
    <t>KERAJINAN KHAS MASYARAKAT JAWA TENGAH</t>
  </si>
  <si>
    <t>KERAJINAN</t>
  </si>
  <si>
    <t>SAPTORINI</t>
  </si>
  <si>
    <t>PUSPA INTI MANDIRI</t>
  </si>
  <si>
    <t>978-602-9454-05-5</t>
  </si>
  <si>
    <t>740 Kerajinan Khas Masyarakat Jawa Tengah.jpg</t>
  </si>
  <si>
    <t>ANEKA KERAJINAN KHAS SUMATRA</t>
  </si>
  <si>
    <t>SENI DAERAH</t>
  </si>
  <si>
    <t>BERTAHINDARA, SE</t>
  </si>
  <si>
    <t>BUKU BERCAHAYA</t>
  </si>
  <si>
    <t>978-602-9426-13-7</t>
  </si>
  <si>
    <t>740 Aneka Kerajinan Khas Sumatra.jpg</t>
  </si>
  <si>
    <t>RAGAM TARIAN NUSANTARA</t>
  </si>
  <si>
    <t>S. ZAENAB</t>
  </si>
  <si>
    <t>978-602-19490-5-4</t>
  </si>
  <si>
    <t>TEKNIK DASAR BERENANG</t>
  </si>
  <si>
    <t>797.2</t>
  </si>
  <si>
    <t>BERENANG</t>
  </si>
  <si>
    <t>ATHEA A.M.</t>
  </si>
  <si>
    <t>978-602-95715-7-8</t>
  </si>
  <si>
    <t>797.2 Teknik Dasar Berenang.jpg</t>
  </si>
  <si>
    <t>DASAR TARI KREASI BARU SULAWESI SELATAN</t>
  </si>
  <si>
    <t>ANDI NURHANI SAPADA</t>
  </si>
  <si>
    <t>793.3 Tari Kreasi Baru Sulawesi Selatan.jpg</t>
  </si>
  <si>
    <t>HIKMAH CERITA PAWAYANGAN PANDAWA</t>
  </si>
  <si>
    <t>791.5</t>
  </si>
  <si>
    <t>WAYANG</t>
  </si>
  <si>
    <t>HERI HIDAYAT</t>
  </si>
  <si>
    <t>978-602-9108-22-4</t>
  </si>
  <si>
    <t>791.5 Hikmah Cerita Pawayangan Pandawa.jpg</t>
  </si>
  <si>
    <t>OLAH RAGA DAN SEMANGAT KEBANGSAAN</t>
  </si>
  <si>
    <t>ENCEP SUPRIATNA</t>
  </si>
  <si>
    <t>MENGENAL DAN MEMBANGUN PRESTASI OLAH RAGA - SERI CABANG OLAH RAGA</t>
  </si>
  <si>
    <t>OLAH RAGA</t>
  </si>
  <si>
    <t>VALENTINO BARUS dkk</t>
  </si>
  <si>
    <t>796.01 Mengenal dan Membangun Olah Raga - Seri Cabang Olah Raga.jpg</t>
  </si>
  <si>
    <t>KUMPULAN DONGENG KLASIK - HC ANDERSEN - SEPANJANG MASA</t>
  </si>
  <si>
    <t>CERVIENA SUSILO</t>
  </si>
  <si>
    <t>HANS JALADARA</t>
  </si>
  <si>
    <t>PT ELEX KOMPUTINDO</t>
  </si>
  <si>
    <t>978-602-02-1716-1</t>
  </si>
  <si>
    <t>398.2 Kumpulan Dongeng HC Andersen Sepanjang Masa.jpg</t>
  </si>
  <si>
    <t>BERMAIN TEATER</t>
  </si>
  <si>
    <t>RUSPUTRANTO</t>
  </si>
  <si>
    <t>LILA KUSMINAH</t>
  </si>
  <si>
    <t>978-602-9124-22-4</t>
  </si>
  <si>
    <t>BUKU PINTAR ATLETIK</t>
  </si>
  <si>
    <t>NUNGKY PUJI</t>
  </si>
  <si>
    <t>DWI AGUS</t>
  </si>
  <si>
    <t>978-602-8289-43-6</t>
  </si>
  <si>
    <t>DASAR TARI SULAWESI SELATAN</t>
  </si>
  <si>
    <t>ANDI NURHANI S</t>
  </si>
  <si>
    <t>793.3 Dasar Tari Sulawesi Selatan.jpg</t>
  </si>
  <si>
    <t>INDAHNYA BATIKKU</t>
  </si>
  <si>
    <t>BATIK</t>
  </si>
  <si>
    <t>SUGIARTI</t>
  </si>
  <si>
    <t>PT INTAN SEJATI KLATEN</t>
  </si>
  <si>
    <t>978-979-1276-92-4</t>
  </si>
  <si>
    <t>KUNGFU (WU-SHU)</t>
  </si>
  <si>
    <t>ADIKA ROHMAT PUTRA</t>
  </si>
  <si>
    <t>978-979-24-1622-0</t>
  </si>
  <si>
    <t>KOLEKSI LAGU WAJIB NASIONAL LENGKAP</t>
  </si>
  <si>
    <t>LAGU-LAGU KEBANGSAAN</t>
  </si>
  <si>
    <t>MARDIANSYAH</t>
  </si>
  <si>
    <t>TUTY AHSANUL KHULUQ</t>
  </si>
  <si>
    <t>JAL PUBLISHING</t>
  </si>
  <si>
    <t>ISMN :979-0-801882-00-4</t>
  </si>
  <si>
    <t>782.265 Koleksi Lagu Wajib Nasional Lengkap.jpg</t>
  </si>
  <si>
    <t>PERMAINAN BULU TANGKIS</t>
  </si>
  <si>
    <t>M. SOFYAN</t>
  </si>
  <si>
    <t>TIM RICARDO</t>
  </si>
  <si>
    <t>CV. RICARDO</t>
  </si>
  <si>
    <t>978-602-8349-93-2</t>
  </si>
  <si>
    <t>TERAMPIL TEKNIK SENAM</t>
  </si>
  <si>
    <t>796.44</t>
  </si>
  <si>
    <t>SENAM</t>
  </si>
  <si>
    <t>978-602-8714-00-6</t>
  </si>
  <si>
    <t>796.44 Terampil Teknik Senam.jpg</t>
  </si>
  <si>
    <t>DINA KAWIH AYA TEMBANG</t>
  </si>
  <si>
    <t>782.43</t>
  </si>
  <si>
    <t>TEMBANG</t>
  </si>
  <si>
    <t>DIAN HENDRAYANA</t>
  </si>
  <si>
    <t>GAYACOM</t>
  </si>
  <si>
    <t>782.43 Dina Kawih Aya Tembang.jpg</t>
  </si>
  <si>
    <t>MENGENAL DAN MEMBANGUN PRESTASI OLAH RAGA SERI PEKAN OLAH RAGA</t>
  </si>
  <si>
    <t>DRS. VALENTINO BARUS, dkk</t>
  </si>
  <si>
    <t>PT LESTARI KIRANATAMA</t>
  </si>
  <si>
    <t>978-602-8982-05-4</t>
  </si>
  <si>
    <t>ASYIK BERMAIN MUSIK</t>
  </si>
  <si>
    <t>KHAMIM</t>
  </si>
  <si>
    <t>SRI REJEKI</t>
  </si>
  <si>
    <t>PENGETAHUAN DASAR SENI TEATER</t>
  </si>
  <si>
    <t>SENI TEATER</t>
  </si>
  <si>
    <t xml:space="preserve">LESMANA, O. </t>
  </si>
  <si>
    <t>OTONG L</t>
  </si>
  <si>
    <t>792 Pengetahuan Dasar Seni Teater.jpg</t>
  </si>
  <si>
    <t>APLIKASI PRAKTIS PENGAJARAN SENI MUSIK</t>
  </si>
  <si>
    <t>SENI MUSIK</t>
  </si>
  <si>
    <t>SYAHRONI</t>
  </si>
  <si>
    <t>RIDASWATI</t>
  </si>
  <si>
    <t>978-979-005-008-2</t>
  </si>
  <si>
    <t>780 Aplikasi Praktis Pengajaran Seni Musik.jpg</t>
  </si>
  <si>
    <t>ANEKA MUSIK KHAS DI JAWA TENGAH</t>
  </si>
  <si>
    <t>WIWIN WINDARTI</t>
  </si>
  <si>
    <t>978-602-1949-02-3</t>
  </si>
  <si>
    <t>780 Aneka Musik Khas di Jawa Tengah.jpg</t>
  </si>
  <si>
    <t>KAWIH MURANGKALIH</t>
  </si>
  <si>
    <t>MANG KOKO &amp; IIK SETIAWAN</t>
  </si>
  <si>
    <t>IKNA SETIA</t>
  </si>
  <si>
    <t>780 Kawih Murangkalih.jpg</t>
  </si>
  <si>
    <t>APAKAH ATLETIK ITU?</t>
  </si>
  <si>
    <t>ATLETIK</t>
  </si>
  <si>
    <t>978-602-8714-20-4</t>
  </si>
  <si>
    <t>796 Apakah Atletik Itu?.jpg</t>
  </si>
  <si>
    <t>MAHIR MEMBUAT KERAJINAN TANAH LIAT</t>
  </si>
  <si>
    <t>738.3</t>
  </si>
  <si>
    <t>SENI TANAH LIAT</t>
  </si>
  <si>
    <t>978-602-8713-03</t>
  </si>
  <si>
    <t>BELAJAR SENI DRAMA</t>
  </si>
  <si>
    <t>978-602-95714-2-4</t>
  </si>
  <si>
    <t>MAHIR SEPAKBOLA</t>
  </si>
  <si>
    <t>796.334</t>
  </si>
  <si>
    <t>SEPAK BOLA, BOLA KAKI</t>
  </si>
  <si>
    <t>ANDI CIPTA NUGRAHA</t>
  </si>
  <si>
    <t>DONNY ANGGORO</t>
  </si>
  <si>
    <t>978-602-7768-11-6</t>
  </si>
  <si>
    <t>796.334 Mahir Sepak Bola.jpg</t>
  </si>
  <si>
    <t>MAHIR BULU TANGKIS</t>
  </si>
  <si>
    <t>PENERBIT NUANSA</t>
  </si>
  <si>
    <t>978-602-7768-12-3</t>
  </si>
  <si>
    <t>SELAYANG PANDANG INSTRUMEN MUSIK TRADISIONAL INDONESIA</t>
  </si>
  <si>
    <t>ALAT-ALAT MUSIK</t>
  </si>
  <si>
    <t>BUDI SUPRIYANTO</t>
  </si>
  <si>
    <t>978-602-8583-97-8</t>
  </si>
  <si>
    <t>786 Selayang Pandang Instrumen Musik Tradisional Indonesia.jpg</t>
  </si>
  <si>
    <t>PENGETAHUAN TENTANG SATWA</t>
  </si>
  <si>
    <t>PENGETAHUAN SATWA</t>
  </si>
  <si>
    <t>FAUZI YUSUF</t>
  </si>
  <si>
    <t>NAZLA LINAYLA</t>
  </si>
  <si>
    <t>978-602-8363-26-6</t>
  </si>
  <si>
    <t>590 Pengetahuan tentang Satwa.jpg</t>
  </si>
  <si>
    <t>DEWI A, RISMA R, DAN BUDI N</t>
  </si>
  <si>
    <t>978-979-678-451-6</t>
  </si>
  <si>
    <t>LAGU DAN ALAT MUSIK TRADISIONAL</t>
  </si>
  <si>
    <t>DHEA INDA DZ &amp; YODI KURNIADI</t>
  </si>
  <si>
    <t>978-979-678-430-1</t>
  </si>
  <si>
    <t>APRESIASI KARYA SENI TARI</t>
  </si>
  <si>
    <t>RIMA YULIASTUTI</t>
  </si>
  <si>
    <t>ENY KUSRINI</t>
  </si>
  <si>
    <t>PT. PANTJA SIMPATI</t>
  </si>
  <si>
    <t>MEMPERSIAPKAN PEMAIN BASKET BERPRESTASI</t>
  </si>
  <si>
    <t>SUTRISNI, S.Pd - YUNI MARLANI</t>
  </si>
  <si>
    <t>WENY RAHAYU</t>
  </si>
  <si>
    <t>PT. MUSI PERKASA UTAMA</t>
  </si>
  <si>
    <t>978-602-8264-16-7</t>
  </si>
  <si>
    <t>MENGENAL SENI TARI</t>
  </si>
  <si>
    <t>PT. INTAN SEJATI KLATEN</t>
  </si>
  <si>
    <t>978-979-1276-57-3</t>
  </si>
  <si>
    <t>KESENIAN MUSIK PRAKTIS</t>
  </si>
  <si>
    <t>NAHARY AC</t>
  </si>
  <si>
    <t>978-979-045-472-9</t>
  </si>
  <si>
    <t>780 Kesenian Musik Praktis.jpg</t>
  </si>
  <si>
    <t>RAGAM WAYANG DAN GAMELAN JAWA</t>
  </si>
  <si>
    <t>DWI CAHYATI ANGGARAWATI</t>
  </si>
  <si>
    <t>AL-BATHY</t>
  </si>
  <si>
    <t>978-602-9139-21-1</t>
  </si>
  <si>
    <t>CONTOH KALIGRAFI ARAB DENGAN BACAAN HURUF LATIN DAN ARTINYA</t>
  </si>
  <si>
    <t>H.M FAQIH DALIL - H. ABI TOFANI</t>
  </si>
  <si>
    <t>DODAK CKG</t>
  </si>
  <si>
    <t>SURAT UNTUK IBU NEGARA</t>
  </si>
  <si>
    <t>CERITA INDONESIA</t>
  </si>
  <si>
    <t>SARI PUSPARINI</t>
  </si>
  <si>
    <t>CBM CREATIVE AGENCY</t>
  </si>
  <si>
    <t>979-692-827-2</t>
  </si>
  <si>
    <t>813 Surat untuk Ibu Negara.jpg</t>
  </si>
  <si>
    <t>MEMPELAJARI DRAMA</t>
  </si>
  <si>
    <t>WAHYU DWI HERAWATI</t>
  </si>
  <si>
    <t>AGUNG WIBAWANTO</t>
  </si>
  <si>
    <t>PUATAKA SUNDA</t>
  </si>
  <si>
    <t>978-602-9124-19-4</t>
  </si>
  <si>
    <t>TARI-TARIAN NUSANTARA</t>
  </si>
  <si>
    <t>NURUL KHASANAH R.A &amp; ANILA SAFITRI</t>
  </si>
  <si>
    <t>LAILA</t>
  </si>
  <si>
    <t>793.3 Tari-tarian Nusantara.jpg</t>
  </si>
  <si>
    <t>MEMPERSIAPKAN PEMAIN SEPAK BOLA BERPRESTASI SERI 1</t>
  </si>
  <si>
    <t>SUTRISNO, S.Pd</t>
  </si>
  <si>
    <t>978-602-8264-20-4</t>
  </si>
  <si>
    <t>PEMAIN VOLI BERPRESTASI</t>
  </si>
  <si>
    <t>978-602-8264-17-4</t>
  </si>
  <si>
    <t>SERBA-SERBI OLAHRAGA ALAM</t>
  </si>
  <si>
    <t>ASTRI PRATIWI POERBA</t>
  </si>
  <si>
    <t>978-602-9109-03-0</t>
  </si>
  <si>
    <t>MEMPERSIAPKAN PEMAIN BUTUTANGKIS BERPRESTASI</t>
  </si>
  <si>
    <t>SUTRISNO, S.Pd &amp; YUNI MARLANI</t>
  </si>
  <si>
    <t>978-602-8264-15-0</t>
  </si>
  <si>
    <t>MENGENAL ALAT MUSIK</t>
  </si>
  <si>
    <t>WIDIYANTORO</t>
  </si>
  <si>
    <t>978-979-045-576-4</t>
  </si>
  <si>
    <t>H.M. FAQIH DALIL, M. ABI TOFANI</t>
  </si>
  <si>
    <t>ASYIKNYA BERMAIN BOLA BASKET</t>
  </si>
  <si>
    <t>BOLA BASKET</t>
  </si>
  <si>
    <t>MITHA YANUARTI</t>
  </si>
  <si>
    <t>796.323 Asyiknya Bermain Bola Basket.jpg</t>
  </si>
  <si>
    <t>ASYIKNYA BERMAIN BOLA VOLI</t>
  </si>
  <si>
    <t>OLAHRAGA</t>
  </si>
  <si>
    <t>796 Asyiknya Bermain Bola Voli.jpg</t>
  </si>
  <si>
    <t>INDAHNYA TARIAN NUSANTARA</t>
  </si>
  <si>
    <t>DIARTI BUUMI</t>
  </si>
  <si>
    <t>YUANITA</t>
  </si>
  <si>
    <t>100 hlm; 17,6x25 cm</t>
  </si>
  <si>
    <t>793.3 Indahnya Tarian Nusantara.jpg</t>
  </si>
  <si>
    <t>KEUNIKAN TEKNIK BATIK KAYU</t>
  </si>
  <si>
    <t>AGUNG SUROSO</t>
  </si>
  <si>
    <t>RISDIYANI CHASANAH</t>
  </si>
  <si>
    <t>SAKA MITRA KOMPETENSI</t>
  </si>
  <si>
    <t>ANEKA KREASI DARI CANGKANG TELUR</t>
  </si>
  <si>
    <t xml:space="preserve">ZAINAL ABIDIN, Ir. </t>
  </si>
  <si>
    <t>PUSTAKA PEMBANGUNAN SWADAYA NUSANTARA</t>
  </si>
  <si>
    <t>54 hlm; 23,5 cm</t>
  </si>
  <si>
    <t>ANEKA KERAJINAN DARI KELAPA</t>
  </si>
  <si>
    <t xml:space="preserve">DIAH ISWARI, Ir. </t>
  </si>
  <si>
    <t>979323556X</t>
  </si>
  <si>
    <t>64 hlm; 23,5 cm</t>
  </si>
  <si>
    <t>740 Aneka Kerajinan dari Kelapa.jpg</t>
  </si>
  <si>
    <t>ANEKA KREASI KADO</t>
  </si>
  <si>
    <t>TRI WINARNI SUGITO,
Ir. KINANTI PUSPITASARI</t>
  </si>
  <si>
    <t>76 hlm; 23,5 cm</t>
  </si>
  <si>
    <t>745.5 Aneka Kreasi Kado.jpg</t>
  </si>
  <si>
    <t>BERKREASI DENGAN JANUR</t>
  </si>
  <si>
    <t>SYAIFUL QOMAR,
IR. DIAH ISWARI</t>
  </si>
  <si>
    <t>ERNI PRIYATINI</t>
  </si>
  <si>
    <t>979938642X</t>
  </si>
  <si>
    <t>74 hlm;
23,5</t>
  </si>
  <si>
    <t>745.5 Berkreasi dengan Janur.jpg</t>
  </si>
  <si>
    <t>ANEKA KREASI DARI TALI</t>
  </si>
  <si>
    <t>ENEN WARDANA</t>
  </si>
  <si>
    <t>DWI AGUS SANTOSO</t>
  </si>
  <si>
    <t>58 hlm
23,5</t>
  </si>
  <si>
    <t>KREASI BOTOL DAN KALENG BEKAS</t>
  </si>
  <si>
    <t>SRI NOOR VERAWATY</t>
  </si>
  <si>
    <t>MAHADEWA</t>
  </si>
  <si>
    <t>DIVA KIDS</t>
  </si>
  <si>
    <t>ASYIKNYA BERMAIN BULU TANGKIS</t>
  </si>
  <si>
    <t>ASWI</t>
  </si>
  <si>
    <t>TRIATI</t>
  </si>
  <si>
    <t>796.345 Asyiknya Bermain Bulu Tangkis.jpg</t>
  </si>
  <si>
    <t>ANATOMI TUBUH MANUSIA</t>
  </si>
  <si>
    <t>MAHARDONO, (A.) dkk</t>
  </si>
  <si>
    <t>PT. INTERMASA</t>
  </si>
  <si>
    <t>979-3791-21-7</t>
  </si>
  <si>
    <t>47 hlm;
29 cm</t>
  </si>
  <si>
    <t>611 Anatomi Tubuh Manusia.jpg</t>
  </si>
  <si>
    <t>SERBA SERBI KETERAMPILAN</t>
  </si>
  <si>
    <t>KETERAMPILAN TANGAN</t>
  </si>
  <si>
    <t>RIANSYAH</t>
  </si>
  <si>
    <t>HJ AMALIA MUSLIM,S.E.</t>
  </si>
  <si>
    <t>CV AMALIA JAKARTA</t>
  </si>
  <si>
    <t>92 hlm;17,5x25cm</t>
  </si>
  <si>
    <t>745.5 Serba-Serbi Keterampilan.jpg</t>
  </si>
  <si>
    <t>LAGU-LAGU UNTUK SEKOLAH DASAR DAN LANJUTAN</t>
  </si>
  <si>
    <t>MUCHLIS, BA
AZMY, BA</t>
  </si>
  <si>
    <t>MUSIKA</t>
  </si>
  <si>
    <t>780 Lagu-Lagu untuk Sekolah Dasar dan Lanjutan.jpg</t>
  </si>
  <si>
    <t>SENI LUKIS</t>
  </si>
  <si>
    <t>EKO PRAPTANTO</t>
  </si>
  <si>
    <t>750 Seni Lukis.jpg</t>
  </si>
  <si>
    <t>SENI DRAMA UNTUK REMAJA</t>
  </si>
  <si>
    <t>792.1</t>
  </si>
  <si>
    <t>SENI DRAMA</t>
  </si>
  <si>
    <t>RENDRA</t>
  </si>
  <si>
    <t>PUSTAKA JAYA</t>
  </si>
  <si>
    <t>978-979-419-408-9</t>
  </si>
  <si>
    <t>792.1 Seni Drama untuk Remaja.jpg</t>
  </si>
  <si>
    <t>KOMIK - MY MIRROR SISTER</t>
  </si>
  <si>
    <t>741.5</t>
  </si>
  <si>
    <t>KOMIK</t>
  </si>
  <si>
    <t>HUSNA AZKIYA HARTANTO dkk</t>
  </si>
  <si>
    <t>ROMY AMDANI</t>
  </si>
  <si>
    <t>MIZAN MEDIA UTAMA</t>
  </si>
  <si>
    <t>104 hlm; 21 cm</t>
  </si>
  <si>
    <t>741.5 Komik KKPK Next G - My Mirror Sister.jpg</t>
  </si>
  <si>
    <t>MENGENAL CANDI</t>
  </si>
  <si>
    <t>726.1</t>
  </si>
  <si>
    <t>ARSITEKTUR CANDI</t>
  </si>
  <si>
    <t>ANANDITA</t>
  </si>
  <si>
    <t>978-602-8713-10-8</t>
  </si>
  <si>
    <t>726.1 Mengenal Candi.jpg</t>
  </si>
  <si>
    <t>CANDI-CANDI DI INDONESIA</t>
  </si>
  <si>
    <t>ARIEF HIDAYATULLAH</t>
  </si>
  <si>
    <t>76 hlm; 17,6x25 cm</t>
  </si>
  <si>
    <t>726.1 Candi-Candi di Indonesia.jpg</t>
  </si>
  <si>
    <t>DARI HOBI MENJADI PRESTASI</t>
  </si>
  <si>
    <t>790.13</t>
  </si>
  <si>
    <t>HOBI, KEGEMARAN</t>
  </si>
  <si>
    <t>TRIANI RETNO A</t>
  </si>
  <si>
    <t>978-602-9108-02-6</t>
  </si>
  <si>
    <t>LANGKAH MENJADI PETENIS HEBAT</t>
  </si>
  <si>
    <t>796.342</t>
  </si>
  <si>
    <t>TENIS</t>
  </si>
  <si>
    <t>Drs. SUGIARTO, M.M.
BUDI SUPRIANTO</t>
  </si>
  <si>
    <t>GEMAR BERMAIN BULUTANGKIS</t>
  </si>
  <si>
    <t>796.345</t>
  </si>
  <si>
    <t>Dra. SYAHRI ALHUSIN, M.S.</t>
  </si>
  <si>
    <t>SETI-AJI</t>
  </si>
  <si>
    <t>979-760-465-9</t>
  </si>
  <si>
    <t>KAMUS OLAH RAGA</t>
  </si>
  <si>
    <t>796.03</t>
  </si>
  <si>
    <t>KAMUS OLAH RAGA, ENSIKLOPEDIA OLAH RAGA</t>
  </si>
  <si>
    <t>CAHYA BUDI KARTIAWAN, S.Pd</t>
  </si>
  <si>
    <t>978-602-1388-05-1</t>
  </si>
  <si>
    <t>152 hlm; 25 cm</t>
  </si>
  <si>
    <t>796.03 Kamus Olah Raga.jpg</t>
  </si>
  <si>
    <t>BURUNG DARI KERTAS</t>
  </si>
  <si>
    <t>736.9</t>
  </si>
  <si>
    <t>MENGUKIR DAN UKIRAN DENGAN BAHAN LAIN</t>
  </si>
  <si>
    <t>RICKI RISMAN</t>
  </si>
  <si>
    <t>M. EVAN CAVALERA</t>
  </si>
  <si>
    <t>TATALETAK PUSTAKA PRIMA</t>
  </si>
  <si>
    <t>502-8333-86-6</t>
  </si>
  <si>
    <t>50 hlm; 17,5x25 cm</t>
  </si>
  <si>
    <t>736.9 Burung dari Kertas.jpg</t>
  </si>
  <si>
    <t>PENINGKATAN MUTU PENDIDIK DALAM MENGAJARKAN DRAMA</t>
  </si>
  <si>
    <t>DRAMA, SANDIWARA</t>
  </si>
  <si>
    <t>978-979-035-057-1</t>
  </si>
  <si>
    <t>MENGEMBANGKAN NILAI LUHUR DENGAN PERMAINAN TRADISIONAL</t>
  </si>
  <si>
    <t>793.4</t>
  </si>
  <si>
    <t>PERMAINAN DENGAN GERAKAN</t>
  </si>
  <si>
    <t>SUJIARTININGSIH</t>
  </si>
  <si>
    <t>978-602-9139-08-2</t>
  </si>
  <si>
    <t>PANDUAN LAGU DAERAH INDONESIA</t>
  </si>
  <si>
    <t>MUSIK RAKYAT INDONESIA</t>
  </si>
  <si>
    <t>KARINA MELODI</t>
  </si>
  <si>
    <t>TIM REDAKSI INFRA</t>
  </si>
  <si>
    <t>PERPUSTAKAAN NASIONAL RI</t>
  </si>
  <si>
    <t>156 hlm; 23 x 15 cm</t>
  </si>
  <si>
    <t>781.621 Panduan Lagu Daerah Indonesia.jpg</t>
  </si>
  <si>
    <t>MAHIR BERBICARA</t>
  </si>
  <si>
    <t>978-602-95714-3-1</t>
  </si>
  <si>
    <t>808 Mahir Berbicara.jpg</t>
  </si>
  <si>
    <t>MENJADI PENULIS DAN PENGARANG CILIK</t>
  </si>
  <si>
    <t>TEORI KESUSASTRAAN</t>
  </si>
  <si>
    <t>978-979-045-421-7</t>
  </si>
  <si>
    <t>801 Penulis dan Pengarang Cilik.jpg</t>
  </si>
  <si>
    <t>APRESIASI KARYA MELALUI RESENSI</t>
  </si>
  <si>
    <t>PAKSI S. RAHARJO</t>
  </si>
  <si>
    <t>ALFAN N. R</t>
  </si>
  <si>
    <t>CV SINAR HAROMEIN</t>
  </si>
  <si>
    <t>978-602-9444-30-8</t>
  </si>
  <si>
    <t>800 Apresiasi Karya Melalui Resensi.jpg</t>
  </si>
  <si>
    <t>AKU INGIN MENJADI PENGARANG</t>
  </si>
  <si>
    <t>TEKNIK MENULIS DAN MENJADI PENULIS</t>
  </si>
  <si>
    <t>ACHMAD SAPARI</t>
  </si>
  <si>
    <t>Ir. H. UDANARTO PUDJI LUDWINTO, MM</t>
  </si>
  <si>
    <t>60 hlm;
15 x 21 cm</t>
  </si>
  <si>
    <t>PENINGKATAN MUTU PENDIDIK DALAM MENGAJARKAN PUISI</t>
  </si>
  <si>
    <t xml:space="preserve">RESTIANTI, H. </t>
  </si>
  <si>
    <t>IZZUDIN IRSAM MUJIB
MUSLIM NURDIN</t>
  </si>
  <si>
    <t>811 Peningkatan Mutu Pendidik dalam Mengajarkan Puisi.jpg</t>
  </si>
  <si>
    <t>TELADAN 30 BINATANG BELAJAR PADA KEHIDUPAN</t>
  </si>
  <si>
    <t>FIKSI INDONESIA, PROSA INDONESIA</t>
  </si>
  <si>
    <t>H.E. KOSASIH</t>
  </si>
  <si>
    <t>978-602-8797-27-6</t>
  </si>
  <si>
    <t>17 SEKAR PUPUH</t>
  </si>
  <si>
    <t>LAGU TRADISIONAL</t>
  </si>
  <si>
    <t>GODI SUWARNA</t>
  </si>
  <si>
    <t>782.43 17 Sekar Pupuh.jpg</t>
  </si>
  <si>
    <t>SENI MENULIS CERITA PENDEK</t>
  </si>
  <si>
    <t>MENULIS CERITA PENDEK</t>
  </si>
  <si>
    <t>DRA. NANING PRANOTO, MA</t>
  </si>
  <si>
    <t>TIM EDITOR OPUSS PRESS</t>
  </si>
  <si>
    <t>PT. OPUSS AGRAPANA MANDIRI</t>
  </si>
  <si>
    <t>808 Seni Menulis Cerita Pendek.jpg</t>
  </si>
  <si>
    <t>PAMANAHRASA</t>
  </si>
  <si>
    <t>899</t>
  </si>
  <si>
    <t>KESUSASTRAAN SUNDA</t>
  </si>
  <si>
    <t>YOSEPH ISKANDAR</t>
  </si>
  <si>
    <t>PUSAT STUDI SUNDA</t>
  </si>
  <si>
    <t>99 / A5</t>
  </si>
  <si>
    <t>819 Pamanahrasa.jpg</t>
  </si>
  <si>
    <t>KUMPULAN SAJAK 1956 PRIANGAN SI JELITA</t>
  </si>
  <si>
    <t>811</t>
  </si>
  <si>
    <t>PUISI/SAJAK</t>
  </si>
  <si>
    <t>RAMADHAN K.H.</t>
  </si>
  <si>
    <t>42 / A5</t>
  </si>
  <si>
    <t>811 Priangan Si Jelita.jpg</t>
  </si>
  <si>
    <t>KUMPULAN PUISI ANGIN LAUT TAWAR</t>
  </si>
  <si>
    <t>L.K. ARA</t>
  </si>
  <si>
    <t>KREATUMIN SAPTA MANUNGGAL</t>
  </si>
  <si>
    <t>36 / A5</t>
  </si>
  <si>
    <t>811 Angin Laut Tawar.jpg</t>
  </si>
  <si>
    <t>PERSIB NU AING</t>
  </si>
  <si>
    <t>SASTRA BAHASA SUNDA</t>
  </si>
  <si>
    <t>DEDY WINDYAGIRI</t>
  </si>
  <si>
    <t>104 / A5</t>
  </si>
  <si>
    <t>CARITA PONDOK BUAH SABAR</t>
  </si>
  <si>
    <t>CERITA PENDEK SUNDA</t>
  </si>
  <si>
    <t>LILI SETIA PRIATNA, S.Pd</t>
  </si>
  <si>
    <t>RIASMA</t>
  </si>
  <si>
    <t>978-979-678-278-9</t>
  </si>
  <si>
    <t>819 Carita Pondok Buah Sabar.jpg</t>
  </si>
  <si>
    <t>KUMPULAN CARPON PINILIH MANGLE KANAGAN</t>
  </si>
  <si>
    <t>DUDUH DURAHMAN</t>
  </si>
  <si>
    <t>255 / A5</t>
  </si>
  <si>
    <t>CARITA SAREBU SAMALEM BUAH KOLDI</t>
  </si>
  <si>
    <t>MOH. AMBRI</t>
  </si>
  <si>
    <t>819 Carita Sarebu Samalem - Buah Koldi.jpg</t>
  </si>
  <si>
    <t>FROM A HOBBY TO A LIBRARY</t>
  </si>
  <si>
    <t>823</t>
  </si>
  <si>
    <t>HASAN WIDODO</t>
  </si>
  <si>
    <t>CV. POTENSI TITIAN SISWA</t>
  </si>
  <si>
    <t>978-602-9455-17-5</t>
  </si>
  <si>
    <t>60 /A5</t>
  </si>
  <si>
    <t>823 From a Hobby to a Library.jpg</t>
  </si>
  <si>
    <t>JUNI MENATAP SAMUDERA</t>
  </si>
  <si>
    <t>NOVEL ISLAMI</t>
  </si>
  <si>
    <t>QANITA AMALIN</t>
  </si>
  <si>
    <t>CV. LUBUK AGUNG</t>
  </si>
  <si>
    <t>813 Juni Menatap Samudera.jpg</t>
  </si>
  <si>
    <t>KUMPULAN CERITA RAKYAT NUSANTARA</t>
  </si>
  <si>
    <t>RAHIMSYAH, MB.</t>
  </si>
  <si>
    <t>GREISINDA PRESS</t>
  </si>
  <si>
    <t>160 / A5</t>
  </si>
  <si>
    <t>398.2 Kumpulan Cerita Rakyat Nusantara.jpg</t>
  </si>
  <si>
    <t>KUPETIK BINTANG</t>
  </si>
  <si>
    <t>RIZKY</t>
  </si>
  <si>
    <t>DADAN RAMADHAN</t>
  </si>
  <si>
    <t>978-979-752-876-8</t>
  </si>
  <si>
    <t>MENGGAMBAR MATAHARI</t>
  </si>
  <si>
    <t>TIEN ROSTINI</t>
  </si>
  <si>
    <t>978-602-9106-00-8</t>
  </si>
  <si>
    <t>84 / A5</t>
  </si>
  <si>
    <t>813 Menggambar Matahari.jpg</t>
  </si>
  <si>
    <t>AKAL BULUS SCAPIN</t>
  </si>
  <si>
    <t>SASTRA INDONESIA</t>
  </si>
  <si>
    <t>MOLIERE</t>
  </si>
  <si>
    <t>PT. DUNIA PUSTAKA JAYA</t>
  </si>
  <si>
    <t>979-419-262-7</t>
  </si>
  <si>
    <t>813 Akal Bulus Scapin.jpg</t>
  </si>
  <si>
    <t>CARITA DINA OPAT MANGSA</t>
  </si>
  <si>
    <t>DADAH K. ABDUROJAK</t>
  </si>
  <si>
    <t>978-602-8317-46-7</t>
  </si>
  <si>
    <t>819 Carita Dina Opat Mangsa.jpg</t>
  </si>
  <si>
    <t>BEURIT PINTER</t>
  </si>
  <si>
    <t>TIM PT INDAHJAYA ADIPRATAMA</t>
  </si>
  <si>
    <t>978-979-24-1736-4</t>
  </si>
  <si>
    <t>819 Beurit Pinter.jpg</t>
  </si>
  <si>
    <t>LIMA PERANGAI DAN RAKSASA BAIK HATI</t>
  </si>
  <si>
    <t>DONGENG</t>
  </si>
  <si>
    <t>SONY RISTANTA ASKARI</t>
  </si>
  <si>
    <t>CV. BUKU BERCAHAYA</t>
  </si>
  <si>
    <t>978-602-9426-63-2</t>
  </si>
  <si>
    <t>398.2 Lima Perangai dan Raksasa Baik Hati.jpeg</t>
  </si>
  <si>
    <t>JUJUMPUTAN</t>
  </si>
  <si>
    <t>CARITA SUNDA</t>
  </si>
  <si>
    <t>LIA SUMANTRI</t>
  </si>
  <si>
    <t>978-602-8317-53-5</t>
  </si>
  <si>
    <t>819 Jujumputan.jpg</t>
  </si>
  <si>
    <t>KEMELUT</t>
  </si>
  <si>
    <t>S. BAYA</t>
  </si>
  <si>
    <t>AGUS SUGIANTO</t>
  </si>
  <si>
    <t>CV. BINTANG BOOKS</t>
  </si>
  <si>
    <t>978-979-9133-44-1</t>
  </si>
  <si>
    <t>813 Kemelut.jpg</t>
  </si>
  <si>
    <t>BONDAN SI PENYELAM</t>
  </si>
  <si>
    <t>NIEK ADIE</t>
  </si>
  <si>
    <t>TIM TITIAN ILMU</t>
  </si>
  <si>
    <t>978-979-027-230-9</t>
  </si>
  <si>
    <t>68 / A5</t>
  </si>
  <si>
    <t>HENDRA PAHLAWAN CILIK</t>
  </si>
  <si>
    <t>TUNGGARA</t>
  </si>
  <si>
    <t>978-979-665-819-6</t>
  </si>
  <si>
    <t>813 Hendra Pahlawan Cilik.jpg</t>
  </si>
  <si>
    <t>BLESSING BEHIND THE DISASTER</t>
  </si>
  <si>
    <t>FERDINANSYAH, SE</t>
  </si>
  <si>
    <t>CV. MATA PEDANG ILMU</t>
  </si>
  <si>
    <t>978-602-9430-32-5</t>
  </si>
  <si>
    <t>60 / A5</t>
  </si>
  <si>
    <t>823 Blessing Behind The Disaster.jpg</t>
  </si>
  <si>
    <t>PURBASARI</t>
  </si>
  <si>
    <t>HIDAYAT S, (R.H. )</t>
  </si>
  <si>
    <t>978-602-8318-84-6</t>
  </si>
  <si>
    <t>819 Purbasari.jpg</t>
  </si>
  <si>
    <t>SASTRA SUNDA SAUSAP SAULAS</t>
  </si>
  <si>
    <t>83 / A5</t>
  </si>
  <si>
    <t>819 Sastra Sunda Sausap Saulas.jpg</t>
  </si>
  <si>
    <t>KUMPULAN PUISI ANU DUMEUHEUS</t>
  </si>
  <si>
    <t>C 899.2232</t>
  </si>
  <si>
    <t>KUMPULAN PUISI SUNDA</t>
  </si>
  <si>
    <t>R.H. HIDAYAT SURYALAGA</t>
  </si>
  <si>
    <t>978-602-8317-61-0</t>
  </si>
  <si>
    <t>889 Kumpulan Puisi Anu Dumeuheus.jpg</t>
  </si>
  <si>
    <t>KUMPULAN SAJAK SUNDA MANGLAYANG</t>
  </si>
  <si>
    <t>SAJAK SUNDA</t>
  </si>
  <si>
    <t>DIAN HENDRAYANA, (R. )</t>
  </si>
  <si>
    <t>819 Manglayang.jpg</t>
  </si>
  <si>
    <t>SALUMAR SASTRA KUMPULAN KARANGAN UNGGULAN HADIAH SASTRA LBSS TAUN 1989-1992</t>
  </si>
  <si>
    <t>WAHYU WIBISANA, SPK</t>
  </si>
  <si>
    <t>192 / A5</t>
  </si>
  <si>
    <t>819 Salumar Sastra.jpg</t>
  </si>
  <si>
    <t>KU KERSANING ALLOH</t>
  </si>
  <si>
    <t>ENDANG HIDAYAT</t>
  </si>
  <si>
    <t>978-979-678-281-9</t>
  </si>
  <si>
    <t>96 / A5</t>
  </si>
  <si>
    <t>819 Ku Kersaning Alloh.jpg</t>
  </si>
  <si>
    <t>KUMPULAN CARITA PONDOK PARA CALON</t>
  </si>
  <si>
    <t>USEP ROMLI, HM, (H. )</t>
  </si>
  <si>
    <t>978-979-24-1742-5</t>
  </si>
  <si>
    <t>819 Kumpulan Carita Pondok-Para Calon.jpg</t>
  </si>
  <si>
    <t>NU MIANG JEUNG KALUDEUNG</t>
  </si>
  <si>
    <t>TATANG SUMARSONO</t>
  </si>
  <si>
    <t>PT. PURI PUSTAKA</t>
  </si>
  <si>
    <t>KEJARLAH ILMU HINGGA KE NEGERI CHINA</t>
  </si>
  <si>
    <t>IBNU ADAM AVICIENA</t>
  </si>
  <si>
    <t>LANGLANG RANDHAWA</t>
  </si>
  <si>
    <t>PT. DANGIANG PUSTAKE</t>
  </si>
  <si>
    <t>978-602-9123-30-2</t>
  </si>
  <si>
    <t>DOR</t>
  </si>
  <si>
    <t>DRAMA</t>
  </si>
  <si>
    <t>PUTU WIJAYA</t>
  </si>
  <si>
    <t>979-666-290-6</t>
  </si>
  <si>
    <t>70 / A5</t>
  </si>
  <si>
    <t>HAYAM JAGO CANTEL KONENG</t>
  </si>
  <si>
    <t>LENI A.</t>
  </si>
  <si>
    <t>978-602-8318-78-5</t>
  </si>
  <si>
    <t>819 Hayam Jago Cantel Koneng.jpg</t>
  </si>
  <si>
    <t>PROFESOR PANCAKE</t>
  </si>
  <si>
    <t>ICHA</t>
  </si>
  <si>
    <t>978-979-066-960-4</t>
  </si>
  <si>
    <t>ANUGERAH ITU BERNAMA WAHYU</t>
  </si>
  <si>
    <t>CERITA FIKSI</t>
  </si>
  <si>
    <t xml:space="preserve">ASIANTO, H.A. </t>
  </si>
  <si>
    <t>DWI H</t>
  </si>
  <si>
    <t>CV MENARA MEGA PERKASA</t>
  </si>
  <si>
    <t>978-979-9551-04-7</t>
  </si>
  <si>
    <t>813 Anugerah Itu Bernama Wahyu.jpg</t>
  </si>
  <si>
    <t>ASTAGINA 33 CARPON SISWA SMP DI KOTA BANDUNG</t>
  </si>
  <si>
    <t>TAUFIK FATUROHMAN</t>
  </si>
  <si>
    <t>819 Astagina.jpg</t>
  </si>
  <si>
    <t>WISNUWARMAN</t>
  </si>
  <si>
    <t>55 / A5</t>
  </si>
  <si>
    <t>819 Wisnuwarman.jpg</t>
  </si>
  <si>
    <t>BENTANG ANYAR</t>
  </si>
  <si>
    <t>KOMAR ENDRASMARA</t>
  </si>
  <si>
    <t>RISMA</t>
  </si>
  <si>
    <t>978-979-678-276-5</t>
  </si>
  <si>
    <t>819 Bentang Anyar.jpg</t>
  </si>
  <si>
    <t>KUMPULAN CARPON BRAL</t>
  </si>
  <si>
    <t>819</t>
  </si>
  <si>
    <t>CERPEN SUNDA</t>
  </si>
  <si>
    <t>SUPRIATNA</t>
  </si>
  <si>
    <t>CICEU</t>
  </si>
  <si>
    <t>978-602-8318-81-5</t>
  </si>
  <si>
    <t>819 Kumpulan Carpon Bral.jpg</t>
  </si>
  <si>
    <t>PUISI DAN PROSA DERAI-DERAI CEMARA</t>
  </si>
  <si>
    <t>CHAIRIL ANWAR</t>
  </si>
  <si>
    <t>PT. CAKRAWALA BUDAYA INDONESIA</t>
  </si>
  <si>
    <t>979-95660-0-2</t>
  </si>
  <si>
    <t>CINTA TSURAYA BERBUAH KHULDI</t>
  </si>
  <si>
    <t>MAIA ROSYIDA</t>
  </si>
  <si>
    <t>978-979-505-191-X</t>
  </si>
  <si>
    <t>142 / A5</t>
  </si>
  <si>
    <t>813 Cinta Tsuraya Berbuah Khuldi.jpg</t>
  </si>
  <si>
    <t>DETEKTIF CILIK</t>
  </si>
  <si>
    <t>NY. P.E. GAZULI</t>
  </si>
  <si>
    <t>DIPATI UKUR</t>
  </si>
  <si>
    <t>819 Dipati Ukur.jpg</t>
  </si>
  <si>
    <t>DONGENG LENYEPANEUN</t>
  </si>
  <si>
    <t>KI RANGGA</t>
  </si>
  <si>
    <t>PERSONA</t>
  </si>
  <si>
    <t>DREAM OF A FISH</t>
  </si>
  <si>
    <t>EVARISTA</t>
  </si>
  <si>
    <t>H. MAFTUHAH</t>
  </si>
  <si>
    <t>TROPICA</t>
  </si>
  <si>
    <t>978-979-9412-53-9</t>
  </si>
  <si>
    <t>823 Dream of a Fish.jpg</t>
  </si>
  <si>
    <t>DZIKIR ANAK OMBAK</t>
  </si>
  <si>
    <t>MOHAMMAD HALILI</t>
  </si>
  <si>
    <t>813 Dzikir Anak Ombak.jpg</t>
  </si>
  <si>
    <t>FESTIVAL SYAHADAH</t>
  </si>
  <si>
    <t>IZZATUL JANNAH</t>
  </si>
  <si>
    <t>RATNA SUSANTI</t>
  </si>
  <si>
    <t>979-9183-92-8</t>
  </si>
  <si>
    <t>813 Festival Syahadah.jpg</t>
  </si>
  <si>
    <t>GANJARAN SETIMPAL</t>
  </si>
  <si>
    <t>GOENARTO</t>
  </si>
  <si>
    <t>978-979-24-1684-8</t>
  </si>
  <si>
    <t>HANJUANG SIANG DI SUMEDANG LARANG (PRABU GEUSAN ULUN)</t>
  </si>
  <si>
    <t>ROSSALINA</t>
  </si>
  <si>
    <t>819 Hanjuang Siang Di Sumedang Larang.jpg</t>
  </si>
  <si>
    <t>I AM THE CHAMPION</t>
  </si>
  <si>
    <t>PERMATA, (M. )</t>
  </si>
  <si>
    <t>MATA PEDANG ILMU</t>
  </si>
  <si>
    <t>978-602-9430-35-6</t>
  </si>
  <si>
    <t>823 I Am The Champion.jpg</t>
  </si>
  <si>
    <t>IMAH NGAMBANG DI SAGARA</t>
  </si>
  <si>
    <t>DADAH K. ABDUROZAK</t>
  </si>
  <si>
    <t>978-602-8318-61-7</t>
  </si>
  <si>
    <t>819 Imah Ngambang Di Sagara.jpg</t>
  </si>
  <si>
    <t>JALAN-JALAN KA SUMEDANG</t>
  </si>
  <si>
    <t>ATANG KUSNANDAR</t>
  </si>
  <si>
    <t>JANG GURU : AUTOBIOGRAFI</t>
  </si>
  <si>
    <t>AUTOBIOGRAFI</t>
  </si>
  <si>
    <t>WITARSA, S.PD</t>
  </si>
  <si>
    <t>DWI SEGARA</t>
  </si>
  <si>
    <t>979-3749-07-5</t>
  </si>
  <si>
    <t>809.382 Jang Guru.jpg</t>
  </si>
  <si>
    <t>TARIKING ANGIN</t>
  </si>
  <si>
    <t>819 Tariking Angin.jpg</t>
  </si>
  <si>
    <t>JARO BANTAHAN</t>
  </si>
  <si>
    <t>15 CARITA PONDOK KABAYA PULAS KASUMBA</t>
  </si>
  <si>
    <t>CARPON SUNDA</t>
  </si>
  <si>
    <t>DIAN WULAN</t>
  </si>
  <si>
    <t>CV ADICIKAL RAHARJA</t>
  </si>
  <si>
    <t>819 Kabaya Pulas Kasumba.jpg</t>
  </si>
  <si>
    <t>KEMBANG-KEMBANG ANTEN</t>
  </si>
  <si>
    <t>FIKSI SUNDA</t>
  </si>
  <si>
    <t>AAM AMILIA</t>
  </si>
  <si>
    <t>978-979-8003-51-6</t>
  </si>
  <si>
    <t>201 / A5</t>
  </si>
  <si>
    <t>KRAT-KRAT MENCARI KEADILAN</t>
  </si>
  <si>
    <t>IWAN SOEKRI MUNAF</t>
  </si>
  <si>
    <t>978-979-027-231-6</t>
  </si>
  <si>
    <t>813 Krat-Krat Mencari Keadilan.jpg</t>
  </si>
  <si>
    <t>KETAN-KETAN IRENG</t>
  </si>
  <si>
    <t>819 Ketan-Ketan Ireng.jpg</t>
  </si>
  <si>
    <t>KUMPULAN SAJAK KETIKA ENGKAU MENAGIH  PUISI</t>
  </si>
  <si>
    <t>PUISI / SAJAK</t>
  </si>
  <si>
    <t>AGUS NASIHIN</t>
  </si>
  <si>
    <t>970-602-98474-1-1</t>
  </si>
  <si>
    <t>811 Kumpulan Sajak - Ketika Engkau Menagih Puisi.jpg</t>
  </si>
  <si>
    <t>KEUR KURING DI LEMBUR</t>
  </si>
  <si>
    <t>KI MEREBOT</t>
  </si>
  <si>
    <t>AHMAD BAKRI</t>
  </si>
  <si>
    <t>978-979-8002-18-2</t>
  </si>
  <si>
    <t>819 Ki Merebot.jpg</t>
  </si>
  <si>
    <t>KOLEBAT KUWUNG-KUWUNGAN KINASIH KATUMBIRIAN</t>
  </si>
  <si>
    <t>KOTAK AJAIB PANTAI GEMI</t>
  </si>
  <si>
    <t>SUSMINI INDRIANI</t>
  </si>
  <si>
    <t>JUARA ASIA UTAMA</t>
  </si>
  <si>
    <t>978-602-1945-69-8</t>
  </si>
  <si>
    <t>813 Kotak Ajaib Pantai Gemi.jpg</t>
  </si>
  <si>
    <t>KUMIS TIPIS DENIS</t>
  </si>
  <si>
    <t>BUKU FIKSI</t>
  </si>
  <si>
    <t>ARWANA SUNGAI KAPUAS</t>
  </si>
  <si>
    <t>978-602-9442-07-6</t>
  </si>
  <si>
    <t>813 Kumis Tipis Denis.jpeg</t>
  </si>
  <si>
    <t>KUMPULAN CARITA PONDOK RUMAJA</t>
  </si>
  <si>
    <t>TIM PUSTAKA AMALDI</t>
  </si>
  <si>
    <t>PUSTAKA AMALDI</t>
  </si>
  <si>
    <t>819 Kumpulan Carita Pondok Rumaja.jpg</t>
  </si>
  <si>
    <t>KUPU-KUPU SURGA</t>
  </si>
  <si>
    <t>YUDA RANGGA PUTRA</t>
  </si>
  <si>
    <t>813 Kupu-Kupu Surga.jpg</t>
  </si>
  <si>
    <t>KUTULIS ATAS NAMA TUHANKU</t>
  </si>
  <si>
    <t>RANI APRANI</t>
  </si>
  <si>
    <t>813 Kutulis Atas Nama Tuhanku.jpg</t>
  </si>
  <si>
    <t>LABIRIN</t>
  </si>
  <si>
    <t>SAJAK</t>
  </si>
  <si>
    <t>SUSRI INARTI</t>
  </si>
  <si>
    <t>MUJAHID PRESS</t>
  </si>
  <si>
    <t>978-979-762-123-0</t>
  </si>
  <si>
    <t>128 /A5</t>
  </si>
  <si>
    <t>811 Labirin.jpg</t>
  </si>
  <si>
    <t>LIPU</t>
  </si>
  <si>
    <t>Drs. LA ODE BOA</t>
  </si>
  <si>
    <t>NITA INDAH</t>
  </si>
  <si>
    <t>978-979-571-417-0</t>
  </si>
  <si>
    <t>LUGINA TABIB CILIK</t>
  </si>
  <si>
    <t>MUH. FAHMI HADI</t>
  </si>
  <si>
    <t>978-979-678-284-0</t>
  </si>
  <si>
    <t>MANG BARI JAGO TEMBAK</t>
  </si>
  <si>
    <t>MARYATI JUNAEDI</t>
  </si>
  <si>
    <t>819 Mang Bari Jago Tembak.jpg</t>
  </si>
  <si>
    <t>MARLIN THE BEACH BOY</t>
  </si>
  <si>
    <t>PERMATA,(M. )</t>
  </si>
  <si>
    <t>POTENSI TITIAN SISWA</t>
  </si>
  <si>
    <t>978-602-9455-18-2</t>
  </si>
  <si>
    <t>823 Marlin The Beach Boy.jpg</t>
  </si>
  <si>
    <t>MASYITOH</t>
  </si>
  <si>
    <t>979-419-340-2</t>
  </si>
  <si>
    <t>813 Masyitoh.jpg</t>
  </si>
  <si>
    <t>BAGONG BAYANGAN</t>
  </si>
  <si>
    <t>DIAZ BUDIMAN</t>
  </si>
  <si>
    <t>819 Bagong Bayangan.jpg</t>
  </si>
  <si>
    <t>JALAN LURUS</t>
  </si>
  <si>
    <t>WISRAN HADI</t>
  </si>
  <si>
    <t>979-665-124-6</t>
  </si>
  <si>
    <t>BATOK BULU EUSI MADU</t>
  </si>
  <si>
    <t>HILMAN RIYADI M</t>
  </si>
  <si>
    <t>819 Batok Bulu Eusi Madu.jpg</t>
  </si>
  <si>
    <t>BELENGGU</t>
  </si>
  <si>
    <t>ARMIJN PANE</t>
  </si>
  <si>
    <t>DIAN RAKYAT</t>
  </si>
  <si>
    <t>979-523-046-8</t>
  </si>
  <si>
    <t>BERUBAH MEMANG MENGUBAH</t>
  </si>
  <si>
    <t>RISKA TALITHA</t>
  </si>
  <si>
    <t>106 hlm; 14 x 19 cm</t>
  </si>
  <si>
    <t>813 Berubah Memang Mengubah.jpg</t>
  </si>
  <si>
    <t>BILAL SI SORA EMAS</t>
  </si>
  <si>
    <t>BIMA RENGKUNG</t>
  </si>
  <si>
    <t>HIDAYAT SOESANTO</t>
  </si>
  <si>
    <t>819 Bima Rengkung.jpg</t>
  </si>
  <si>
    <t>BUDAK TIMU</t>
  </si>
  <si>
    <t>SACADIBRATA (R.)</t>
  </si>
  <si>
    <t>819 Budak Timu.jpg</t>
  </si>
  <si>
    <t>BULAN REWAH NU NGEUNTEUNGAN</t>
  </si>
  <si>
    <t>AHMAD  SOBANDI</t>
  </si>
  <si>
    <t>819 Bulan Rewah nu Ngeunteungan.jpg</t>
  </si>
  <si>
    <t>MENANAK BATU</t>
  </si>
  <si>
    <t>MB. RAHIMSYAH</t>
  </si>
  <si>
    <t>SERBA JAYA SURABAYA</t>
  </si>
  <si>
    <t>398.2 Menanak Batu.jpg</t>
  </si>
  <si>
    <t>MILIK DIRI BAGJA AWAK</t>
  </si>
  <si>
    <t>819 Milik Diri Bagja Awak.jpg</t>
  </si>
  <si>
    <t>MISTERI PANTAI SELATAN</t>
  </si>
  <si>
    <t>RASYID AKBAR</t>
  </si>
  <si>
    <t>MUHAMAD ILYASA</t>
  </si>
  <si>
    <t>ZIKRUL HAKIM</t>
  </si>
  <si>
    <t>813 Misteri Pantai Selatan.jpg</t>
  </si>
  <si>
    <t>MISTERI TOPENG PETAKA</t>
  </si>
  <si>
    <t>ZIKRUL KIDS</t>
  </si>
  <si>
    <t>112 / A5</t>
  </si>
  <si>
    <t>813 Misteri Topeng Petaka.jpg</t>
  </si>
  <si>
    <t>NYANYIAN LUMPUR</t>
  </si>
  <si>
    <t>REI USADINATA</t>
  </si>
  <si>
    <t>978-602-9106-38-1</t>
  </si>
  <si>
    <t>106 / 21 CM</t>
  </si>
  <si>
    <t>813 Nyanyian Lumpur.jpg</t>
  </si>
  <si>
    <t>MY RIVAL IS A VILLAGE GIRL</t>
  </si>
  <si>
    <t>KINKIN, M.Pd.</t>
  </si>
  <si>
    <t>823 My Rival is A Village Girl.jpg</t>
  </si>
  <si>
    <t>NGABUNGBANG | KUMPULAN SAJAK</t>
  </si>
  <si>
    <t>NAZARUDIN AZHAR</t>
  </si>
  <si>
    <t>NGADU JAJATEN</t>
  </si>
  <si>
    <t>CERITA BAHASA SUNDA</t>
  </si>
  <si>
    <t>DEDE SAFRUDIN, SS.</t>
  </si>
  <si>
    <t>978-602-8317-47-4</t>
  </si>
  <si>
    <t>47 / A5</t>
  </si>
  <si>
    <t>819 Ngadu Jajanten.jpg</t>
  </si>
  <si>
    <t>NU NYANGSAYA DINA KALAKAY</t>
  </si>
  <si>
    <t>SUGIARSIH, S.Pd</t>
  </si>
  <si>
    <t>TEDI R</t>
  </si>
  <si>
    <t>819 Nu Nyangsaya Dina Kalakay.jpg</t>
  </si>
  <si>
    <t>PATEPUNG DI BANDUNG</t>
  </si>
  <si>
    <t>819 Patepung Di Bandung.jpg</t>
  </si>
  <si>
    <t>PAYUNG BUTUT</t>
  </si>
  <si>
    <t>978-979-8002-38-0</t>
  </si>
  <si>
    <t>819 Payung Butut.jpg</t>
  </si>
  <si>
    <t>PERTEMUAN DUA BUDI</t>
  </si>
  <si>
    <t>IMAS ROHILAH</t>
  </si>
  <si>
    <t>813 Pertemuan Dua Budi.jpg</t>
  </si>
  <si>
    <t>PEUTING-PEUTING HARENGHENG</t>
  </si>
  <si>
    <t>MUH. ZAKI RABBANI</t>
  </si>
  <si>
    <t>978-979-678-287-1</t>
  </si>
  <si>
    <t>819 Peuting-Peuting Hareheng.jpg</t>
  </si>
  <si>
    <t>PUISI INDONESIA SEBELUM KEMERDEKAAN</t>
  </si>
  <si>
    <t>809.1</t>
  </si>
  <si>
    <t>SEJARAH KARYA</t>
  </si>
  <si>
    <t>SAPARDI DJOKO DAMONO</t>
  </si>
  <si>
    <t>REMAJA ROSDA KARYA</t>
  </si>
  <si>
    <t>979-692-293-2</t>
  </si>
  <si>
    <t>809.1 Puisi Indonesia Sebelum Kemerdekaan.jpg</t>
  </si>
  <si>
    <t>KUMPULAN PUISI SENJA DALAM MASA</t>
  </si>
  <si>
    <t>ANDRI VB</t>
  </si>
  <si>
    <t>ANJAR</t>
  </si>
  <si>
    <t>MALKA</t>
  </si>
  <si>
    <t>978-96528-8-X</t>
  </si>
  <si>
    <t>811 Senja dalam Masa.jpg</t>
  </si>
  <si>
    <t>PUTERI MADU - THE HONEY SELLER GIRL</t>
  </si>
  <si>
    <t>SONY RISTANTA A</t>
  </si>
  <si>
    <t>978-602-9430-33-2</t>
  </si>
  <si>
    <t>823 Puteri Madu - The Honey Seller Girl.jpg</t>
  </si>
  <si>
    <t>RHEIN</t>
  </si>
  <si>
    <t>CERTA FIKSI</t>
  </si>
  <si>
    <t>NURJANAH MELYNDA</t>
  </si>
  <si>
    <t>813 Rhein.jpg</t>
  </si>
  <si>
    <t>REVENGE OF THE AVES</t>
  </si>
  <si>
    <t>SASTRA INGGRIS</t>
  </si>
  <si>
    <t>YOYOK RAHAYU B</t>
  </si>
  <si>
    <t>S. ZAENAB, S.E.I</t>
  </si>
  <si>
    <t>823 Revenge of the Aves.jpg</t>
  </si>
  <si>
    <t>ROHIS HATIKU</t>
  </si>
  <si>
    <t>SYARAH VENIATY</t>
  </si>
  <si>
    <t>813 Rohis Hatiku.jpg</t>
  </si>
  <si>
    <t>RIWAYAT SI BEDEGONG</t>
  </si>
  <si>
    <t>AAN MERDEKA PERMANA</t>
  </si>
  <si>
    <t>819 Riwayat Si Bedegong.jpg</t>
  </si>
  <si>
    <t>RUMAH TUHAN</t>
  </si>
  <si>
    <t>GUGUS ADAB</t>
  </si>
  <si>
    <t>122 / A5</t>
  </si>
  <si>
    <t>813 Rumah Tuhan.jpg</t>
  </si>
  <si>
    <t>SASAB KA GUHA AJAG</t>
  </si>
  <si>
    <t>SUNDA</t>
  </si>
  <si>
    <t>Drs. CUCU KOMARA</t>
  </si>
  <si>
    <t>978-979-24-1745-6</t>
  </si>
  <si>
    <t>SEBUAH PENCAHARIAN</t>
  </si>
  <si>
    <t>MARIFATUL AMALIA</t>
  </si>
  <si>
    <t>813 Sebuah Pencaharian.jpg</t>
  </si>
  <si>
    <t>SENYUM MEMBAWA BERKAH</t>
  </si>
  <si>
    <t>ARMADA</t>
  </si>
  <si>
    <t>978-979-9412-89-8</t>
  </si>
  <si>
    <t>A COMPILATION OF SHORT STORIES</t>
  </si>
  <si>
    <t>SRI NURHAYATI</t>
  </si>
  <si>
    <t>WASKITA PLATINA ILMU</t>
  </si>
  <si>
    <t>978-602-9451-99-3Q</t>
  </si>
  <si>
    <t>SI BULE GIMBAL JEUNG VILLA ROSSA</t>
  </si>
  <si>
    <t xml:space="preserve">NAZALINA ALZANA, N. </t>
  </si>
  <si>
    <t>819 Si Bule Gimbal Jeung Villa Rossa.jpg</t>
  </si>
  <si>
    <t>SI KABAYAN JADI DUKUN</t>
  </si>
  <si>
    <t>SI LAMSIJAN KAEDANAN</t>
  </si>
  <si>
    <t>UMBARA, (KI )</t>
  </si>
  <si>
    <t>GIRIMUKTI</t>
  </si>
  <si>
    <t>86 / 4R</t>
  </si>
  <si>
    <t>819 Si Lamsijan Kedanan.jpg</t>
  </si>
  <si>
    <t>SI OBU</t>
  </si>
  <si>
    <t>NARTI SUPARTI</t>
  </si>
  <si>
    <t>978-602-8318-71-6</t>
  </si>
  <si>
    <t>819 Si Obu.jpg</t>
  </si>
  <si>
    <t>SI RAWUN</t>
  </si>
  <si>
    <t>Y. KRISTIYANTO</t>
  </si>
  <si>
    <t>978-979-24-1749-4</t>
  </si>
  <si>
    <t>KI SANTRI GAGAL</t>
  </si>
  <si>
    <t>KARTAPRAWIRA</t>
  </si>
  <si>
    <t>TIM PT. INDAHJAYA ADIPRATAMA</t>
  </si>
  <si>
    <t>978-979-24-1732-6</t>
  </si>
  <si>
    <t>819 Ki Santri Gagal.jpg</t>
  </si>
  <si>
    <t>SI UTUNG JADI PRABU</t>
  </si>
  <si>
    <t>SI BEUREUM KUNING</t>
  </si>
  <si>
    <t>RUSDIANTO</t>
  </si>
  <si>
    <t>899 Si Beureum Kuning.jpg</t>
  </si>
  <si>
    <t>SURAT TI AUSTRALIA</t>
  </si>
  <si>
    <t>NILA KARYANI</t>
  </si>
  <si>
    <t>819 Surat ti Australia.jpg</t>
  </si>
  <si>
    <t>TEU TIGIN KANA JANGJI</t>
  </si>
  <si>
    <t>ARKA PUTRA YAZAKA</t>
  </si>
  <si>
    <t>819 Teu Tigin Kana Jangji.jpg</t>
  </si>
  <si>
    <t>THE BOX OF REQUESTS</t>
  </si>
  <si>
    <t>NOVEL INGGRIS</t>
  </si>
  <si>
    <t>W. WIDAYATI</t>
  </si>
  <si>
    <t>978-602-9430-26-4</t>
  </si>
  <si>
    <t>823 The Box of Requests.jpg</t>
  </si>
  <si>
    <t>A CONTEST FOR PRINCESS SEKARWANGI</t>
  </si>
  <si>
    <t>N. HADI</t>
  </si>
  <si>
    <t>978-602-9455-16-8</t>
  </si>
  <si>
    <t>823 A Contest Princess Sekarwangi.jpg</t>
  </si>
  <si>
    <t>THE SHINING HOPES</t>
  </si>
  <si>
    <t>FERRY F.</t>
  </si>
  <si>
    <t>978-602-9429-41-1</t>
  </si>
  <si>
    <t>823 The Shining Hopes.jpg</t>
  </si>
  <si>
    <t>KUMPULAN PUISI TIDUR DALAM MIMPI</t>
  </si>
  <si>
    <t>EFDI BAHRUDIN</t>
  </si>
  <si>
    <t>978-602-8712-78-1</t>
  </si>
  <si>
    <t>811 Tidur Dalam Mimpi.jpg</t>
  </si>
  <si>
    <t>TUKANG SALE SUMEDANG</t>
  </si>
  <si>
    <t>978-602-8317-75-7</t>
  </si>
  <si>
    <t>819 Tukang Sale Sumedang.jpg</t>
  </si>
  <si>
    <t>TULUNG TINULUNGAN</t>
  </si>
  <si>
    <t>819 Tulung Tinulungan.jpg</t>
  </si>
  <si>
    <t>TUTUNGKUSAN</t>
  </si>
  <si>
    <t>FIRMAN NUGRAHA, S.SOS</t>
  </si>
  <si>
    <t>819 Tutungkusan.jpg</t>
  </si>
  <si>
    <t>URANG NAON DI CINAON (KUMPULAN SAJAK)</t>
  </si>
  <si>
    <t>WAHYU WIBISANA</t>
  </si>
  <si>
    <t>819 Urang Naon di Cinaon.jpg</t>
  </si>
  <si>
    <t>WAWACAN SITI PERMANA</t>
  </si>
  <si>
    <t>M.K. MANGOENDIKARIA</t>
  </si>
  <si>
    <t>THE LEGEND OF WHITE CROCODILE RIVER</t>
  </si>
  <si>
    <t>978-602-9451-97-9</t>
  </si>
  <si>
    <t>823 The Legend of White Crocodile River.jpg</t>
  </si>
  <si>
    <t>YANG GIAT TAKKAN MELARAT</t>
  </si>
  <si>
    <t>S. ANDRIANI</t>
  </si>
  <si>
    <t>RUDIANTO</t>
  </si>
  <si>
    <t>978-979-18562-8-7</t>
  </si>
  <si>
    <t>813 Yang Giat Takkan Melarat.jpg</t>
  </si>
  <si>
    <t>YOU ARE WHAT YOU WEAR</t>
  </si>
  <si>
    <t>WIDI M.M.T., (Ir. )</t>
  </si>
  <si>
    <t>D. HARDHANI, S.P.</t>
  </si>
  <si>
    <t>978-979-9412-99-7</t>
  </si>
  <si>
    <t>823 You Are What You Wear.jpg</t>
  </si>
  <si>
    <t>DEKLAMASI PUISI</t>
  </si>
  <si>
    <t>808.1</t>
  </si>
  <si>
    <t>RETORIK PUISI</t>
  </si>
  <si>
    <t>WAHYUNI MULATSIH, S.S</t>
  </si>
  <si>
    <t>UTAN KAYU</t>
  </si>
  <si>
    <t>978-602-9666-79-3</t>
  </si>
  <si>
    <t>808.1 Deklamasi Puisi.jpg</t>
  </si>
  <si>
    <t>IN SOLITUDE ANTOLOGI PUISI</t>
  </si>
  <si>
    <t>MEDY LOEKITO</t>
  </si>
  <si>
    <t>ANGKASA BANDUNG</t>
  </si>
  <si>
    <t>979-547-242-9</t>
  </si>
  <si>
    <t>INDONESIAN HEROES STORIES</t>
  </si>
  <si>
    <t>fIKSI BAHASA INGGRIS</t>
  </si>
  <si>
    <t>AHMAD THOMMY H, S.S</t>
  </si>
  <si>
    <t>TRIANA WULANDARI, S.Pd</t>
  </si>
  <si>
    <t>978-602-8024-09-9</t>
  </si>
  <si>
    <t>820 Indonesia Heroes Stories.jpg</t>
  </si>
  <si>
    <t>INDONESIAN FOLKTALES</t>
  </si>
  <si>
    <t>978-602-8024-10-5</t>
  </si>
  <si>
    <t>398.2 Indonesian Folktales.jpg</t>
  </si>
  <si>
    <t>KACA JENDELA</t>
  </si>
  <si>
    <t>FEBE SEVTIN RAHMAWATI - SULISTYOWATI ANGGORO</t>
  </si>
  <si>
    <t>SONI FARID MAULANA</t>
  </si>
  <si>
    <t>979-96528-7-1</t>
  </si>
  <si>
    <t>811 Kaca Jendela.jpg</t>
  </si>
  <si>
    <t>KUMPULAN PANTUN PUISI ASLI ANAK NEGERI</t>
  </si>
  <si>
    <t>YOSE RIZAL</t>
  </si>
  <si>
    <t>KASWATI - SHINTYA YOSEVA</t>
  </si>
  <si>
    <t>GARDA MEDIA</t>
  </si>
  <si>
    <t>979-99769-7-9</t>
  </si>
  <si>
    <t>811 Kumpulan Pantun - Puisi Asli Anak Negeri.jpg</t>
  </si>
  <si>
    <t>KUMPULAN PUISI DARI HATI</t>
  </si>
  <si>
    <t>NURSELAWITRI</t>
  </si>
  <si>
    <t>978-602-9108-21-7</t>
  </si>
  <si>
    <t>811 Kumpulan Puisi dari Hati.jpg</t>
  </si>
  <si>
    <t>KUMPULAN SAJAK TOTO SUDARTO BACHTIAR | SUARA, ETSA, DESAH</t>
  </si>
  <si>
    <t>TOTO SUDARTO BACHTIAR</t>
  </si>
  <si>
    <t>PAMUSUK ENESTE</t>
  </si>
  <si>
    <t>GRASINDO</t>
  </si>
  <si>
    <t>811 Kumpulan Sajak Toto Sudarto Bachtiar.jpg</t>
  </si>
  <si>
    <t>20 CERITA POPULER ISLAMI</t>
  </si>
  <si>
    <t>CERITA ISLAM</t>
  </si>
  <si>
    <t>PERAHU BERLAYAR SAMPAI BINTANG (KUMPULAN SAJAK)</t>
  </si>
  <si>
    <t>CECEP SYAMSUL HARI</t>
  </si>
  <si>
    <t>811 Perahu Berlayar Sampai Bintang.jpg</t>
  </si>
  <si>
    <t>SAJAK-SAJAK SEPATU TUA</t>
  </si>
  <si>
    <t>978-979-419-407-2</t>
  </si>
  <si>
    <t>BENTANG HARIRING</t>
  </si>
  <si>
    <t>819 Bentang Hariring.jpg</t>
  </si>
  <si>
    <t>TAJUG LEUTIK DI PASISIAN</t>
  </si>
  <si>
    <t>819 Tajug Leutik di Pasisian.jpg</t>
  </si>
  <si>
    <t>LAILAHAILALLAH</t>
  </si>
  <si>
    <t>819 Lailahailallah.jpg</t>
  </si>
  <si>
    <t>DEMUNG JANGGALA</t>
  </si>
  <si>
    <t>TATANG SUMARSONI</t>
  </si>
  <si>
    <t>AYI SACADIPURA</t>
  </si>
  <si>
    <t>819 Demung Janggala.jpg</t>
  </si>
  <si>
    <t>SI PASER</t>
  </si>
  <si>
    <t>819 Si Paser.jpg</t>
  </si>
  <si>
    <t>MISS HOLA HOLIC</t>
  </si>
  <si>
    <t>VANNY CHRISMA W</t>
  </si>
  <si>
    <t>RINA LUBIS</t>
  </si>
  <si>
    <t>de TEENS</t>
  </si>
  <si>
    <t>KECIL KECIL PUNYA KARYA : RAHASIA REIKO</t>
  </si>
  <si>
    <t>AVIE RUSHINA</t>
  </si>
  <si>
    <t>DADAN RAMADHAN DAN NUNIK UTAMI</t>
  </si>
  <si>
    <t>PT MIZAN PUSTAKA</t>
  </si>
  <si>
    <t>978-979-066-972-7</t>
  </si>
  <si>
    <t>813 Kecil-Kecil Punya Karya : Rahasia Reiko.jpg</t>
  </si>
  <si>
    <t>BABALIK PIKIR</t>
  </si>
  <si>
    <t>SAMSOEDI</t>
  </si>
  <si>
    <t>819 Babalik Pikir.jpg</t>
  </si>
  <si>
    <t>ANAK BERHATI BAJA</t>
  </si>
  <si>
    <t>ADHY ASMARA</t>
  </si>
  <si>
    <t>978-979-027-225-5</t>
  </si>
  <si>
    <t>813 Anak Berhati Baja.jpg</t>
  </si>
  <si>
    <t>MAAFKAN NINA, NEK!</t>
  </si>
  <si>
    <t>FAHRI ASIZA - RIDHA ANWAR</t>
  </si>
  <si>
    <t>LINI ZIKRUL KIDS</t>
  </si>
  <si>
    <t>813 Maafkan Nina, Nek!.jpg</t>
  </si>
  <si>
    <t>THE SUPERSTAR'S DAUGHTER</t>
  </si>
  <si>
    <t>RISTEE</t>
  </si>
  <si>
    <t>978-979-22-7457-8</t>
  </si>
  <si>
    <t>813 The Superstar's Daughter.jpg</t>
  </si>
  <si>
    <t>HANTU POJOK RUMAH</t>
  </si>
  <si>
    <t>BAMBANG JOKO SUSILO</t>
  </si>
  <si>
    <t>SYERIF NURHAKIM</t>
  </si>
  <si>
    <t>978-979-063-551-7</t>
  </si>
  <si>
    <t>TERBAWA ARUS</t>
  </si>
  <si>
    <t>978-602-9106-01-5</t>
  </si>
  <si>
    <t>813 Terbawa Arus.jpeg</t>
  </si>
  <si>
    <t>RENDRA | BALLADA ORANG-ORANG TERCINTA</t>
  </si>
  <si>
    <t>811 Ballada Orang-orang Tercinta.jpg</t>
  </si>
  <si>
    <t>SUKU DAYAK</t>
  </si>
  <si>
    <t>KUMPULAN SASTRA</t>
  </si>
  <si>
    <t>DJUMRI OBENG</t>
  </si>
  <si>
    <t>979-407-356-3</t>
  </si>
  <si>
    <t>808.1 Suku Dayak.jpg</t>
  </si>
  <si>
    <t>POTRET PANJANG SEORANG PENGUNJUNG PANTAI SANUR</t>
  </si>
  <si>
    <t>KUMPULAN SYAIR</t>
  </si>
  <si>
    <t>ABDUL HADI W.M</t>
  </si>
  <si>
    <t>CV. MOUNTINDO MITRA ABADI</t>
  </si>
  <si>
    <t>979-1087-01-6</t>
  </si>
  <si>
    <t>AYAT-AYAT API</t>
  </si>
  <si>
    <t>KUMPULAN SAJAK</t>
  </si>
  <si>
    <t>PT. PUSTAKA UTAMA GRAFITI</t>
  </si>
  <si>
    <t>979-444-437-5</t>
  </si>
  <si>
    <t>HUMOR PERSIB + HUMOR MENGBAL SEJENNA</t>
  </si>
  <si>
    <t>819 Humor Persib + Humor Mengbal Sejena.jpg</t>
  </si>
  <si>
    <t>KATALIMBENG ANGEN-ANGEN | KUMPULAN CARITA PONDOK</t>
  </si>
  <si>
    <t>819 Katalimbeng Angen-Angen - Kumpulan Carita Pondok.jpg</t>
  </si>
  <si>
    <t>MEMBUAT GULA SEMUT</t>
  </si>
  <si>
    <t>SUWARDONO</t>
  </si>
  <si>
    <t>813 Membuat Gula Semut.jpg</t>
  </si>
  <si>
    <t>KECIL-KECIL PUNYA KARYA | SUARA HATI DEWA</t>
  </si>
  <si>
    <t>DEWA</t>
  </si>
  <si>
    <t>978-979-752-953-6</t>
  </si>
  <si>
    <t>HIKAYAT PADI &amp; ORANG BERSAWAH</t>
  </si>
  <si>
    <t>S. HASANAH</t>
  </si>
  <si>
    <t>CV PIONIR JAYA</t>
  </si>
  <si>
    <t>398.2 Hikayat Padi &amp; Orang Bersawah.jpg</t>
  </si>
  <si>
    <t>MENGEJAR KEBAHAGIAAN</t>
  </si>
  <si>
    <t>B. HINDARA, SE</t>
  </si>
  <si>
    <t>978-979-9551-23-8</t>
  </si>
  <si>
    <t>CARITA NU CAN ANGGEUS</t>
  </si>
  <si>
    <t>INGGIT ZENIANTY FATMA</t>
  </si>
  <si>
    <t>819 Carita Nu Can Anggeus.jpg</t>
  </si>
  <si>
    <t>CATATAN SUASANA</t>
  </si>
  <si>
    <t>SLAMET SUKIRNANTO</t>
  </si>
  <si>
    <t>811 Catatan Suasana.jpg</t>
  </si>
  <si>
    <t>40 DONGENG ENTENG TI PASANTREN</t>
  </si>
  <si>
    <t>RAF</t>
  </si>
  <si>
    <t>819 40 Dongeng Enteng Ti Pasantren.jpg</t>
  </si>
  <si>
    <t>BEREGEJED | KUMPULAN GUGUYONAN SUNDA</t>
  </si>
  <si>
    <t>GUS BALLON</t>
  </si>
  <si>
    <t>819 Beregejed.jpg</t>
  </si>
  <si>
    <t>JURIG JENGKOL</t>
  </si>
  <si>
    <t>YUYUN YULISTIANI</t>
  </si>
  <si>
    <t>819 Jurig Jengkol.jpg</t>
  </si>
  <si>
    <t>YAMANIWA</t>
  </si>
  <si>
    <t>NETTY VIRGIANTINI</t>
  </si>
  <si>
    <t>978-602-03-0017-7</t>
  </si>
  <si>
    <t>TIADA - GONE</t>
  </si>
  <si>
    <t>LISA McMANN</t>
  </si>
  <si>
    <t>DINI PANDIA</t>
  </si>
  <si>
    <t>813 Tiada - Gone.jpg</t>
  </si>
  <si>
    <t>HEY CONCHITA!</t>
  </si>
  <si>
    <t>MARTHINO ANDRIES</t>
  </si>
  <si>
    <t>KATAKITA</t>
  </si>
  <si>
    <t>978-979-22-8445-4</t>
  </si>
  <si>
    <t>810 Hey Conchita!.jpg</t>
  </si>
  <si>
    <t>RUNAWAY | KABUR</t>
  </si>
  <si>
    <t>MEG CABOT</t>
  </si>
  <si>
    <t>TUKARAN PACAR</t>
  </si>
  <si>
    <t>SANDI SITUMORANG,(T. )</t>
  </si>
  <si>
    <t>BENEDICTA RINI W</t>
  </si>
  <si>
    <t>CV ANDI OFFSET</t>
  </si>
  <si>
    <t>813 Tukaran Pacar.jpg</t>
  </si>
  <si>
    <t>CABE RAWIT | KUMPULAN HUMOR MENGGIGIT UNTUK ANAK KREATIF</t>
  </si>
  <si>
    <t>808.7</t>
  </si>
  <si>
    <t>HUMOR</t>
  </si>
  <si>
    <t>TIM REDAKSI PENERBIT ARENA</t>
  </si>
  <si>
    <t>ARENA</t>
  </si>
  <si>
    <t>808.7 Cabe Rawit.jpg</t>
  </si>
  <si>
    <t>THE BOX OF AMFARHEES</t>
  </si>
  <si>
    <t>MASARAH BEY</t>
  </si>
  <si>
    <t>HUSNI KAMAL</t>
  </si>
  <si>
    <t>813 The Box of Amfarhees.jpg</t>
  </si>
  <si>
    <t>DI ATAS BUKIT TUHAN| MY SALWA MY PALESTINE</t>
  </si>
  <si>
    <t>IBRAHIM FAWAL</t>
  </si>
  <si>
    <t>979-8394-56-9</t>
  </si>
  <si>
    <t>813 My Salwa My Palestine.jpeg</t>
  </si>
  <si>
    <t>THE JOSHUA FILES #4 | DARK PARALLEL | DUNIA PARALEL</t>
  </si>
  <si>
    <t>HARRIS (M.G)</t>
  </si>
  <si>
    <t>813 THE JOSHUA FILES #4 | DARK PARALLEL | DUNIA PARALEL.jpg</t>
  </si>
  <si>
    <t>APA YANG TERJADI KETIKA HUJAN DATANG?</t>
  </si>
  <si>
    <t>551.577</t>
  </si>
  <si>
    <t>HUJAN</t>
  </si>
  <si>
    <t>551.577 Apa yang Terjadi Ketika Hujan Datang?.jpg</t>
  </si>
  <si>
    <t>EDENSOR</t>
  </si>
  <si>
    <t>ANDREA HIRATA</t>
  </si>
  <si>
    <t>IMAM RISDIYANTO</t>
  </si>
  <si>
    <t>PT BENTANG PUSTAKA</t>
  </si>
  <si>
    <t>813 Edensor.jpg</t>
  </si>
  <si>
    <t>MARY POPPINS COMES BACK</t>
  </si>
  <si>
    <t>P.L.TRAVERS</t>
  </si>
  <si>
    <t>PRISCA PRIMASARI</t>
  </si>
  <si>
    <t>MIZAN PUSTAKA</t>
  </si>
  <si>
    <t>978-602-9225-59-4</t>
  </si>
  <si>
    <t>MASK [S]</t>
  </si>
  <si>
    <t>AYA SWORDS</t>
  </si>
  <si>
    <t>FANTI GEMALA</t>
  </si>
  <si>
    <t>813 MASKS.jpg</t>
  </si>
  <si>
    <t>MISTERI PERMATA AL-QASHR AZ-ZAHABI | THE BATUTAH SECRET</t>
  </si>
  <si>
    <t>EMJI</t>
  </si>
  <si>
    <t>SAID KAMIL</t>
  </si>
  <si>
    <t>PT METAMIND</t>
  </si>
  <si>
    <t>813 Misteri Permata Al Qashr Az-Zahabi.jpg</t>
  </si>
  <si>
    <t>THE BARTIMAEUS TRILOGY | PTOLEMY'S GATE</t>
  </si>
  <si>
    <t>SASTRA</t>
  </si>
  <si>
    <t>JONATHAN STROUD</t>
  </si>
  <si>
    <t>978-602-03-00391-8</t>
  </si>
  <si>
    <t>THREE WEDDINGS AND JANE AUSTEN</t>
  </si>
  <si>
    <t>PRIMA SANTIKA</t>
  </si>
  <si>
    <t>NANA SOEBIANTO</t>
  </si>
  <si>
    <t>813 Three Weddings and Jane Austen.jpg</t>
  </si>
  <si>
    <t>FRACTURED</t>
  </si>
  <si>
    <t>TERI TERRY</t>
  </si>
  <si>
    <t>978-602-249-402-7</t>
  </si>
  <si>
    <t>813 Fractured.jpg</t>
  </si>
  <si>
    <t>THE KAMPRETOZ</t>
  </si>
  <si>
    <t>UKI L</t>
  </si>
  <si>
    <t>978-602-02-0511-3</t>
  </si>
  <si>
    <t>THE JOSHUA FILES #2 | ICE SHOCK</t>
  </si>
  <si>
    <t>M.G HARRIS</t>
  </si>
  <si>
    <t>978-979-22-6494-4</t>
  </si>
  <si>
    <t>813 The Joshua Files #4 - Dark Parallel.jpg</t>
  </si>
  <si>
    <t>ILUSI IMPERIA</t>
  </si>
  <si>
    <t>AKMAL NASERY BASRAL</t>
  </si>
  <si>
    <t>IRNA PERMANASARI</t>
  </si>
  <si>
    <t>978-602-03-0176-1</t>
  </si>
  <si>
    <t>SALAH PILIH</t>
  </si>
  <si>
    <t>NUR ST. ISKANDAR</t>
  </si>
  <si>
    <t>TIM BALAI PUSTAKA</t>
  </si>
  <si>
    <t>979-407-178-1</t>
  </si>
  <si>
    <t>810 Salah Pilih.jpg</t>
  </si>
  <si>
    <t>RINDU</t>
  </si>
  <si>
    <t>ANDRIYATI</t>
  </si>
  <si>
    <t>978-602-8997-90-4</t>
  </si>
  <si>
    <t>PANGERAN KELAS</t>
  </si>
  <si>
    <t>HENDRA PUTRA</t>
  </si>
  <si>
    <t>HERI PUTRA</t>
  </si>
  <si>
    <t>BINTANG MEDIA</t>
  </si>
  <si>
    <t>978-602-6940-88-9</t>
  </si>
  <si>
    <t>MISTERI KAMPUNG HITAM</t>
  </si>
  <si>
    <t>YOVITA SISWATI</t>
  </si>
  <si>
    <t>PRADIKHA BESTARI</t>
  </si>
  <si>
    <t>978-979-91-0752-7</t>
  </si>
  <si>
    <t>FANTASY</t>
  </si>
  <si>
    <t>NOVELLINA A</t>
  </si>
  <si>
    <t>RUTH PRISCILIA ANGELINA</t>
  </si>
  <si>
    <t>978-602-03-0355-0</t>
  </si>
  <si>
    <t>SCARLET | THE LUNAR CHRONICLES</t>
  </si>
  <si>
    <t>MARISSA MEYER</t>
  </si>
  <si>
    <t>SELSA CHINTYA</t>
  </si>
  <si>
    <t>SPRING</t>
  </si>
  <si>
    <t>978-602-71505-6-0</t>
  </si>
  <si>
    <t>813  Scarlet - The Lunar Chronicles.jpg</t>
  </si>
  <si>
    <t>MASA ELIR</t>
  </si>
  <si>
    <t>HANS J. GUMULIA</t>
  </si>
  <si>
    <t>THE LUNCH GOSSIP</t>
  </si>
  <si>
    <t>TRIA BARMAWI</t>
  </si>
  <si>
    <t>978-979-22-3394-0</t>
  </si>
  <si>
    <t>MOLLY MOON'S</t>
  </si>
  <si>
    <t>GEORGIA BYING</t>
  </si>
  <si>
    <t>978-979-22-2640-9</t>
  </si>
  <si>
    <t>CINTA PALING RUMIT</t>
  </si>
  <si>
    <t>BOY CANDRA</t>
  </si>
  <si>
    <t>WIDYAWATI OKTAVIA</t>
  </si>
  <si>
    <t>KATA DEPAN</t>
  </si>
  <si>
    <t>979-602-6475-96-1</t>
  </si>
  <si>
    <t>BLUE VINO</t>
  </si>
  <si>
    <t>FISCHER (K. )</t>
  </si>
  <si>
    <t>DINI NOVITA SARI</t>
  </si>
  <si>
    <t>978-979-22-8019-7</t>
  </si>
  <si>
    <t>813 Blue Vino.jpg</t>
  </si>
  <si>
    <t>PERGI</t>
  </si>
  <si>
    <t>TRIANA RAHMAWATI</t>
  </si>
  <si>
    <t>TRIANGULAR LABYRINTH</t>
  </si>
  <si>
    <t>LOMMIE EPHING</t>
  </si>
  <si>
    <t>VERONICA VONNY</t>
  </si>
  <si>
    <t>978-602-03-0253-9</t>
  </si>
  <si>
    <t>KUAJAK KAU KE HUTAN DAN TERSESAT BERDUA</t>
  </si>
  <si>
    <t>DIAN NITAMI</t>
  </si>
  <si>
    <t>MEDIAKITA</t>
  </si>
  <si>
    <t>TELAGA RINDU</t>
  </si>
  <si>
    <t>PAK PRESIDEN MENYANYI</t>
  </si>
  <si>
    <t>YAPI TAMBAYONG</t>
  </si>
  <si>
    <t>CANDRA GAUTAMA</t>
  </si>
  <si>
    <t>KEPUSTAKAAN POPULER GRAMEDIA</t>
  </si>
  <si>
    <t>978-979-91-0310-9</t>
  </si>
  <si>
    <t>811 Pak Presiden Menyanyi.jpeg</t>
  </si>
  <si>
    <t>MY CURLY LOVE</t>
  </si>
  <si>
    <t>GUNTUR ALAM</t>
  </si>
  <si>
    <t>WINDA VERONICA</t>
  </si>
  <si>
    <t>978-979-91-0597-4</t>
  </si>
  <si>
    <t>LOVASKET | THE LAST GAME 5</t>
  </si>
  <si>
    <t>BUKU NOVEL</t>
  </si>
  <si>
    <t>LUNA TORASHYNGU</t>
  </si>
  <si>
    <t>978-602-03-0594-3</t>
  </si>
  <si>
    <t>813 Lovasket - The Last Game.jpg</t>
  </si>
  <si>
    <t>ARAH LANGKAH</t>
  </si>
  <si>
    <t>FIERSA BESARI</t>
  </si>
  <si>
    <t>AGUS WAHADYO</t>
  </si>
  <si>
    <t>978-979-794-561-9</t>
  </si>
  <si>
    <t>VIRUS DREAMUNUS NEKATISIMUS</t>
  </si>
  <si>
    <t>PUTRI RINDU KINASIH</t>
  </si>
  <si>
    <t>978-979-22-6394-7</t>
  </si>
  <si>
    <t>813 Virus Dreamunus Nekatisimus.jpeg</t>
  </si>
  <si>
    <t>IMPIAN MOIRA</t>
  </si>
  <si>
    <t>DEWIE SEKAR</t>
  </si>
  <si>
    <t>PT IKRAR MANDIRIABADI</t>
  </si>
  <si>
    <t>978-979-22-1660-8</t>
  </si>
  <si>
    <t>TIGA ORANG PENGEMBARA</t>
  </si>
  <si>
    <t>ADE KOSMAYA, WILSON NADEAK, PESU AFTARUDIN</t>
  </si>
  <si>
    <t>PUSTAKA WINA</t>
  </si>
  <si>
    <t>811 Tiga Orang Pengembara.jpg</t>
  </si>
  <si>
    <t>ASSASSIN'S CREED | BROTHERHOOD</t>
  </si>
  <si>
    <t>OLIVER BOWDEN</t>
  </si>
  <si>
    <t>PINGUIN BOOKS</t>
  </si>
  <si>
    <t>978-0-241-95171-2</t>
  </si>
  <si>
    <t>TALES OF HORROR</t>
  </si>
  <si>
    <t>FIKSI INGGRIS</t>
  </si>
  <si>
    <t>BRAM STOKER</t>
  </si>
  <si>
    <t>823 Tales of Horror.jpg</t>
  </si>
  <si>
    <t>THE BLACK CAT</t>
  </si>
  <si>
    <t>JOHN MILNE</t>
  </si>
  <si>
    <t>979-523-066-2</t>
  </si>
  <si>
    <t>823 The Black Cat.jpg</t>
  </si>
  <si>
    <t>THE SMUGGLER</t>
  </si>
  <si>
    <t>PIERS PLOWRIGHT</t>
  </si>
  <si>
    <t>823 The Smuggler.jpg</t>
  </si>
  <si>
    <t>THE QUEEN OF DEATH</t>
  </si>
  <si>
    <t>979-523-011-5</t>
  </si>
  <si>
    <t>823 The Queen of Death.jpg</t>
  </si>
  <si>
    <t>DARI AVE MARIA KE JALAN LAIN KE ROMA</t>
  </si>
  <si>
    <t>IDRUS</t>
  </si>
  <si>
    <t>TIM EDITOR BALAI PUSTAKA</t>
  </si>
  <si>
    <t>813 Dari Ave Maria Ke Jalan Lain Ke Roma.jpeg</t>
  </si>
  <si>
    <t>WILLIAM</t>
  </si>
  <si>
    <t>RISA SARASWATI</t>
  </si>
  <si>
    <t>SUMMER JAZZY</t>
  </si>
  <si>
    <t>PT BUKUNE KREATIF CIPTA</t>
  </si>
  <si>
    <t>813 William.jpg</t>
  </si>
  <si>
    <t>NGAKAK BARENG 101 WANNA.ONE</t>
  </si>
  <si>
    <t>NABILA ZAHWA PRIMASTI</t>
  </si>
  <si>
    <t>SONY ADAMS</t>
  </si>
  <si>
    <t>HISTERIA</t>
  </si>
  <si>
    <t>978-602-5638-74-9</t>
  </si>
  <si>
    <t>RATU SALJU</t>
  </si>
  <si>
    <t>H. C ANDERSEN</t>
  </si>
  <si>
    <t>JIA EFFENDIE</t>
  </si>
  <si>
    <t>ATRIA</t>
  </si>
  <si>
    <t>978-602-71458-2-5</t>
  </si>
  <si>
    <t>SENGSARA MEMBAWA NIKMAT</t>
  </si>
  <si>
    <t>SUTAN SATI</t>
  </si>
  <si>
    <t>TIM EDITOR BALAI PU</t>
  </si>
  <si>
    <t>813 Sengsara Membawa Nikmat.jpg</t>
  </si>
  <si>
    <t>AKU INI BINATANG JALANG</t>
  </si>
  <si>
    <t>811 Aku Ini Binatang Jalang.jpg</t>
  </si>
  <si>
    <t>SATU HARI DI 2018</t>
  </si>
  <si>
    <t>MEDIA KITA</t>
  </si>
  <si>
    <t>813 Satu Hari Di 2018.jpg</t>
  </si>
  <si>
    <t>CINTA SELAMANYA</t>
  </si>
  <si>
    <t>EIDELWEIS ALMIRA</t>
  </si>
  <si>
    <t>LATIF</t>
  </si>
  <si>
    <t>ZETTU</t>
  </si>
  <si>
    <t>978-602-1298-30-5</t>
  </si>
  <si>
    <t>NOT MINE</t>
  </si>
  <si>
    <t>DELIA ANGELA</t>
  </si>
  <si>
    <t>978-602-03-0192-1</t>
  </si>
  <si>
    <t>SONNENBLUME</t>
  </si>
  <si>
    <t>ARY YULISTIANA</t>
  </si>
  <si>
    <t>813 Sonnenblume.jpeg</t>
  </si>
  <si>
    <t>FLAVIA | FIGHT BACK</t>
  </si>
  <si>
    <t>LEA AGUSTINA CITRA</t>
  </si>
  <si>
    <t>VERONICA B. VONNY</t>
  </si>
  <si>
    <t>813 Flavia - Fights Back.jpg</t>
  </si>
  <si>
    <t>GHOSTGIRL - LOVESTICK</t>
  </si>
  <si>
    <t>TONYA HURLEY</t>
  </si>
  <si>
    <t>IDA WAJDI</t>
  </si>
  <si>
    <t>813 Ghost girl love stick.jpg</t>
  </si>
  <si>
    <t>STASIUN KERETA SUATU SENJA</t>
  </si>
  <si>
    <t>WILSON NADEAK</t>
  </si>
  <si>
    <t>YAYASAN PUSTAKA WINA</t>
  </si>
  <si>
    <t>811 Stasiun Kereta Suatu Senja.jpg</t>
  </si>
  <si>
    <t>979-523-048-8</t>
  </si>
  <si>
    <t>ANANTA PRAHADI</t>
  </si>
  <si>
    <t>RAK BUKU</t>
  </si>
  <si>
    <t>BUKU HARIAN SEORANG PENIPU</t>
  </si>
  <si>
    <t>ESAI</t>
  </si>
  <si>
    <t>PUSTAKA KITA</t>
  </si>
  <si>
    <t>814 Buku Harian Seorang Penipu.jpg</t>
  </si>
  <si>
    <t>AKU</t>
  </si>
  <si>
    <t>BIOGRAFI SASTRAWAN</t>
  </si>
  <si>
    <t>SJUMAN DJAYA</t>
  </si>
  <si>
    <t>155 hlm;
20 cm</t>
  </si>
  <si>
    <t>920 AKU.jpg</t>
  </si>
  <si>
    <t>DI NAGRI KATUMBIRI</t>
  </si>
  <si>
    <t>819 Di Nagri Katumbiri.jpg</t>
  </si>
  <si>
    <t>RINDU DENDAM</t>
  </si>
  <si>
    <t>TATENGKENG, (J.E)</t>
  </si>
  <si>
    <t>PT DUNIA PUSTAKA JAYA</t>
  </si>
  <si>
    <t>978-9789-419-444-7</t>
  </si>
  <si>
    <t>811 Rindu Dendam.jpg</t>
  </si>
  <si>
    <t>SITTI NURBAYA | KASIH TAK SAMPAI</t>
  </si>
  <si>
    <t>MARAH RUSLI</t>
  </si>
  <si>
    <t>979-407-167-6</t>
  </si>
  <si>
    <t>813 Sitti Nurbaya - Kasih Tak Sampai.jpg</t>
  </si>
  <si>
    <t>DARI SINGKAWANG KE SAMPIT</t>
  </si>
  <si>
    <t>PUISI ESAI</t>
  </si>
  <si>
    <t>JAMAL D. RAHMAN</t>
  </si>
  <si>
    <t>JURNAL SAJAK</t>
  </si>
  <si>
    <t>978-602-17438-4-3</t>
  </si>
  <si>
    <t>811 Dari Singkawang ke Sampit.jpg</t>
  </si>
  <si>
    <t>AKU MANUSIA, KAMU BUKAN TUHAN</t>
  </si>
  <si>
    <t>BHINA WIRIADINATA</t>
  </si>
  <si>
    <t>PRADITA SETI RAHAYU</t>
  </si>
  <si>
    <t>813 Aku Manusia, Kamu Bukan Tuhan.jpg</t>
  </si>
  <si>
    <t>KISAH ANAK CAHAYA</t>
  </si>
  <si>
    <t>ARSANDA</t>
  </si>
  <si>
    <t>ANI NURAINI S</t>
  </si>
  <si>
    <t>BHUANA SASTRA</t>
  </si>
  <si>
    <t>813 Kisah Anak Cahaya.jpg</t>
  </si>
  <si>
    <t>DI AMBANG KEMATIAN</t>
  </si>
  <si>
    <t>EKO HARTONO</t>
  </si>
  <si>
    <t>GRACE R S</t>
  </si>
  <si>
    <t>813 Di Ambang Kematian.jpg</t>
  </si>
  <si>
    <t>CATATAN JAIL DI SEKOLAH</t>
  </si>
  <si>
    <t>NOVEL INDONESIA</t>
  </si>
  <si>
    <t>MAULANA FARIS</t>
  </si>
  <si>
    <t>813 Catatan Jail di Sekolah.jpg</t>
  </si>
  <si>
    <t>AKU INGIN MENJADI ARSITEK</t>
  </si>
  <si>
    <t>TINA DAN DINI</t>
  </si>
  <si>
    <t>978-979-749-092-8</t>
  </si>
  <si>
    <t>DITERBANGKAN KATA-KATA | ENAM KUMPULAN SAJAK</t>
  </si>
  <si>
    <t>AGUS R. SARJONO</t>
  </si>
  <si>
    <t>RAMADHAN M.S</t>
  </si>
  <si>
    <t>TIFA PUBLISHING HOUSE</t>
  </si>
  <si>
    <t>979-1087-02-2</t>
  </si>
  <si>
    <t>811 Diterbangkan Kata-Kata - Enam Kumpulan Sajak.jpg</t>
  </si>
  <si>
    <t>BERBAKTI UNTUK MEMBANGUN</t>
  </si>
  <si>
    <t>A. AMILIA</t>
  </si>
  <si>
    <t>978-979-027-218-7</t>
  </si>
  <si>
    <t>PRIANGAN SI JELITA | SEBUAH TELAAH</t>
  </si>
  <si>
    <t>KUTIPAN PUISI</t>
  </si>
  <si>
    <t>JIWA ATMAJA</t>
  </si>
  <si>
    <t>ANGKSA BANDUNG</t>
  </si>
  <si>
    <t>2 GENERASI | KUMPULAN PUISI MANDARIN SERTA TERJEMAHANNYA</t>
  </si>
  <si>
    <t>HENI SURYANI &amp; E. TRIXIE</t>
  </si>
  <si>
    <t>BYPASS</t>
  </si>
  <si>
    <t>978-602-99693-9-0</t>
  </si>
  <si>
    <t>811 2 Generasi.jpg</t>
  </si>
  <si>
    <t>TIN TON</t>
  </si>
  <si>
    <t>CERITA NON FIKSI</t>
  </si>
  <si>
    <t>NOORCA MARENDRA M</t>
  </si>
  <si>
    <t>`</t>
  </si>
  <si>
    <t>INDOCAMP</t>
  </si>
  <si>
    <t>813 Tin Ton.jpg</t>
  </si>
  <si>
    <t>PENGETAHUAN TENTANG PUISI</t>
  </si>
  <si>
    <t>AMINUDIN &amp; REISSA Y</t>
  </si>
  <si>
    <t>978-602-8714-21-1</t>
  </si>
  <si>
    <t>811 Pengetahuan Tentang Puisi.jpg</t>
  </si>
  <si>
    <t>ANTOLOGI PUISI SENANDUNG ANAK BANGSA (100 PUISI)</t>
  </si>
  <si>
    <t>Y.P.B. WIRATMOKO</t>
  </si>
  <si>
    <t>978-602-8988-38-4</t>
  </si>
  <si>
    <t>MURDER AT MORTLOCK HALL</t>
  </si>
  <si>
    <t>DONALD DALLAS</t>
  </si>
  <si>
    <t>823 Murder at Mortlock Hall.jpg</t>
  </si>
  <si>
    <t>TEORI SASTRA | KAJIAN TEORI DAN PRAKTIK</t>
  </si>
  <si>
    <t>Dr. M. RAFIEK, M.Pd</t>
  </si>
  <si>
    <t>Drs. NURUL FALAH ATIF</t>
  </si>
  <si>
    <t>978-602-8650-12-0</t>
  </si>
  <si>
    <t>801 Teori Sastra - Kajian Teori dan Praktik.jpg</t>
  </si>
  <si>
    <t>LUKSADO | ANTOLOGI CERITA PENDEK</t>
  </si>
  <si>
    <t>IWAN YUSI</t>
  </si>
  <si>
    <t>PT. DIAN ARIESTA</t>
  </si>
  <si>
    <t>82 hlm; 21 cm</t>
  </si>
  <si>
    <t>813 Luksado - Antologi Cerita Pendek.jpg</t>
  </si>
  <si>
    <t>SI JALU</t>
  </si>
  <si>
    <t>SANTOSA</t>
  </si>
  <si>
    <t>979-95857-7-5</t>
  </si>
  <si>
    <t>813 Si Jalu.jpeg</t>
  </si>
  <si>
    <t>PUTRI AJAG</t>
  </si>
  <si>
    <t>BUDAK MOTEKAR</t>
  </si>
  <si>
    <t>MATA AIR</t>
  </si>
  <si>
    <t>819 Budak Motekar.jpg</t>
  </si>
  <si>
    <t>SURGA JUGA ADA DI KAKI AYAH</t>
  </si>
  <si>
    <t>GOL A GONG - LANG LANG RANDHAWA</t>
  </si>
  <si>
    <t>MUHZEN DEN</t>
  </si>
  <si>
    <t>978-602-9123-36-4</t>
  </si>
  <si>
    <t>TERDAMPAR DI PULAU KARANG</t>
  </si>
  <si>
    <t>MAHDIN</t>
  </si>
  <si>
    <t>979-3306-03-3</t>
  </si>
  <si>
    <t>MISTERI HUTAN LARANGAN</t>
  </si>
  <si>
    <t>PILEMON GUNENA</t>
  </si>
  <si>
    <t>979-95857-9-1</t>
  </si>
  <si>
    <t>813 Misteri Hutan Larangan.jpg</t>
  </si>
  <si>
    <t>PESANTREN TERAKHIR | HIKMAH PERBEDAAN</t>
  </si>
  <si>
    <t>BUKU CERITA</t>
  </si>
  <si>
    <t>WAHJOE, EKKY, WIDIONO</t>
  </si>
  <si>
    <t>COMMON GROUND</t>
  </si>
  <si>
    <t>978-979-99677-3-2</t>
  </si>
  <si>
    <t>813 Pesantren Terakhir.jpg</t>
  </si>
  <si>
    <t>ANTOLOGI PUISI | LARAKU</t>
  </si>
  <si>
    <t>UWANG WANINGSIH</t>
  </si>
  <si>
    <t>811 Antologi Puisi Laraku.jpg</t>
  </si>
  <si>
    <t>SI TUKANG SABLON</t>
  </si>
  <si>
    <t>NUR LAILI M</t>
  </si>
  <si>
    <t>978-979-040-044-3</t>
  </si>
  <si>
    <t>813 Si Tukang Sablon.jpg</t>
  </si>
  <si>
    <t>KARENA SOMBONG DAN SERAKAH</t>
  </si>
  <si>
    <t>ICHWAN BUDI UTOMO</t>
  </si>
  <si>
    <t>WAHYUDIN MA</t>
  </si>
  <si>
    <t>MEDIATAMA</t>
  </si>
  <si>
    <t>DI SANA JALAN SEMAKIN TERBUKA</t>
  </si>
  <si>
    <t>ANGGRAENI</t>
  </si>
  <si>
    <t>RICO B. HALIM</t>
  </si>
  <si>
    <t>CV JAYA ABADI</t>
  </si>
  <si>
    <t>978-979-15321-6-7</t>
  </si>
  <si>
    <t>813 Di Sana Jalan Semakin Terbuka.jpg</t>
  </si>
  <si>
    <t>THE CRAB AND THE FOX AND OTHER STORY</t>
  </si>
  <si>
    <t>DIDIK DJUNEDI</t>
  </si>
  <si>
    <t>ROBINSON</t>
  </si>
  <si>
    <t>978-602-8608-40-4</t>
  </si>
  <si>
    <t>SABAR DAN IKHTIAR DALAM KEHIDUPAN</t>
  </si>
  <si>
    <t>SONNY S</t>
  </si>
  <si>
    <t>IWAN D</t>
  </si>
  <si>
    <t>978-979-24-1632-9</t>
  </si>
  <si>
    <t>813 Sabar dan Ikhtiar dalam Kehidupan.jpg</t>
  </si>
  <si>
    <t>JAYENGRANA : PERANG SUKSESI JAWA KE-2</t>
  </si>
  <si>
    <t>SASTRA DARI BAHASA JAWA</t>
  </si>
  <si>
    <t>IAN MUSTAFA</t>
  </si>
  <si>
    <t>WIDANINGSIH</t>
  </si>
  <si>
    <t>PT BINTANG ILMU</t>
  </si>
  <si>
    <t>978-602-8241-51-9</t>
  </si>
  <si>
    <t>KURA-KURA PEMANJAT POHON SERTA CERITA LAINNYA</t>
  </si>
  <si>
    <t>ANDON P</t>
  </si>
  <si>
    <t>CAHAYA PUSTAKA RAGA</t>
  </si>
  <si>
    <t>978-602-8155-58-8</t>
  </si>
  <si>
    <t>813 Kura-Kura Pemanjat Pohon.jpg</t>
  </si>
  <si>
    <t>RUBAH DAN ANGGUR SERTA CERITA LAINNYA</t>
  </si>
  <si>
    <t>IGN ANDON P</t>
  </si>
  <si>
    <t>978-979-3846-48-4</t>
  </si>
  <si>
    <t>JURNAL SAJAK | PUISI PEREMPUAN PEREMPUAN PUISI</t>
  </si>
  <si>
    <t>BUKU SAJAK</t>
  </si>
  <si>
    <t>OCTAVIO PAZ. ANNA AKHMATOVIA, EMILY DICKINSON, GABRIELA MISTRAL, HERTA MULLER, WASLAWA SYMBORSKA</t>
  </si>
  <si>
    <t>TUGAS SUPRIANTO</t>
  </si>
  <si>
    <t>2088-3455</t>
  </si>
  <si>
    <t>811 Jurnal Sajak.jpg</t>
  </si>
  <si>
    <t>THE MOUSE DEER AND HIS MAGIC FLUTE AND OTHER STORY</t>
  </si>
  <si>
    <t>CERITA BAHASA INGGRIS</t>
  </si>
  <si>
    <t>978-602-8155-68-7</t>
  </si>
  <si>
    <t>823 The Mouse Deer and His Magic Flute and other stories.jpg</t>
  </si>
  <si>
    <t>MEMBANGUN BAITULLAH</t>
  </si>
  <si>
    <t>KISAH NABI</t>
  </si>
  <si>
    <t>IBNU NAUVAL</t>
  </si>
  <si>
    <t>978-602-4221-32-5</t>
  </si>
  <si>
    <t>297 Membangun Baitullah.jpg</t>
  </si>
  <si>
    <t>BABY SQUIRREL LEARNT A LESSON AND OTHER STORY</t>
  </si>
  <si>
    <t>FIKSI INGGRIS, PROSA INGGRIS</t>
  </si>
  <si>
    <t>MENJUNJUNG LANGIT DESAKU</t>
  </si>
  <si>
    <t>SANIBAR (S. )</t>
  </si>
  <si>
    <t>SYAHBUDIN</t>
  </si>
  <si>
    <t>CV. JAYA ABADI</t>
  </si>
  <si>
    <t>978-979-15323-3-4</t>
  </si>
  <si>
    <t>813 Menjunjung Langit Desaku.jpg</t>
  </si>
  <si>
    <t>PENEBAR BIBIT KESEGARAN</t>
  </si>
  <si>
    <t>YULIADI</t>
  </si>
  <si>
    <t>PT. BINTANG ILMU</t>
  </si>
  <si>
    <t>978-979-3745-40-4</t>
  </si>
  <si>
    <t>813 Penebar Bibit Kesegaran.jpg</t>
  </si>
  <si>
    <t>NASIHAT UNTUK ANAKKU | KUMPULAN PUISI</t>
  </si>
  <si>
    <t>SUKIMIN</t>
  </si>
  <si>
    <t>978-602-9124-52-1</t>
  </si>
  <si>
    <t>811 Nasihat untuk Anakku - Kumpulan Puisi.jpg</t>
  </si>
  <si>
    <t>THE GOAT'S SECRET AND OTHER STORIES</t>
  </si>
  <si>
    <t>PT CAHAYA PUSTAKA RAGA</t>
  </si>
  <si>
    <t>978-602-8155-59-5</t>
  </si>
  <si>
    <t>823 The Goat's Secret.jpg</t>
  </si>
  <si>
    <t>CARITA KULIT KALDE</t>
  </si>
  <si>
    <t>DUDI INDA</t>
  </si>
  <si>
    <t>978-979-24-1724-1</t>
  </si>
  <si>
    <t>819 Carita Kulit Kalde.jpg</t>
  </si>
  <si>
    <t>BOB'S PRANKS AND OTHER STORIES</t>
  </si>
  <si>
    <t>RENATA POHAN</t>
  </si>
  <si>
    <t>978-602-8155-42-7</t>
  </si>
  <si>
    <t>823 BOB'S PRANKS AND OTHER STORIES.jpg</t>
  </si>
  <si>
    <t>THE TADPOLES LOOK FOR THEIR MOTHER AND OTHER STORIES</t>
  </si>
  <si>
    <t>978-602-8608-46-6</t>
  </si>
  <si>
    <t>823 The Tadpoles Look for Their Mother.jpg</t>
  </si>
  <si>
    <t>THE AXE AND THE TWO TRAVELLERS AND OTHER STORIES</t>
  </si>
  <si>
    <t>823 The Axe and The Two Travellers.jpg</t>
  </si>
  <si>
    <t>DALEM BONCEL</t>
  </si>
  <si>
    <t>978-979-24-1722-7</t>
  </si>
  <si>
    <t>819 Dalem Boncel.jpg</t>
  </si>
  <si>
    <t>NGALAP ELMU BRAJAMUSTI</t>
  </si>
  <si>
    <t>398.2 Ngalap Elmu Brajamusti.jpg</t>
  </si>
  <si>
    <t>KENANGAN DARI GURUKU (KUMPULAN CERPEN)</t>
  </si>
  <si>
    <t>CERPEN</t>
  </si>
  <si>
    <t>PUSTAKA BATAVIA</t>
  </si>
  <si>
    <t>978-602-99441-0-5</t>
  </si>
  <si>
    <t>813 Kenangan dari Guruku.jpg</t>
  </si>
  <si>
    <t>BAGUS RANGIN</t>
  </si>
  <si>
    <t>978-979-24-1718-0</t>
  </si>
  <si>
    <t>398.2 Bagus Rangin.jpg</t>
  </si>
  <si>
    <t>THE MOUSE DEER CHEATS THE FARMER AND OTHER STORIES</t>
  </si>
  <si>
    <t>978-602-8155-01-4</t>
  </si>
  <si>
    <t>823 The Mouse Deer Cheats The Farmer.jpg</t>
  </si>
  <si>
    <t>SEMBURAT MERAH DI KAKI LANGIT</t>
  </si>
  <si>
    <t>SOEKARDI (Y. )</t>
  </si>
  <si>
    <t>KUS Br.</t>
  </si>
  <si>
    <t>978-979-3745-44-2</t>
  </si>
  <si>
    <t>813 Semburat Merah Di Kaki Langit.jpg</t>
  </si>
  <si>
    <t>BURUNG NURI DAN SEMUT</t>
  </si>
  <si>
    <t>TEDI</t>
  </si>
  <si>
    <t>978-979-678-361-8</t>
  </si>
  <si>
    <t>MAHIR PIDATO</t>
  </si>
  <si>
    <t>978-602-9124-01-9</t>
  </si>
  <si>
    <t>KIAT MENULIS CERITA PENDEK</t>
  </si>
  <si>
    <t>808.3</t>
  </si>
  <si>
    <t>MENULIS CERPEN</t>
  </si>
  <si>
    <t>HARRIS EFFENDI THAHAR</t>
  </si>
  <si>
    <t>EDI EFFENDI</t>
  </si>
  <si>
    <t>978-979-665-303-6</t>
  </si>
  <si>
    <t>JIWA KESATRIA</t>
  </si>
  <si>
    <t>DIDI SUMARDI</t>
  </si>
  <si>
    <t>UDI</t>
  </si>
  <si>
    <t>978-602-8363-95-2</t>
  </si>
  <si>
    <t>978-979-24-1738-8</t>
  </si>
  <si>
    <t>LUCKY LUKE: SEPUPU DALTON</t>
  </si>
  <si>
    <t>MORRIS &amp; GOSCINNY</t>
  </si>
  <si>
    <t>NIKEN DJOKOSURATNO S.</t>
  </si>
  <si>
    <t>978-979-27-5305-9</t>
  </si>
  <si>
    <t>KUMPULAN PERIBAHASA, PANTUN, &amp; PUISI</t>
  </si>
  <si>
    <t>MB. RAHIMSYAH. AR</t>
  </si>
  <si>
    <t>GIRI UTAMA</t>
  </si>
  <si>
    <t>TANGAN-TANGAN TERAMPIL</t>
  </si>
  <si>
    <t>LALU SAFI'I</t>
  </si>
  <si>
    <t>978-979-668-037-5</t>
  </si>
  <si>
    <t>ALADIN: MELAWAN RAJA SIHIR DARI AFRIKA</t>
  </si>
  <si>
    <t>BUKU CERITA FIKSI</t>
  </si>
  <si>
    <t>813 Aladin.jpg</t>
  </si>
  <si>
    <t>LITTLE KRISNHA : PENYAMARAN IBLIS</t>
  </si>
  <si>
    <t>SHERLY</t>
  </si>
  <si>
    <t>RAMA</t>
  </si>
  <si>
    <t>978-979-1284-91-2</t>
  </si>
  <si>
    <t>THE SPIDERWICK | RAHASIA LUCINDA</t>
  </si>
  <si>
    <t>TONY DITERLIZZI - HOLLY BLACK</t>
  </si>
  <si>
    <t>DONNA WIDJAJANTO</t>
  </si>
  <si>
    <t>TENGGELAMNYA KAPAL VAN DER WIJCK</t>
  </si>
  <si>
    <t>HAMKA</t>
  </si>
  <si>
    <t>BULAN BINTANG</t>
  </si>
  <si>
    <t>979-418-055-6</t>
  </si>
  <si>
    <t>224 hlm. ; 21 cm.</t>
  </si>
  <si>
    <t>813 Tenggelamnya Kapal Van Der Wijck.jpg</t>
  </si>
  <si>
    <t>TOTTO-CHAN (GADIS CILIK DI JENDELA)</t>
  </si>
  <si>
    <t>TETSUKO KUROYANAGI</t>
  </si>
  <si>
    <t>272 hlm; 20 cm</t>
  </si>
  <si>
    <t>813 Totto-Chan.jpg</t>
  </si>
  <si>
    <t>ADA SURGA DI TAPAK KAKI IBU (KADO TERINDAH UNTUK IBU TERCINTA</t>
  </si>
  <si>
    <t>979-781-689-3</t>
  </si>
  <si>
    <t>KAMBING JANTAN (SEBUAH CATATAN HARIAN PELAJAR BODOH)</t>
  </si>
  <si>
    <t>RADITYA DIKA</t>
  </si>
  <si>
    <t>DENNY INDRA</t>
  </si>
  <si>
    <t>GAGAS MEDIA</t>
  </si>
  <si>
    <t>978-979-3600-69-7</t>
  </si>
  <si>
    <t>813 Kambing Jantan - Sebuah Catatan Harian Pelajar Bodoh.jpg</t>
  </si>
  <si>
    <t>KAMBING JANTAN (SEBUAH KOMIK PELAJAR BODOH)</t>
  </si>
  <si>
    <t>WINDY ARIESTANTI</t>
  </si>
  <si>
    <t>248 hlm; 13x19 cm</t>
  </si>
  <si>
    <t>817 KAMBING JANTAN (SEBUAH KOMIK PELAJAR BODOH).jpg</t>
  </si>
  <si>
    <t>LAYAR TERKEMBANG</t>
  </si>
  <si>
    <t xml:space="preserve">TAKDIR ALISJAHBANA, St. </t>
  </si>
  <si>
    <t>HURI YANI,
NANIK SUSANTI</t>
  </si>
  <si>
    <t>208 hlm; 14,8x21 cm</t>
  </si>
  <si>
    <t>813 Layar Terkembang.jpg</t>
  </si>
  <si>
    <t>DIAN YANG TAK KUNJUNG PADAM</t>
  </si>
  <si>
    <t>158 hlm; 21 cm</t>
  </si>
  <si>
    <t>813 Dian yang Tak Kunjung Padam.jpg</t>
  </si>
  <si>
    <t>ROBOHNYA SURAU KAMI</t>
  </si>
  <si>
    <t xml:space="preserve">NAVIS, A.A. </t>
  </si>
  <si>
    <t>139 hlm; 13,7x20,5 cm</t>
  </si>
  <si>
    <t>813 Robohnya Surau Kami.jpg</t>
  </si>
  <si>
    <t>DJATI KERAMI,
CORMENTYNA SITANGGANG</t>
  </si>
  <si>
    <t>979-666-295-7</t>
  </si>
  <si>
    <t>321 hlm;
22 cm</t>
  </si>
  <si>
    <t>510.3 Kamus Matematika.jpg</t>
  </si>
  <si>
    <t>NOVEL ISLAMI - KUNANG-KUNANG DI KAKI LANGIT</t>
  </si>
  <si>
    <t>DEWINTA NINDYA</t>
  </si>
  <si>
    <t>74 hlm; 14 x 19 cm</t>
  </si>
  <si>
    <t>813 Kunang-Kunang di Kaki Langit.jpg</t>
  </si>
  <si>
    <t>MERAH PUTIH</t>
  </si>
  <si>
    <t>EVA</t>
  </si>
  <si>
    <t>FIQIH ELDHA KARINA</t>
  </si>
  <si>
    <t>PUSPA POPULER</t>
  </si>
  <si>
    <t>62 hlm; 21 cm</t>
  </si>
  <si>
    <t>813 Merah Putih.jpg</t>
  </si>
  <si>
    <t>MERAUT HATI YANG LUKA</t>
  </si>
  <si>
    <t>HARWIMUKA</t>
  </si>
  <si>
    <t>Ir. H. UDANARTO PUDJI LUDWINTO, M.M</t>
  </si>
  <si>
    <t>IRANTI MITRA UTA</t>
  </si>
  <si>
    <t>92 hlm; 21 cm</t>
  </si>
  <si>
    <t>813 Meraut Hati Yang Luka.jpg</t>
  </si>
  <si>
    <t>POHON PISANGKU YANG BERJASA</t>
  </si>
  <si>
    <t>RIAN M. FIRDAUS</t>
  </si>
  <si>
    <t>CV. GAZA PUBLISHING</t>
  </si>
  <si>
    <t>813 Pohon Pisangku yang Berjasa.jpg</t>
  </si>
  <si>
    <t>PETER</t>
  </si>
  <si>
    <t>MARIA M. LUBIS
SYAFIAL RUSTAMA</t>
  </si>
  <si>
    <t>BUKUNE</t>
  </si>
  <si>
    <t>176 hlm; 14x20 cm</t>
  </si>
  <si>
    <t>813 Peter.jpg</t>
  </si>
  <si>
    <t>BUNGA SALIARA</t>
  </si>
  <si>
    <t>LUKMANULHAKIM</t>
  </si>
  <si>
    <t>L FITRIA</t>
  </si>
  <si>
    <t>CV. CITRAUNGGUL LAKSANA</t>
  </si>
  <si>
    <t>813 Bunga Saliara.jpg</t>
  </si>
  <si>
    <t>KAMPUNG HALAMAN YANG INDAH</t>
  </si>
  <si>
    <t>BAYU INDRA</t>
  </si>
  <si>
    <t>52 hlm; 21 cm</t>
  </si>
  <si>
    <t>813 Kampung Halaman yang Indah.jpg</t>
  </si>
  <si>
    <t>TUGAS PENELITIAN PAK GURU</t>
  </si>
  <si>
    <t>DITTA ARIESKA</t>
  </si>
  <si>
    <t>YUNITA WARDHANI</t>
  </si>
  <si>
    <t>813 Tugas Penelitian Pak Guru.jpg</t>
  </si>
  <si>
    <t>KECERDIKAN SI UJANG</t>
  </si>
  <si>
    <t>ZULFIKAR</t>
  </si>
  <si>
    <t>813 Kecerdikan Si Ujang.jpg</t>
  </si>
  <si>
    <t>BATIK MODERN KARYA KARSINO</t>
  </si>
  <si>
    <t>FAJAR DINAR</t>
  </si>
  <si>
    <t>ADRIAN</t>
  </si>
  <si>
    <t>813 Batik Modern Karya Karsino.jpg</t>
  </si>
  <si>
    <t>MENJEMPUT SOEKARNO</t>
  </si>
  <si>
    <t>IRMAYANTI HAYAT</t>
  </si>
  <si>
    <t>74 hlm; 17,6x25 cm</t>
  </si>
  <si>
    <t>813 Menjemput Soekarno.jpg</t>
  </si>
  <si>
    <t>KADO TERINDAH DARI AYAH</t>
  </si>
  <si>
    <t>NUR FARIDA AGUSTINA</t>
  </si>
  <si>
    <t>MUHAMMAD SAPTA SETYOHADI</t>
  </si>
  <si>
    <t>813 Kado Terindah Dari Ayah.jpg</t>
  </si>
  <si>
    <t>EMAS HIJAU DARI RAWA</t>
  </si>
  <si>
    <t>LESTARI A</t>
  </si>
  <si>
    <t>813 Emas Hijau dari Rawa.jpg</t>
  </si>
  <si>
    <t>GAJAH ERICA</t>
  </si>
  <si>
    <t>SYLVIA BISHOP</t>
  </si>
  <si>
    <t>YENNI SAPUTRI</t>
  </si>
  <si>
    <t>178 hlm; 20 cm</t>
  </si>
  <si>
    <t>813 Gajah Erica.jpg</t>
  </si>
  <si>
    <t>JELI MARLUPI (MUTIARA DI BALIK KULIT JERUK)</t>
  </si>
  <si>
    <t>MUHAMMAD SAIDI, M.Pd</t>
  </si>
  <si>
    <t>TAUFIK HENDRA</t>
  </si>
  <si>
    <t>CV. SAHALA ADIDAYATAMA</t>
  </si>
  <si>
    <t>813 Jeli Marlupi.jpg</t>
  </si>
  <si>
    <t>MONEY, LOVE, HAPPINESS</t>
  </si>
  <si>
    <t>AWIE AWAN</t>
  </si>
  <si>
    <t>TH ARIE PRABAWATI</t>
  </si>
  <si>
    <t>CV. ANDI OFFSITE</t>
  </si>
  <si>
    <t>186 hlm; 13x19 cm</t>
  </si>
  <si>
    <t>813 Money, Love, Happiness.jpg</t>
  </si>
  <si>
    <t>SEPERTI HUJAN YANG JATUH KE BUMI</t>
  </si>
  <si>
    <t>284 hlm; 13x19 cm</t>
  </si>
  <si>
    <t>ANAK PERAWAN DISARANG PENYAMUN</t>
  </si>
  <si>
    <t>FIKSI BAHASA INDONESIA</t>
  </si>
  <si>
    <t>S. TAKDIR ALISJAHBANA</t>
  </si>
  <si>
    <t>DEDAUN USIA - ANTOLOGI 50 PUISI</t>
  </si>
  <si>
    <t>ARYA GUNAWAN USIS</t>
  </si>
  <si>
    <t>PT PUSTAKA MEDIA PRATAMA</t>
  </si>
  <si>
    <t>811 Dedaun Usia.jpg</t>
  </si>
  <si>
    <t>PRINCESS ACADEMY - KEPO</t>
  </si>
  <si>
    <t>HUMOR/KOMIK</t>
  </si>
  <si>
    <t>ASSYIFA S. ARUM</t>
  </si>
  <si>
    <t>WIWIT WIJIASTUTI</t>
  </si>
  <si>
    <t>PT CERITA ANAK BANGSA</t>
  </si>
  <si>
    <t>741.5 Komik Princess Academy - Kepo.jpeg</t>
  </si>
  <si>
    <t>MIMPI-MIMPI LINTANG MARYAMAH KARPOV</t>
  </si>
  <si>
    <t>504 hlm; 20,5 cm</t>
  </si>
  <si>
    <t>PAGI GERIMIS</t>
  </si>
  <si>
    <t>FIDYASTRIA SASPIDA</t>
  </si>
  <si>
    <t>PT ELEX MEDIA KOMPUTINDI</t>
  </si>
  <si>
    <t>813 Pagi Gerimis.jpg</t>
  </si>
  <si>
    <t>UNTUK SEBUAH NAMA RINDU TAK BERUJUNG</t>
  </si>
  <si>
    <t>ANA SYAHBANIARWATI</t>
  </si>
  <si>
    <t>SITU SENI</t>
  </si>
  <si>
    <t>811 Untuk Sebuah Nama Rindu Tak Berujung.jpg</t>
  </si>
  <si>
    <t>DIARI HATI - SEHIMPUN PUISI LILI PRIYANI</t>
  </si>
  <si>
    <t>LILI PRIYANI</t>
  </si>
  <si>
    <t>811 Diari Hati.jpg</t>
  </si>
  <si>
    <t>DIANTARA TILU JAMAN</t>
  </si>
  <si>
    <t>CV. ADICIKAL RAHARJA</t>
  </si>
  <si>
    <t>819 Diantara Tilu Jaman.jpg</t>
  </si>
  <si>
    <t>SI KABAYAN JADI WARTAWAN</t>
  </si>
  <si>
    <t>MUHTAR IBNU THALAB</t>
  </si>
  <si>
    <t>204 hlm; 17,8 cm</t>
  </si>
  <si>
    <t>813 Si Kabayan Jadi Wartawan.jpg</t>
  </si>
  <si>
    <t>MELODI RINDU - HIMPUNAN PUISI</t>
  </si>
  <si>
    <t>KHOIRUNISA FITRIANI</t>
  </si>
  <si>
    <t>KEN RIANTO</t>
  </si>
  <si>
    <t>QUERY PITA</t>
  </si>
  <si>
    <t>PRIMADONA ANGELA</t>
  </si>
  <si>
    <t>208 hlm; 20 cm</t>
  </si>
  <si>
    <t>HIGH SCHOOL MUSICAL - STORIES FROM EAST HIGH #16 - STEPPING OUT - AYO COBA HAL BARU!</t>
  </si>
  <si>
    <t>PETER BARSOCCINI</t>
  </si>
  <si>
    <t>813 High School Musical - Stepping Out.jpeg</t>
  </si>
  <si>
    <t>WHOEVER YOU ARE, I LOVE U, MOM</t>
  </si>
  <si>
    <t>IRIS KRASNOW</t>
  </si>
  <si>
    <t>MOH. SIDIK NUDRAHA</t>
  </si>
  <si>
    <t>PT SERAMBI ILMU NUSANTARA</t>
  </si>
  <si>
    <t>170 Whoever You Are, I Love U Mom.jpg</t>
  </si>
  <si>
    <t>BLOOMY BLUE</t>
  </si>
  <si>
    <t>ORINA FAIRINA</t>
  </si>
  <si>
    <t>CICILIA PRIMA</t>
  </si>
  <si>
    <t>SUKU ASMAT SI AHLI UKIR</t>
  </si>
  <si>
    <t>813 Suku Asmat Si Ahli Ukir.jpg</t>
  </si>
  <si>
    <t>DETEKTIF RUMAH KREATIF</t>
  </si>
  <si>
    <t>ASEP SAEFULLOH</t>
  </si>
  <si>
    <t>BAMBANG SARWIJI</t>
  </si>
  <si>
    <t>813 Detektif Rumah Kreatif.jpg</t>
  </si>
  <si>
    <t>TARGET : AMORE</t>
  </si>
  <si>
    <t>HARA HOPE</t>
  </si>
  <si>
    <t>9789792221855 / 9792221859</t>
  </si>
  <si>
    <t>HEAVEN ON EARTH</t>
  </si>
  <si>
    <t>KAKA H Y</t>
  </si>
  <si>
    <t>KINANTI ATMARANDY,
CHRISTIAN SIMAMORA</t>
  </si>
  <si>
    <t>256 hlm; 13 x 19 cm</t>
  </si>
  <si>
    <t>813 Heaven on Earth.jpg</t>
  </si>
  <si>
    <t>MISTERI SEBUAH DANAU</t>
  </si>
  <si>
    <t>MINASARI, (Dra. )</t>
  </si>
  <si>
    <t>ARI RAHMAWATI</t>
  </si>
  <si>
    <t>813 Misteri Sebuah Danau.jpg</t>
  </si>
  <si>
    <t>ATAP</t>
  </si>
  <si>
    <t>FIRA BASUKI</t>
  </si>
  <si>
    <t>A. ARIOBIMO NUSANTARA</t>
  </si>
  <si>
    <t>813 Atap.jpg</t>
  </si>
  <si>
    <t>KOMIK NEXT G - SURGA DI TELAPAK KAKI IBU</t>
  </si>
  <si>
    <t>ALIYA NUR HIDAYATURROHMAH</t>
  </si>
  <si>
    <t>NISA</t>
  </si>
  <si>
    <t>MUFFIN GRAPHICS (PT CERITA ANAK BANGSA)</t>
  </si>
  <si>
    <t>741.5 Surga di Telapak Kaki Ibu.jpg</t>
  </si>
  <si>
    <t>MAFIA ESPRESSO</t>
  </si>
  <si>
    <t>FRANCISCA TODI</t>
  </si>
  <si>
    <t>ANGTEKKHUN</t>
  </si>
  <si>
    <t>GRADIEN MEDIATAMA</t>
  </si>
  <si>
    <t>320 hlm; 13,5 x 20 cm</t>
  </si>
  <si>
    <t>813 Mafia Espresso.jpg</t>
  </si>
  <si>
    <t>BONEKA KAYU ATANG</t>
  </si>
  <si>
    <t>ERNI WARDHANI</t>
  </si>
  <si>
    <t>813 Boneka Kayu Atang.jpg</t>
  </si>
  <si>
    <t>AKU CINTA MAMA</t>
  </si>
  <si>
    <t>FARABI FERDIANSYAH</t>
  </si>
  <si>
    <t>68 hlm; 17,6 x 25 cm</t>
  </si>
  <si>
    <t>813 Aku Cinta Mama.jpg</t>
  </si>
  <si>
    <t>AYAHKU IDOLAKU</t>
  </si>
  <si>
    <t>YENNY</t>
  </si>
  <si>
    <t>PUSPA POPULER,ANGGOTA IKAPI</t>
  </si>
  <si>
    <t>813 Ayahku Idolaku.jpg</t>
  </si>
  <si>
    <t>ANTOLOGI CERPEN INSPIRATIF - GADIS KECIL PENJUAL LILIN</t>
  </si>
  <si>
    <t>KUMPULAN CERITA PENDEK</t>
  </si>
  <si>
    <t>LRCKB - WJLRC SMP NEGERI 1 PASIRJAMBU</t>
  </si>
  <si>
    <t>AGUS NURJAMAN</t>
  </si>
  <si>
    <t>978-602-5434-39-6</t>
  </si>
  <si>
    <t>813 Gadis Kecil Penjual Lilin.jpg</t>
  </si>
  <si>
    <t>SETANGKUP RINDU DARI MASALALU</t>
  </si>
  <si>
    <t>NENENG HENDRIYANI, M.PD.</t>
  </si>
  <si>
    <t>978-602-5434-34-1</t>
  </si>
  <si>
    <t>811 Setangkup Rindu dari Masa Lalu.jpg</t>
  </si>
  <si>
    <t>SEKELUMIT KISAH : BUKAN WANITA SEMPURNA</t>
  </si>
  <si>
    <t>ERZA SURYA WERITA</t>
  </si>
  <si>
    <t>978-602-5434-35-8</t>
  </si>
  <si>
    <t>813 Sekelumit Kisah: Bukan Wanita Sempurna.jpg</t>
  </si>
  <si>
    <t>JIKA AKU ADALAH KAU - ANTOLOGI PUISI</t>
  </si>
  <si>
    <t>811 Jika Aku Adalah Kau.jpg</t>
  </si>
  <si>
    <t>SASTRA KLASIK - ABDOEL MOEIS - SALAH ASUHAN</t>
  </si>
  <si>
    <t>NOVEL SASTRA</t>
  </si>
  <si>
    <t>ABDOEL MOEIS</t>
  </si>
  <si>
    <t>813 Salah Asuhan.jpg</t>
  </si>
  <si>
    <t>ONE STEP MORE - KEAJAIBAN BERAWAL DARI SATU LANGKAH KECIL</t>
  </si>
  <si>
    <t>HONG JIHEUN</t>
  </si>
  <si>
    <t>JINGGA DÉJÀ VU</t>
  </si>
  <si>
    <t>HADI SOERIA</t>
  </si>
  <si>
    <t>MG PUBLISHER</t>
  </si>
  <si>
    <t>978-602-5582-68-4</t>
  </si>
  <si>
    <t>DALAM BAYANGAN CINTA - SEMACAM NOVEL</t>
  </si>
  <si>
    <t>813 Dalam Bayangan Cinta.jpg</t>
  </si>
  <si>
    <t>THE AMAZING ISLAMIC LEGAZY : MENAPAKI JEJAK KEJAYAAN ISLAM</t>
  </si>
  <si>
    <t>279.2</t>
  </si>
  <si>
    <t>HENDRA, H. ENDANG</t>
  </si>
  <si>
    <t>TOPIK MULYANA M. HUM</t>
  </si>
  <si>
    <t>CORDOBA INTERNASIONAL</t>
  </si>
  <si>
    <t>72 hlm.; 23,4 x 16,5 cm</t>
  </si>
  <si>
    <t>297.2 The Amazing Islamic Legacy.jpg</t>
  </si>
  <si>
    <t>MENGENANG KELAHIRAN</t>
  </si>
  <si>
    <t>MOH. SYARIF HIDAYAT</t>
  </si>
  <si>
    <t>NANDANG R. PAMUNGKAS</t>
  </si>
  <si>
    <t>GAMBANG BUKU BUDAYA</t>
  </si>
  <si>
    <t>86 hlm; 13 cm x 19 cm</t>
  </si>
  <si>
    <t>811 Mengenang Kelahiran.jpg</t>
  </si>
  <si>
    <t>JANJI FIRLY</t>
  </si>
  <si>
    <t>Y. NUGRAHA</t>
  </si>
  <si>
    <t>53 hlm; 14,8 cm x 21 cm</t>
  </si>
  <si>
    <t>813 Janji Firly.jpg</t>
  </si>
  <si>
    <t>SAMPUR YANG TERCABIK</t>
  </si>
  <si>
    <t>NANI SULYANI</t>
  </si>
  <si>
    <t>SUHUD ROIS</t>
  </si>
  <si>
    <t>CV. CIPTA MEDIA EDUKASI</t>
  </si>
  <si>
    <t>46 hlm; 14,8 cm x 21 cm</t>
  </si>
  <si>
    <t>SURAT UNTUK KEKASIH</t>
  </si>
  <si>
    <t>EDWAR MAULANA</t>
  </si>
  <si>
    <t>811 Surat Untuk Kekasih.jpg</t>
  </si>
  <si>
    <t>ACEH, 8,9 SKALA RICHTER LALU TSUNAMI</t>
  </si>
  <si>
    <t>KARYA TULIS SASTRA</t>
  </si>
  <si>
    <t>KARYA SENIMAN ACEH</t>
  </si>
  <si>
    <t>DODDI ACHMAD FAWDZY
FOZAN SANTA
NURUDDIN ASYHADIE
TARSIH EKA PUTRA
FIKAR W. EDA</t>
  </si>
  <si>
    <t>KBA NANGGROE ACEH DARUSALLAM</t>
  </si>
  <si>
    <t>258 hlm; 14 cm x 21 cm</t>
  </si>
  <si>
    <t>MENGHIDUPKAN RUH DEWI SARTIKA DALAM JIWA PARA GURU</t>
  </si>
  <si>
    <t>PROSA</t>
  </si>
  <si>
    <t>PARA GURU KREATIF JAWA BARAT</t>
  </si>
  <si>
    <t>164 hlm</t>
  </si>
  <si>
    <t>813 Menghidupkan Ruh Dewi Sartika Dalam Jiwa Para Guru.jpg</t>
  </si>
  <si>
    <t>SISINDIRAN JEUNG WAWANGSALAN ANYAR</t>
  </si>
  <si>
    <t>SISINDIRAN SUNDA</t>
  </si>
  <si>
    <t>76 hlm</t>
  </si>
  <si>
    <t>819 Sisindiran jeung Wawangsalan Anyar.jpg</t>
  </si>
  <si>
    <t>TERAMPIL BERPIDATO</t>
  </si>
  <si>
    <t>RETORIK PIDATO</t>
  </si>
  <si>
    <t>808 Terampil Berpidato.jpg</t>
  </si>
  <si>
    <t>TEKNIK MENYUSUN PIDATO/SAMBUTAN</t>
  </si>
  <si>
    <t>808.5</t>
  </si>
  <si>
    <t>MAMAN SUMANTRI</t>
  </si>
  <si>
    <t>979-407-338-5</t>
  </si>
  <si>
    <t>808.5 Teknik Menyusun Pidato/Sambutan.jpg</t>
  </si>
  <si>
    <t>ANAK KECIL BERNAMA BUNG TOMO</t>
  </si>
  <si>
    <t>MEIDY KAUTSAR</t>
  </si>
  <si>
    <t>AANG PERMANA</t>
  </si>
  <si>
    <t>56 hlm; 17,6 cm x 25 cm</t>
  </si>
  <si>
    <t>813 Anak Kecil Bernama Bung Tomo.jpg</t>
  </si>
  <si>
    <t>DISIPLIN DALAM KEHIDUPAN</t>
  </si>
  <si>
    <t>NAVO KIFAUT</t>
  </si>
  <si>
    <t>TRI CAHYANI</t>
  </si>
  <si>
    <t>978-602-8582-54-4</t>
  </si>
  <si>
    <t>813 Disiplin dalam Kehidupan.jpg</t>
  </si>
  <si>
    <t>ARTI PERSAHABATAN</t>
  </si>
  <si>
    <t>978-602-8582-96-4</t>
  </si>
  <si>
    <t>813 Arti Persahabatan.jpg</t>
  </si>
  <si>
    <t>TEGUH PENYULUH YANG ANDAL</t>
  </si>
  <si>
    <t>YOHANES AGUSTONO</t>
  </si>
  <si>
    <t>979-744-326-4</t>
  </si>
  <si>
    <t>BERMAIN DENGAN ALAMKU</t>
  </si>
  <si>
    <t>YANTI DWI DAMAYANTI</t>
  </si>
  <si>
    <t>YANA HIDAYAT,
DADI PERMANA</t>
  </si>
  <si>
    <t>813 Bermain Dengan Alamku.jpg</t>
  </si>
  <si>
    <t>MELUKIS PELANGI | CATATAN HATI OKI SETIANA DEWI</t>
  </si>
  <si>
    <t>BIOGRAFI TOKOH AGAMA</t>
  </si>
  <si>
    <t>OKI SETIANA DEWI</t>
  </si>
  <si>
    <t>YADI SAEFUL HIDAYAT</t>
  </si>
  <si>
    <t>MUSA | SI HAFIZ CILIK PENGHAFAL AL-QUR'AN</t>
  </si>
  <si>
    <t>AINUN MAHYA &amp; ARNINA P</t>
  </si>
  <si>
    <t>NURAISYAH &amp; DESSY A W</t>
  </si>
  <si>
    <t>HUTA PUBLISHER</t>
  </si>
  <si>
    <t>920 Musa - Si Hafiz Cilik.jpg</t>
  </si>
  <si>
    <t>CHAIRIL ANWAR | BAGIMU NEGERI MENYEDIAKAN API</t>
  </si>
  <si>
    <t>SENO JOKO SURYONO</t>
  </si>
  <si>
    <t>TEMPO</t>
  </si>
  <si>
    <t>978-602-424-188-9</t>
  </si>
  <si>
    <t>152 hlm;
16 x 23 cm</t>
  </si>
  <si>
    <t>920 Chairil Anwar - Bagimu Negeri Menyediakan Api.jpg</t>
  </si>
  <si>
    <t>UNIK TAPI FAKTA</t>
  </si>
  <si>
    <t>ILMU PENGETAHUAN UMUM</t>
  </si>
  <si>
    <t>TEGAR SATRIA</t>
  </si>
  <si>
    <t>SOLICHA</t>
  </si>
  <si>
    <t>SHIRA MEDIA</t>
  </si>
  <si>
    <t>001 Unik Tapi Fakta Aneh Tapi Nyata.jpeg</t>
  </si>
  <si>
    <t>371.89</t>
  </si>
  <si>
    <t>OLIMPIADE AKADEMIK</t>
  </si>
  <si>
    <t>DRS. VALENTINO BARUS dkk</t>
  </si>
  <si>
    <t>PT. LESTARI KIRAMATAMA</t>
  </si>
  <si>
    <t>978-602-8982-13-9</t>
  </si>
  <si>
    <t>54 hlm;
21 cm</t>
  </si>
  <si>
    <t>MENGENAL RUMAH ADAT NUSANTARA</t>
  </si>
  <si>
    <t>392.3</t>
  </si>
  <si>
    <t>ADAT-ISTIADAT KEHIDUPAN KELUARGA</t>
  </si>
  <si>
    <t>ABIYU MIFZAL &amp; MUHAMMAD DASTAN</t>
  </si>
  <si>
    <t>AYU NUZULIA RAHMA</t>
  </si>
  <si>
    <t>978-979-091-061-4</t>
  </si>
  <si>
    <t>70 hlm;
25 cm</t>
  </si>
  <si>
    <t>392.3 Mengenal Rumah Adat Nusantara.jpg</t>
  </si>
  <si>
    <t>390.09</t>
  </si>
  <si>
    <t>PAKAIAN ADAT</t>
  </si>
  <si>
    <t>390.09 Pakaian Adat, Senjata Tradisional, dan Rumah Adat (Provinsi Jawa Barat dan Provinsi Jawa Timur).jpg</t>
  </si>
  <si>
    <t>INDAHNYA NEGERIKU</t>
  </si>
  <si>
    <t>915.98</t>
  </si>
  <si>
    <t>GEOGRAFI</t>
  </si>
  <si>
    <t>978-602-9123-07-4</t>
  </si>
  <si>
    <t>MENGENAL WISATA ALAM INDONESIA</t>
  </si>
  <si>
    <t>YUNITA ENDAH C
DWI C. ANGGARAWATI</t>
  </si>
  <si>
    <t>76 hlm;17,6 x 25 cm</t>
  </si>
  <si>
    <t>TEKNIK MEMBACA PETA DAN KOMPAS</t>
  </si>
  <si>
    <t>TEKNIK DAN METODE INTER PRETASI PETA</t>
  </si>
  <si>
    <t>IR. N.S.ADIYUWONO</t>
  </si>
  <si>
    <t>979-547-950-4</t>
  </si>
  <si>
    <t>N.S ADIWIYONO</t>
  </si>
  <si>
    <t>WAHYU PRASETYO</t>
  </si>
  <si>
    <t>978-979-665-548-2</t>
  </si>
  <si>
    <t>PETA, DENAH, DAN EKOSISTEM</t>
  </si>
  <si>
    <t>PETA</t>
  </si>
  <si>
    <t>NENO W</t>
  </si>
  <si>
    <t>TITIEK TRI I</t>
  </si>
  <si>
    <t>OBJEK WISATA PROVINSI NUSA TENGGARA BARAT</t>
  </si>
  <si>
    <t>WISATA</t>
  </si>
  <si>
    <t>AZMA LUTFIANSYAH</t>
  </si>
  <si>
    <t>978-979-678-519-3</t>
  </si>
  <si>
    <t>910 Objek Wisata Provinsi Nusa Tenggara Barat.jpg</t>
  </si>
  <si>
    <t>OBJEK WISATA PROVINSI JAWA BARAT</t>
  </si>
  <si>
    <t>ILHAM RUSTIAMAN</t>
  </si>
  <si>
    <t>978-979-678-509-4</t>
  </si>
  <si>
    <t>910 Objek Wisata Provinsi Jawa Barat.jpg</t>
  </si>
  <si>
    <t>TUANKU TAMBUSAI</t>
  </si>
  <si>
    <t>923.5</t>
  </si>
  <si>
    <t>BIOGRAFI PAHLAWAN NASIONAL</t>
  </si>
  <si>
    <t>R.M. BUYA AST</t>
  </si>
  <si>
    <t>923.5 Tuanku Tambusai.jpg</t>
  </si>
  <si>
    <t>SASAKALA INDRAMAYU</t>
  </si>
  <si>
    <t>978-602-5645-24-2</t>
  </si>
  <si>
    <t>398.2 Sasakala Indramayu.jpg</t>
  </si>
  <si>
    <t>MOHAMAD TOHA</t>
  </si>
  <si>
    <t>978-979-24-1721-0</t>
  </si>
  <si>
    <t>920 Mohammad Toha.jpg</t>
  </si>
  <si>
    <t>KYAI TAPA</t>
  </si>
  <si>
    <t>978-979-24-1719-7</t>
  </si>
  <si>
    <t>819 Kyai Tapa.jpg</t>
  </si>
  <si>
    <t>KERAJAAN-KERAJAAN DI INDONESIA</t>
  </si>
  <si>
    <t>979517541-6</t>
  </si>
  <si>
    <t>64 hlm;
21 cm</t>
  </si>
  <si>
    <t>959.8 Kerajaan-Kerajaan di Indonesia.jpg</t>
  </si>
  <si>
    <t>AKU CINTA DAMAI</t>
  </si>
  <si>
    <t>909</t>
  </si>
  <si>
    <t>SEJARAH DUNIA, PERADABAN</t>
  </si>
  <si>
    <t>AEP SAEFULLOH, S.Pd.I</t>
  </si>
  <si>
    <t>THOMAS DIMAN</t>
  </si>
  <si>
    <t>978-602-8123-02-0</t>
  </si>
  <si>
    <t>AL-BATTANI PENEMU BERBAGAI TEORI MATEMATIKA</t>
  </si>
  <si>
    <t>ZAHRANI, J.</t>
  </si>
  <si>
    <t>920 Al-Battani - Penemu Berbagai Teori Matematika.jpg</t>
  </si>
  <si>
    <t>KAMUS GEOGRAFI</t>
  </si>
  <si>
    <t>910.3</t>
  </si>
  <si>
    <t>PUTRI FITRIA</t>
  </si>
  <si>
    <t>978-602-7768-36-9</t>
  </si>
  <si>
    <t>910.3 Kamus Geografi.jpg</t>
  </si>
  <si>
    <t>MENGENAL KEHIDUPAN MANUSIA PRAAKSARA DI INDONESIA</t>
  </si>
  <si>
    <t>ARKEOLOGI DAN PRASEJARAH</t>
  </si>
  <si>
    <t>PAKSI S.R.</t>
  </si>
  <si>
    <t>NOVIAN</t>
  </si>
  <si>
    <t>64 hlm;
21 x 14,8 cm</t>
  </si>
  <si>
    <t>SEJARAH NASIONAL INDONESIA MASA PRASEJARAH SAMPAI MASA PROKLAMASI KEMERDEKAAN</t>
  </si>
  <si>
    <t>M. JUNAEDI AL ANSHORI</t>
  </si>
  <si>
    <t>SEJARAH PAHLAWAN-PAHLAWAN BANGSA</t>
  </si>
  <si>
    <t>BIOGRAFI PAHLAWAN</t>
  </si>
  <si>
    <t>RAHIMSYAH</t>
  </si>
  <si>
    <t>AMELIA SURABAYA</t>
  </si>
  <si>
    <t>979-395-515-5</t>
  </si>
  <si>
    <t>144 / A5</t>
  </si>
  <si>
    <t>923.5 Sejarah Pahlawan-Pahlawan Bangsa.jpg</t>
  </si>
  <si>
    <t>SEJARAH KENDARAAN TRADISIONAL NUSANTARA</t>
  </si>
  <si>
    <t>SEJARAH KENDARAAN</t>
  </si>
  <si>
    <t>JODHI PRAMUJI GIRIARSO</t>
  </si>
  <si>
    <t>978-602-9108-12-5</t>
  </si>
  <si>
    <t>900 Sejarah Kendaraan Tradisional Nusantara.jpg</t>
  </si>
  <si>
    <t>SEJARAH UANG</t>
  </si>
  <si>
    <t>ERNA SUSILOWATI</t>
  </si>
  <si>
    <t>979517545-9</t>
  </si>
  <si>
    <t>332.4 Sejarah Uang.jpg</t>
  </si>
  <si>
    <t>SULTAN HASANUDDIN</t>
  </si>
  <si>
    <t>SUTRISNO KUTOYO</t>
  </si>
  <si>
    <t>TIM MUTIARA SUMBER WIDYA</t>
  </si>
  <si>
    <t>MUTIARA SUMBER WIDYA</t>
  </si>
  <si>
    <t>978-979-9331-14-10</t>
  </si>
  <si>
    <t>APA DAN SIAPA SUTAN SYAHRIR</t>
  </si>
  <si>
    <t>SYAHBUDDIN MANDARALAM</t>
  </si>
  <si>
    <t>PT. ROSDA JAYAPUTRA</t>
  </si>
  <si>
    <t>979-426-044-4</t>
  </si>
  <si>
    <t>920 Apa dan Siapa Sutan Syahrir.jpg</t>
  </si>
  <si>
    <t>BELAJAR MEMBACA PETA</t>
  </si>
  <si>
    <t xml:space="preserve">HARITS, R. </t>
  </si>
  <si>
    <t>978-602-9107-04-3</t>
  </si>
  <si>
    <t>910 Belajar Membaca Peta.jpg</t>
  </si>
  <si>
    <t>SOEKARNO-HATTA | PROKLAMATOR KEMERDEKAAN INDONESIA</t>
  </si>
  <si>
    <t>PT PURIPUSTAKA</t>
  </si>
  <si>
    <t>978-602-8712-17-0</t>
  </si>
  <si>
    <t>920 Soekarno-Hatta - Proklamator Kemerdekaan Indonesia.jpg</t>
  </si>
  <si>
    <t>GERUNGAN SAUL SAMUEL JACOB RATULANGI</t>
  </si>
  <si>
    <t>920.71</t>
  </si>
  <si>
    <t>BIOGRAFI LAKI-LAKI</t>
  </si>
  <si>
    <t>Drs. MARDANAS SAFWA</t>
  </si>
  <si>
    <t>978-979-3311-18-8</t>
  </si>
  <si>
    <t>920.71 Gerungan Saul Samuel Jacob Ratulangi.jpg</t>
  </si>
  <si>
    <t>H. AGUS SALIM</t>
  </si>
  <si>
    <t>978-979-9331-13-7</t>
  </si>
  <si>
    <t>920 H. Agus Salim.jpg</t>
  </si>
  <si>
    <t>SERI PAHLAWAN - K.H. AKHMAD DAHLAN</t>
  </si>
  <si>
    <t xml:space="preserve">MARDANAS SAFWA, Drs. </t>
  </si>
  <si>
    <t>920 K.H. Akhmad Dahlan.jpg</t>
  </si>
  <si>
    <t>LEBIH DEKAT MENGENAL PULAU SUMATRA</t>
  </si>
  <si>
    <t>SASAKALA GUNUNG GUNTUR</t>
  </si>
  <si>
    <t>978-602-5645-32-7</t>
  </si>
  <si>
    <t>398.2 Sasakala Gunung Guntur.jpg</t>
  </si>
  <si>
    <t>I GUSTI KETUT JELANTIK</t>
  </si>
  <si>
    <t>MUARA INDAH BANDUNG</t>
  </si>
  <si>
    <t>923 I Gusti Ketut Jelantik.jpg</t>
  </si>
  <si>
    <t>LETJEN OERIP SOEMOHARDJO</t>
  </si>
  <si>
    <t>Drs. AMRIN IMRAN</t>
  </si>
  <si>
    <t>TIM MUTIARA WIDYA</t>
  </si>
  <si>
    <t>MUTIARA SUMBER WIJAYA</t>
  </si>
  <si>
    <t>BABAD TANAH JAWA MAJAPAHIT, DEMAK, PAJANG</t>
  </si>
  <si>
    <t>HAMID AKASAH</t>
  </si>
  <si>
    <t>CIPTA ADI GRAFIKA</t>
  </si>
  <si>
    <t>MENGENAL BENUA</t>
  </si>
  <si>
    <t>AKHMAD ZAHRONI</t>
  </si>
  <si>
    <t>MENGENAL PELUKIS DUNIA</t>
  </si>
  <si>
    <t>IWAN HENDRAWAN</t>
  </si>
  <si>
    <t>TIM EDITOR PT MAPAN</t>
  </si>
  <si>
    <t>920 Mengenal Pelukis Dunia dan Indonesia.jpg</t>
  </si>
  <si>
    <t>MENGENAL PENYAIR DUNIA DAN INDONESIA</t>
  </si>
  <si>
    <t>TIM EDITOR MPU</t>
  </si>
  <si>
    <t>MUHAMMAD HUSNI THAMRIN</t>
  </si>
  <si>
    <t>Drs. MARDANAS SAFWAN</t>
  </si>
  <si>
    <t>978-979-9331-16-1</t>
  </si>
  <si>
    <t>PENINGGALAN-PENINGGALAN BERSEJARAH DI INDONESIA</t>
  </si>
  <si>
    <t>KPPS</t>
  </si>
  <si>
    <t>978-602-1955-70-3</t>
  </si>
  <si>
    <t>PERWIRA PATRIOT DARI JENAR JEJAK PERJUANGAN DAN PENGABDIAN JENDERAL AHMAD YANI</t>
  </si>
  <si>
    <t>920 Perwira Patriot dari Jenar - Jejak Perjuangan dan Pengabdian Jenderal Ahmad Yani.jpg</t>
  </si>
  <si>
    <t>RADEN AJENG KARTINI</t>
  </si>
  <si>
    <t>BIOGRAFI DAN SILSILAH</t>
  </si>
  <si>
    <t>MARDANAS SAFWAN, (Drs. )</t>
  </si>
  <si>
    <t>920 Raden Ajeng Kartini.jpg</t>
  </si>
  <si>
    <t>A.M. RUSTANDIE</t>
  </si>
  <si>
    <t>TOM PETERS</t>
  </si>
  <si>
    <t>REBERT HELLER</t>
  </si>
  <si>
    <t>RATRI MEDYA, S.E</t>
  </si>
  <si>
    <t>920 Tom Peters.jpg</t>
  </si>
  <si>
    <t>SULTAN SURIANSYAH</t>
  </si>
  <si>
    <t>SEJARAH BUMI</t>
  </si>
  <si>
    <t>TOKOH PAHLAWAN SERI PEJUANG KEMERDEKAAN</t>
  </si>
  <si>
    <t>978-602-8982-11-5</t>
  </si>
  <si>
    <t>ARCHIMEDES DAN BERAT JENIS</t>
  </si>
  <si>
    <t>AGUS SALIM, SUDARSINI, S. PD</t>
  </si>
  <si>
    <t>979-24-5612-0</t>
  </si>
  <si>
    <t>MENGENAL NEGARA CINA</t>
  </si>
  <si>
    <t>S. TARASETYANINGRUM - YOGI PRAPTOMO</t>
  </si>
  <si>
    <t>PARA PAHLAWAN YANG TAK DIKENAL</t>
  </si>
  <si>
    <t>DIAH ARIMBI</t>
  </si>
  <si>
    <t>920 Para Pahlawan yang Tak Dikenal.jpg</t>
  </si>
  <si>
    <t>ARISTOTELES | SANG PELETAK DASAR LOGIKA</t>
  </si>
  <si>
    <t>978-602-8395-82-0</t>
  </si>
  <si>
    <t>920 Aristoteles.jpg</t>
  </si>
  <si>
    <t>SULTAN MAHMUD BADARUDDIN II</t>
  </si>
  <si>
    <t>DRS. MARDANAS SAFWAN</t>
  </si>
  <si>
    <t>BEETHOVEN | SANG MAESTRO MUSIK KLASIK</t>
  </si>
  <si>
    <t>ERLINA WIDYANINGRUM</t>
  </si>
  <si>
    <t>ALBERT EINSTEIN | DAN TEORI RELATIVITAS</t>
  </si>
  <si>
    <t>SUDARSINI, S.PD</t>
  </si>
  <si>
    <t>979-24-5607-4</t>
  </si>
  <si>
    <t>920 Albert Einstein dan Teori Relativitas.jpg</t>
  </si>
  <si>
    <t>AUDI | MOTIVASI DAN INSPIRASI BAGI TUNARUNGU</t>
  </si>
  <si>
    <t>PAK HARTO DAN MISTERI KEMELUT 1998</t>
  </si>
  <si>
    <t>www.soeharto.co</t>
  </si>
  <si>
    <t>CUT MEUTHIA</t>
  </si>
  <si>
    <t>A.M RUSTANDIE</t>
  </si>
  <si>
    <t>WIMPI S. IBRAHIM</t>
  </si>
  <si>
    <t>CUT NYAK DIEN</t>
  </si>
  <si>
    <t>YAN GOENARTO</t>
  </si>
  <si>
    <t>HALIM PERDANAKUSUMA | RAJAWALI PERSADA NUSANTARA</t>
  </si>
  <si>
    <t>920 Halim Perdana Kusuma - Rajawali Persada Nusantara.jpg</t>
  </si>
  <si>
    <t>PERANG DUNIA II</t>
  </si>
  <si>
    <t>940.53</t>
  </si>
  <si>
    <t>MAHYASTUTI D.W</t>
  </si>
  <si>
    <t>978-602-9452-05-1</t>
  </si>
  <si>
    <t>940.53 Perang Dunia II.jpg</t>
  </si>
  <si>
    <t>SALAPAN PAHLAWAN ISTRI</t>
  </si>
  <si>
    <t>QIAN HONG YAN</t>
  </si>
  <si>
    <t>NAZARUDDIN THAMRIN</t>
  </si>
  <si>
    <t>978-602-8454-68-1</t>
  </si>
  <si>
    <t>920 Qian Hong Yan.jpg</t>
  </si>
  <si>
    <t>SULTAN AGENG TIRTAYASA | SANG RAJA BANTEN</t>
  </si>
  <si>
    <t>SEJARAH NUSANTARA</t>
  </si>
  <si>
    <t>SANUSI PANE</t>
  </si>
  <si>
    <t>978-6028635-35-5</t>
  </si>
  <si>
    <t>IBU RISMA | MEMIMPIN DENGAN HATI</t>
  </si>
  <si>
    <t>RINANDI DINANTA</t>
  </si>
  <si>
    <t>ERWIN ARIYANTO</t>
  </si>
  <si>
    <t>GIGA PUSTAKA</t>
  </si>
  <si>
    <t>978-602-1318-07-2</t>
  </si>
  <si>
    <t>PERHIMPUNAN INDONESIA SAMPAI DENGAN LAHIRNYA SUMPAH PEMUDA</t>
  </si>
  <si>
    <t>DRS. SUDIYO</t>
  </si>
  <si>
    <t>RINEKA CIPTA</t>
  </si>
  <si>
    <t>PT. MUTIARA SUMBER WIDYA</t>
  </si>
  <si>
    <t>979-518-001-0</t>
  </si>
  <si>
    <t>959.8 Perhimpunan Indonesia Sampai dengan Lahirnya Sumpah Pemuda.jpg</t>
  </si>
  <si>
    <t>KAUM WANITA DALAM PERGERAKAN KEBANGSAAN INDONESIA</t>
  </si>
  <si>
    <t>978-602-8713-11-5</t>
  </si>
  <si>
    <t>920 Kaum Wanita dalam Pergerakan Kebangsaan Indonesia.jpg</t>
  </si>
  <si>
    <t>KH. ZAINAL MUSTAFA | TOKOH PERLAWANAN PESANTREN DI MASA PENDUDUKAN JEPANG</t>
  </si>
  <si>
    <t>NAFISA I</t>
  </si>
  <si>
    <t>920 KH. Zainal Mustafa.jpg</t>
  </si>
  <si>
    <t>KUMPULAN BIOGRAFI PAHLAWAN BANGSA</t>
  </si>
  <si>
    <t>MB. RAHIMSYAH AR</t>
  </si>
  <si>
    <t>JALAN HIDUP SUNAN GUNUNG DJATI</t>
  </si>
  <si>
    <t>297.61</t>
  </si>
  <si>
    <t>DR. EMAN SURYAMAN, M.M</t>
  </si>
  <si>
    <t>DODO WIDARDA, S.AG.,M.HUM</t>
  </si>
  <si>
    <t>978-602-350-022-2</t>
  </si>
  <si>
    <t>297.61 Jalan Hidup Sunan Gunung Djati.jpeg</t>
  </si>
  <si>
    <t>PARA PEREMPUAN PERKASA</t>
  </si>
  <si>
    <t>920.72</t>
  </si>
  <si>
    <t>BIOGRAFI PEREMPUAN</t>
  </si>
  <si>
    <t>READY SANTOSO</t>
  </si>
  <si>
    <t>AGUS SALIM, ZAKIYATUL AIMAH</t>
  </si>
  <si>
    <t>978-602-350-041-3</t>
  </si>
  <si>
    <t>ANEKA RAGAM KHAS JAWA BARAT</t>
  </si>
  <si>
    <t>GEOGRAFI DAN PERJALANAN INDONESIA</t>
  </si>
  <si>
    <t>SHANITA KHARISMA</t>
  </si>
  <si>
    <t>MENGENAL MANUSIA PURBA DI INDONESIA</t>
  </si>
  <si>
    <t>MANUSIA PURBA</t>
  </si>
  <si>
    <t>HERIMANTO</t>
  </si>
  <si>
    <t>PT. WANGSA JATRA LESTARI</t>
  </si>
  <si>
    <t>978-979-040-218-8</t>
  </si>
  <si>
    <t>930 Mengenal Manusia Purba di Indonesia.jpg</t>
  </si>
  <si>
    <t>MENGENAL WISATA SEJARAH DAN BUDAYA INDONESIA 2</t>
  </si>
  <si>
    <t>YUNITA ENDAH - DWI C ANGGARAWATI</t>
  </si>
  <si>
    <t>978-979-091-039-3</t>
  </si>
  <si>
    <t>MENGENAL WISATA ALAM INDONESIA 2</t>
  </si>
  <si>
    <t>910.4</t>
  </si>
  <si>
    <t>REFERENSI DESKRIPTIF ATAU DESKRISI PERJALANAN</t>
  </si>
  <si>
    <t>978-979-091-037-9</t>
  </si>
  <si>
    <t>101 FAKTA MENARIK TENTANG JAWA TIMUR</t>
  </si>
  <si>
    <t>PUSTAKA WOJAYA KUSUMA</t>
  </si>
  <si>
    <t>978-602-99443-2-7</t>
  </si>
  <si>
    <t>WISATA LAUT NUSANTARA</t>
  </si>
  <si>
    <t>910.09</t>
  </si>
  <si>
    <t>WISATA ALAM</t>
  </si>
  <si>
    <t>DINI YULIA</t>
  </si>
  <si>
    <t>978-602-9108-50-7</t>
  </si>
  <si>
    <t>910.09 Wisata Laut Nusantara.jpg</t>
  </si>
  <si>
    <t>WRIGHT BERSAUDARA</t>
  </si>
  <si>
    <t>ANDREANA DEWI</t>
  </si>
  <si>
    <t>HERMANSYAH</t>
  </si>
  <si>
    <t>MITRA PUSTAKA</t>
  </si>
  <si>
    <t>978-979-97688-1-9</t>
  </si>
  <si>
    <t>920 Wright Bersaudara.jpg</t>
  </si>
  <si>
    <t>IBNU SINA</t>
  </si>
  <si>
    <t>BIOGRAFI INDIVIDU</t>
  </si>
  <si>
    <t>FRIDA FIRDIANI</t>
  </si>
  <si>
    <t>978-602-97688-8-6</t>
  </si>
  <si>
    <t>921 Ibnu Sina.jpg</t>
  </si>
  <si>
    <t>KISAH PARA PENJELAJAH DUNIA</t>
  </si>
  <si>
    <t>920</t>
  </si>
  <si>
    <t>ABIYU MIFZAL</t>
  </si>
  <si>
    <t>BILQIS</t>
  </si>
  <si>
    <t>978-979-091-057-7</t>
  </si>
  <si>
    <t>PANGLIMA BESAR JENDRAL SOEDIRMAN</t>
  </si>
  <si>
    <t>B.A SALEH</t>
  </si>
  <si>
    <t>Ir. YOGI SAPTOKO</t>
  </si>
  <si>
    <t>979-9281-73-3</t>
  </si>
  <si>
    <t>WOLFGANG AMADEUS MOZART</t>
  </si>
  <si>
    <t>ANREANA DEWI</t>
  </si>
  <si>
    <t>MITTRA PUSTAKA</t>
  </si>
  <si>
    <t>978-602-97688-4-8</t>
  </si>
  <si>
    <t>920 Wolfgang Amadeus Mozart.jpg</t>
  </si>
  <si>
    <t>KIAI HAJI AHMAD DAHLAN</t>
  </si>
  <si>
    <t>BIOGRAFI TOKOH PAHLAWAN</t>
  </si>
  <si>
    <t>DANA LISTIANA</t>
  </si>
  <si>
    <t>923.5 Kiai Haji Ahmad Dahlan.jpg</t>
  </si>
  <si>
    <t>MENGENAL KERAJAAN</t>
  </si>
  <si>
    <t>978-602-8262-29-3</t>
  </si>
  <si>
    <t>LIRE MARTADINATA</t>
  </si>
  <si>
    <t>978-979-24-1720-3</t>
  </si>
  <si>
    <t>MENGENAL PAHLAWAN</t>
  </si>
  <si>
    <t>978-602-8262-28-6</t>
  </si>
  <si>
    <t>MENGENAL LEBIH DEKAT ILMUWAN MATEMATIKA</t>
  </si>
  <si>
    <t>PT TEMPRINA MEDIA GRAFIKA</t>
  </si>
  <si>
    <t>978-602-8489-62-1</t>
  </si>
  <si>
    <t>920 Mengenal Lebih Dekat Ilmuwan Matematika.jpg</t>
  </si>
  <si>
    <t>KISAH INSPIRATIF PARA PERAIH NOBEL SASTRA</t>
  </si>
  <si>
    <t>IKHSAN</t>
  </si>
  <si>
    <t>978-979-091-056-0</t>
  </si>
  <si>
    <t>920 Kisah Inspiratif Para Peraih Nobel Sastra.jpg</t>
  </si>
  <si>
    <t>ILMUWAN-ILMUWAN MUSLIM</t>
  </si>
  <si>
    <t>RATMAN AL KEBUMENY</t>
  </si>
  <si>
    <t>CV MEDIATAMA</t>
  </si>
  <si>
    <t>58 hlm;
25 cm</t>
  </si>
  <si>
    <t>922 Ilmuwan-Ilmuwan Muslim.jpg</t>
  </si>
  <si>
    <t>ELOKNYA CANDI NEGERIKU</t>
  </si>
  <si>
    <t>722.4</t>
  </si>
  <si>
    <t>CANDI DI INDONESIA</t>
  </si>
  <si>
    <t>978-979-091-059-1</t>
  </si>
  <si>
    <t>86 hlm;
21 cm</t>
  </si>
  <si>
    <t>722.4 Eloknya Candi Negeriku.jpg</t>
  </si>
  <si>
    <t>IKHTISAR SEJARAH INDONESIA</t>
  </si>
  <si>
    <t>HERU DWIYANTARA</t>
  </si>
  <si>
    <t>JOKO SUROJO</t>
  </si>
  <si>
    <t>978-979-045-453-8</t>
  </si>
  <si>
    <t>H.O.S TJOKROAMINOTO</t>
  </si>
  <si>
    <t>SALEH, B.A</t>
  </si>
  <si>
    <t>YOGI SAPTOKO</t>
  </si>
  <si>
    <t>979-9281-67-9</t>
  </si>
  <si>
    <t>68 hlm; 25 cm</t>
  </si>
  <si>
    <t>920 H.O.S Tjokroaminoto.jpg</t>
  </si>
  <si>
    <t>BIOGRAFI WANITA</t>
  </si>
  <si>
    <t>SYAH ALAM TIRTADIREJA</t>
  </si>
  <si>
    <t>84 hlm; 24 cm</t>
  </si>
  <si>
    <t>920.72 Raden Ajeng Kartini.jpg</t>
  </si>
  <si>
    <t>SERI PAHLAWAN NASIONAL - PANGERAN DIPONEGORO (1785-1855)</t>
  </si>
  <si>
    <t>MUARA INDAH</t>
  </si>
  <si>
    <t>923 Pangeran Diponegoro (1785 - 1855).jpg</t>
  </si>
  <si>
    <t>SERI PAHLAWAN NASIONAL - CUT NYAK DHIEN</t>
  </si>
  <si>
    <t>SERI PAHLAWAN NASIONAL - PANGERAN ANTASARI (1809 - 1862)</t>
  </si>
  <si>
    <t>923.5 Pangeran Antasari.jpg</t>
  </si>
  <si>
    <t>SERI PAHLAWAN NASIONAL - K.H. ZAINAL MUSTOFA (1899-1944)</t>
  </si>
  <si>
    <t>923.5 K.H. Zainal Mustofa (1899 - 1944).jpg</t>
  </si>
  <si>
    <t>BUNGA RAMPAI PERJUANGAN DAN PENGORBANAN</t>
  </si>
  <si>
    <t>PIMPINAN PUSAT LEGUIN VETERAN RI</t>
  </si>
  <si>
    <t>PT. PENCA</t>
  </si>
  <si>
    <t>959.8 Bunga Rampai - Perjuangan &amp; Pengorbanan.jpg</t>
  </si>
  <si>
    <t>SERI MENGENAL KEHIDUPAN PRA AKSARA 1 - ZAMAN BATU</t>
  </si>
  <si>
    <t>930.12</t>
  </si>
  <si>
    <t>ZAMAN BATU</t>
  </si>
  <si>
    <t>ARMAN BADRIZA
A.P. WIJAYA</t>
  </si>
  <si>
    <t>PT MEDIA CERDAS NASIONAL</t>
  </si>
  <si>
    <t>100 hlm; 14,8x21 cm</t>
  </si>
  <si>
    <t>930.12 Zaman Batu.jpg</t>
  </si>
  <si>
    <t>SENIMAN-SENIMAN KALIBER DUNIA DAN INDONESIA</t>
  </si>
  <si>
    <t>THARSYA RJESKYANA</t>
  </si>
  <si>
    <t>CV TEMAN BELAJAR</t>
  </si>
  <si>
    <t>66 hlm; 25 cm</t>
  </si>
  <si>
    <t>920 Seniman-Seniman Kaliber Dunia dan Indonesia.jpg</t>
  </si>
  <si>
    <t>SERI MENGENAL KEHIDUPAN PRA AKSARA 2 - ZAMAN LOGAM</t>
  </si>
  <si>
    <t>PRA SEJARAH</t>
  </si>
  <si>
    <t>930 Zaman Logam.jpg</t>
  </si>
  <si>
    <t>SERI MENGENAL KEHIDUPAN PRA AKSARA 3 - NENEK MOYANG BANGSA INDONESIA</t>
  </si>
  <si>
    <t>PRASEJARAH</t>
  </si>
  <si>
    <t>930 Nenek Moyang Bangsa Indonesia.jpg</t>
  </si>
  <si>
    <t>MENGENAL DUNIA DENGAN PETA</t>
  </si>
  <si>
    <t>MENJELAJAH ANAK BENUA</t>
  </si>
  <si>
    <t>GEOGRAFI DAN PERJALANAN</t>
  </si>
  <si>
    <t>KAMALUDIN ALAMSYAH,
MARLINA</t>
  </si>
  <si>
    <t>910 Menjelajah Anak Benua.jpg</t>
  </si>
  <si>
    <t>MENJELAJAH NEGERI KINCIR ANGIN</t>
  </si>
  <si>
    <t>AHMAD SARIPUDIN,
SANI RUSDIANSYAH</t>
  </si>
  <si>
    <t>910 Menjelajah Negeri Kincir Angin.jpg</t>
  </si>
  <si>
    <t>KEAJAIBAN MENARA EIFFEL</t>
  </si>
  <si>
    <t>CATATAN PERJALANAN WISATA</t>
  </si>
  <si>
    <t>KAMALUDIN ALAMSYAH,
TUTI TRESNAWATI</t>
  </si>
  <si>
    <t>KARYA KITA</t>
  </si>
  <si>
    <t>88 hlm;
17 x 25 cm</t>
  </si>
  <si>
    <t>KEAJAIBAN TAJ MAHAL</t>
  </si>
  <si>
    <t>SEJARAH INDIA</t>
  </si>
  <si>
    <t>AGUS MAWARDI,
SIGIT RAIS</t>
  </si>
  <si>
    <t>KEAJAIBAN MENARA PISA</t>
  </si>
  <si>
    <t>KAMALUDIN ALAMSYAH,
MARLIN TRESNAWATI
MUHAMMAD SIGIT RUSDIANSAH</t>
  </si>
  <si>
    <t>813 Keajaiban Menara Pisa.jpg</t>
  </si>
  <si>
    <t>MENGENAL PROVINSI MELALUI POTENSI WILAYAH</t>
  </si>
  <si>
    <t>KAMALUDIN, (A. )</t>
  </si>
  <si>
    <t>910 Mengenal Provinsi Melalui Potensi Wilayah.jpg</t>
  </si>
  <si>
    <t>PENDIDIKAN NASIONAL MELALUI PERANGKO - PRESTASI GEMILANG ANAK BANGSA - SERI OLIMPIADE FISIKA</t>
  </si>
  <si>
    <t>Drs. VELENTINO BARUS,
Dra. MM. TRI. S. MILDAWANI, MA,
Dra. SRI HANDAYANI, M.Si,
RIYANTO, SE,
Dra. SUGIARTI</t>
  </si>
  <si>
    <t>67 hlm; A5</t>
  </si>
  <si>
    <t>PENDIDIKAN NASIONAL MELALUI PERANGKO - PRESTASI GEMILANG ANAK BANGSA - SERI OLIMPIADE KIMIA, BIOLOGI, DAN SAINS JUNIOR</t>
  </si>
  <si>
    <t>VALENTINO BARUS, (Drs.)  ,
Dra. MM. TRI S. MILDAWANI, MA.
MAHFUD IKHWAN, SS.
Ir. HERYADI SISWO MARTONO,
Dra. DORINA S,
Drs. PUTU SWASTA</t>
  </si>
  <si>
    <t>60 hlm; A5</t>
  </si>
  <si>
    <t>920 Prestasi Gemilang Bangsa - Seri Olimpiade Kimia, Biologi, dan Sains Junior.jpg</t>
  </si>
  <si>
    <t>ATLAS DUNIA ZAMAN MODERN</t>
  </si>
  <si>
    <t>ATLAS</t>
  </si>
  <si>
    <t>SIMON ADAMS</t>
  </si>
  <si>
    <t>SHELOMI ANGELI, S.Hum.
DWI KARTIKA WARDHANI, S.Si</t>
  </si>
  <si>
    <t>48 hlm;
23,5 x 30,5 cm</t>
  </si>
  <si>
    <t>PEMBERONTAKAN MADIUN (Mr. AMIR SYARIFUDDIN)</t>
  </si>
  <si>
    <t>ST. MIHARJA</t>
  </si>
  <si>
    <t>52 hlm;
21 cm</t>
  </si>
  <si>
    <t>PROKLAMASI KEMERDEKAAN REPUBLIK INDONESIA</t>
  </si>
  <si>
    <t>SEJARAH REPUBLIK INDONESIA, SEJARAH INDONESIA PADA MASA KEMERDEKAAN</t>
  </si>
  <si>
    <t>ERSY LESATARI</t>
  </si>
  <si>
    <t>959.8 Proklamasi Kemerdekaan Republik Indonesia.jpg</t>
  </si>
  <si>
    <t>K.H. HASYIM ASY'ARI - MAHAGURU BIJAK ISLAM NUSANTARA</t>
  </si>
  <si>
    <t>MOH. HABIB ASYHAD</t>
  </si>
  <si>
    <t>920 K.H. Hasyim Asy'ari.jpg</t>
  </si>
  <si>
    <t>PENDIDIKAN NASIONAL MELALUI PERANGKO - PRESTASI GEMILANG ANAK BANGSA SERI OLIMPIADE MATEMATIKA, INFORMATIKA, DAN ASTRONOMI</t>
  </si>
  <si>
    <t>PENDIDIKAN NASIONAL MELALUI PERANGKO - TOKOH PAHLAWAN DAN SERI PEJUANG KEMERDEKAAN</t>
  </si>
  <si>
    <t>VALENTINO BARUS, DRS. , dkk</t>
  </si>
  <si>
    <t>54 hlm, 21 cm</t>
  </si>
  <si>
    <t>920 Tokoh &amp; Pahlawan - Seri Pejuang Kemerdekaan.jpg</t>
  </si>
  <si>
    <t>ASTRIE IVO | SEPASANG SAYAP MENUJU SURGA</t>
  </si>
  <si>
    <t>YUGHA ERLANGGA &amp; ASTRIE IVO</t>
  </si>
  <si>
    <t>FIKNI MUTIARA
HIJRAH AHMAD
ADHIKA PRASETYA</t>
  </si>
  <si>
    <t>978-602-0935-16-4</t>
  </si>
  <si>
    <t>162 hlm;
21 cm</t>
  </si>
  <si>
    <t>920.72 Sepasang Sayap Menuju Surga - Astrie Ivo.jpg</t>
  </si>
  <si>
    <t>A CHILD CALLED IT | PERJUANGAN ANAK UNTUK BERTAHAN HIDUP</t>
  </si>
  <si>
    <t>155.4</t>
  </si>
  <si>
    <t>PSIKOLOGI ANAK</t>
  </si>
  <si>
    <t>DAVE PELZER</t>
  </si>
  <si>
    <t>PT. GRAMEDIA PUSTAKAUTAMA</t>
  </si>
  <si>
    <t>979-686-400-2</t>
  </si>
  <si>
    <t>184 hlm; 21 cm</t>
  </si>
  <si>
    <t>155.4 A Child Called 'It'.jpg</t>
  </si>
  <si>
    <t>ENSIKLOPEDIA : MENGENAL TOKOH PERS DAN MEDIA MASSA DI JAWA BARAT - JINGGA ZAHRANI KH.</t>
  </si>
  <si>
    <t>070</t>
  </si>
  <si>
    <t>JURNALISME</t>
  </si>
  <si>
    <t>978-602-72689-9-9</t>
  </si>
  <si>
    <t>070 Mengenal Tokoh Pers dan Media Massa di Jawa Barat.jpg</t>
  </si>
  <si>
    <t>SERI PAHLAWAN NASIONAL | TUANKU IMAM BONJOL (1772 - 1864)</t>
  </si>
  <si>
    <t>923.5 Tuanku Imam Bonjol (1772 - 1864).jpg</t>
  </si>
  <si>
    <t>PETUALANGAN LANGLANG - PERAGU DAN PERCAYA DIRI</t>
  </si>
  <si>
    <t>BAMBANG TRIM</t>
  </si>
  <si>
    <t>56 hlm; 29,7 cm</t>
  </si>
  <si>
    <t>813 Petualang Langlang - Peragu dan Percaya Diri.jpg</t>
  </si>
  <si>
    <t>PETUALANGAN LANGLANG - MARAH DAN SABAR</t>
  </si>
  <si>
    <t>813 Petualangan Langlang - Marah dan Sabar.jpg</t>
  </si>
  <si>
    <t>100 LAGU WAJIB NASIONAL &amp; PERJUANGAN TERPOPULER</t>
  </si>
  <si>
    <t>782.265</t>
  </si>
  <si>
    <t>LAGU KEBANGSAAN</t>
  </si>
  <si>
    <t>YULIA HENDRA</t>
  </si>
  <si>
    <t>REDAKSI KANA MEDIKA</t>
  </si>
  <si>
    <t>KANA MEDIKA</t>
  </si>
  <si>
    <t>144 hlm; 20,5x28 cm</t>
  </si>
  <si>
    <t>PEMUDA &amp; KELAUTAN - PARIWISATA BAHARI NUSANTARA</t>
  </si>
  <si>
    <t>910.2</t>
  </si>
  <si>
    <t>ANEKA RAGAM TENTANG PERJALANAN</t>
  </si>
  <si>
    <t>ARUM P,
NUR'AINI W</t>
  </si>
  <si>
    <t>PT CITRA AJI PRATAMA</t>
  </si>
  <si>
    <t>PEMUDA &amp; KELAUTAN - BERLAYAR DARI PULAU KE PULAU</t>
  </si>
  <si>
    <t>930.11</t>
  </si>
  <si>
    <t>ZAMAN EOLITIKUM</t>
  </si>
  <si>
    <t>TIM PENULIS ROSDA</t>
  </si>
  <si>
    <t>SELAYANG PANDANG INDONESIAKU</t>
  </si>
  <si>
    <t>911.598</t>
  </si>
  <si>
    <t>GEOGRAFI HISTORIS</t>
  </si>
  <si>
    <t>TIM PENULIS MANDIRI</t>
  </si>
  <si>
    <t>136 hlm; 20x27,5 cm</t>
  </si>
  <si>
    <t>SEPATU DAHLAN</t>
  </si>
  <si>
    <t>KHRISNA PABICHARA</t>
  </si>
  <si>
    <t>SUHINDRATI SHINTA,
RINA WULANDARI</t>
  </si>
  <si>
    <t>NOURA BOOKS (PT MIZAN PUBLIKA)</t>
  </si>
  <si>
    <t>392 hlm;
14 x 21 cm</t>
  </si>
  <si>
    <t>813 Sepatu Dahlan.jpg</t>
  </si>
  <si>
    <t>SUFI FUNKY</t>
  </si>
  <si>
    <t>THOBIEB AL ASYHAR</t>
  </si>
  <si>
    <t>BUNGA TAZKIYA</t>
  </si>
  <si>
    <t>GEMA INSANI</t>
  </si>
  <si>
    <t>192 hlm;
19 cm</t>
  </si>
  <si>
    <t>813 Sufi Funky.jpeg</t>
  </si>
  <si>
    <t>STILA-ALIA.1 - SAHABAT LAUT</t>
  </si>
  <si>
    <t>SITTA KARINA</t>
  </si>
  <si>
    <t>TERRANT BOOKS</t>
  </si>
  <si>
    <t>979-3750-24-3</t>
  </si>
  <si>
    <t>340 hlm;
20.5 x 13 cm</t>
  </si>
  <si>
    <t>813 Stila-Aria.1 - Sahabat Laut.jpg</t>
  </si>
  <si>
    <t>KABELEJOG ASIH</t>
  </si>
  <si>
    <t>NOVEL SUNDA</t>
  </si>
  <si>
    <t>QUEEN ERNI</t>
  </si>
  <si>
    <t>978-602-5434-40-2</t>
  </si>
  <si>
    <t>816 hlm</t>
  </si>
  <si>
    <t>819 Kabelejog Asih.jpg</t>
  </si>
  <si>
    <t>JANGJAWOKAN</t>
  </si>
  <si>
    <t>PUISI SUNDA</t>
  </si>
  <si>
    <t>978-602-60048-6-4</t>
  </si>
  <si>
    <t>126 hlm</t>
  </si>
  <si>
    <t>819 Jangjawokan.jpg</t>
  </si>
  <si>
    <t>WISDOMS FOR CHILDREN</t>
  </si>
  <si>
    <t>ABDULLAH
ULFAH NURIDA</t>
  </si>
  <si>
    <t>MUNAWAR, S.Pd.I</t>
  </si>
  <si>
    <t>MAKNA PUSTAKA ANAK</t>
  </si>
  <si>
    <t>978-602-95758-5-9</t>
  </si>
  <si>
    <t>40 hlm;
21 x 18 cm</t>
  </si>
  <si>
    <t>813 Wisdoms for Children.jpg</t>
  </si>
  <si>
    <t>DINAMIKA MASYARAKAT INDONESIA</t>
  </si>
  <si>
    <t>SOSIOLOGI DAN ANTROPOLOGI, MANUSIA, MASYARAKAT</t>
  </si>
  <si>
    <t>AWAN MUTAKIN, (Prof. Dr.)
Prof. Dr. DASIM BUDIMANSYAH, M.Si.
Prof. Dr. GURNIAWAN KAMIL PASYA, M.Si.</t>
  </si>
  <si>
    <t>RIFKY W.</t>
  </si>
  <si>
    <t>979-9475-20-1</t>
  </si>
  <si>
    <t>302 hlm</t>
  </si>
  <si>
    <t>301 Dinamika Masyarakat Indonesia.jpg</t>
  </si>
  <si>
    <t>PEMBELAJARAN IPA DENGAN SAVI DAN KENSTEKTUAL</t>
  </si>
  <si>
    <t>ENJAH TAKARI R.</t>
  </si>
  <si>
    <t>S. SUGIHARTO</t>
  </si>
  <si>
    <t>978-979-9475-77-0</t>
  </si>
  <si>
    <t>154 hlm</t>
  </si>
  <si>
    <t>500 Pembelajaran IPA dengan SAVI dan Kontekstual.jpg</t>
  </si>
  <si>
    <t>PENDEKATAN BERBASIS KECAKAPAN HIDUP DAN PEMBELAJARAN KONTEKSTUAL |  BAHASA INDONESIA</t>
  </si>
  <si>
    <t>KOSASIH, M.Pd., Dr. E.</t>
  </si>
  <si>
    <t>HAMDAN</t>
  </si>
  <si>
    <t>978-979-9475-55-8</t>
  </si>
  <si>
    <t>92 hlm</t>
  </si>
  <si>
    <t>371 Pendekatan Berbasis Kecakapan Hidup dan Pembelajaran Kontekstual.jpg</t>
  </si>
  <si>
    <t>PEMBELAJARAN PENDIDIKAN KESADARAN HAM</t>
  </si>
  <si>
    <t>HAK ASASI MANUSIA</t>
  </si>
  <si>
    <t>DASIM BUDIMANSYAH</t>
  </si>
  <si>
    <t>ADE OTONG</t>
  </si>
  <si>
    <t>979-9475-57-2</t>
  </si>
  <si>
    <t>340 Pembelajaran Pendidikan Kesadaran HAM.jpg</t>
  </si>
  <si>
    <t>HATI-HATI PEMANASAN GLOBAL DAN PENYEBARAN PENYAKIT</t>
  </si>
  <si>
    <t>PEMANASAN GLOBAL</t>
  </si>
  <si>
    <t>Drs. FIRDAUS SALEH, M.M</t>
  </si>
  <si>
    <t>978-979-465-607-5</t>
  </si>
  <si>
    <t>88 hlm</t>
  </si>
  <si>
    <t>360 Hati-Hati Pemanasan Global dan Penyebaran Penyakit.jpg</t>
  </si>
  <si>
    <t>PEMBELAJARAN PENDIDIKAN KESADARAN MASYARAKAT MULTIKULTURAL</t>
  </si>
  <si>
    <t>SLAMET SUGIHARTO</t>
  </si>
  <si>
    <t>978-979-9475-58-9</t>
  </si>
  <si>
    <t>370 Pembelajaran Pendidikan Kesadaran Masyarakat Multikultural.jpg</t>
  </si>
  <si>
    <t>SISTEM PENGAJARAN MODUL PADA MATA PELAJARAN BAHASA INDONESIA</t>
  </si>
  <si>
    <t>978-979-945-57-2</t>
  </si>
  <si>
    <t>370 Sistem Pengajaran Modul Pada Mata Pelajaran Bahasa Indonesia.jpg</t>
  </si>
  <si>
    <t>OBATI HERPES DAN LUPUS DENGAN TEPAT</t>
  </si>
  <si>
    <t>PENYAKIT</t>
  </si>
  <si>
    <t>ANNO D. SANJARI
HASIN EL KABUMAINI</t>
  </si>
  <si>
    <t>978-979-465-638-9</t>
  </si>
  <si>
    <t>616 Obati Herpes dan Lupus dengan Tepat.jpg</t>
  </si>
  <si>
    <t>PENDEKATAN , METODE, DAN TEKNIK PEMBELAJARAN BAHASA INDONESIA</t>
  </si>
  <si>
    <t>978-979-9475-56-5</t>
  </si>
  <si>
    <t>370 Pendekatan, Metode, dan Teknik Pembelajaran Bahasa Indonesia.jpg</t>
  </si>
  <si>
    <t>KAMUS VISUAL MANUSIA</t>
  </si>
  <si>
    <t>KAMUS ILMU PENGETAHUAN ALAM</t>
  </si>
  <si>
    <t>TIM SAINS</t>
  </si>
  <si>
    <t>ASRIMIARTI
MIA SITI AMINAH</t>
  </si>
  <si>
    <t>978-979-465-537-5</t>
  </si>
  <si>
    <t>503 Kamus Visual Manusia.jpg</t>
  </si>
  <si>
    <t>KEKUASAAN PEMERINTAH NEGARA RI</t>
  </si>
  <si>
    <t>978-979-9475-80-0</t>
  </si>
  <si>
    <t>320 Kekuasaan Pemerintah Negara RI.jpg</t>
  </si>
  <si>
    <t>KEKUASAAN KEHAKIMAN</t>
  </si>
  <si>
    <t>ILMU HUKUM</t>
  </si>
  <si>
    <t>978-979-9475-81-7</t>
  </si>
  <si>
    <t>340 Kekuasaan Kehakiman.jpg</t>
  </si>
  <si>
    <t>MARI MENGENAL MATEMATIKA PERSAMAAN, FUNGSI &amp; PERTIDAKSAMAAN KUADRAT</t>
  </si>
  <si>
    <t>WAHYUDIN, (Prof.)</t>
  </si>
  <si>
    <t>978-979-465-655-6</t>
  </si>
  <si>
    <t>510 Mari Mengenal Matematika - Persamaan, Fungsi &amp; Pertidaksamaan Kuadrat.jpg</t>
  </si>
  <si>
    <t>THE DA VINCI FILES - LEONARDO DAN RAHASIA PURI MEDICI</t>
  </si>
  <si>
    <t>ALFRED BEKKER</t>
  </si>
  <si>
    <t>978-979-27-6588-5</t>
  </si>
  <si>
    <t>813 The Da Vinci Files.jpg</t>
  </si>
  <si>
    <t>YOU ARE MY BEST FRIEND</t>
  </si>
  <si>
    <t>HUMOR (KOMIK)</t>
  </si>
  <si>
    <t>CANDY SERIES</t>
  </si>
  <si>
    <t>978-602-02-4556-0</t>
  </si>
  <si>
    <t>817 You Are My Best Friend.jpg</t>
  </si>
  <si>
    <t>KAMUS ETIMOLOGI BASA SUNDA</t>
  </si>
  <si>
    <t>BUDI RAHAYU TAMSYAH (Drs.  )</t>
  </si>
  <si>
    <t>978-602-7785-61-8</t>
  </si>
  <si>
    <t>413 Kamus Etimologi Basa Sunda.jpg</t>
  </si>
  <si>
    <t>SURAU</t>
  </si>
  <si>
    <t>297.351</t>
  </si>
  <si>
    <t>MASJID</t>
  </si>
  <si>
    <t>WAITLEM, S.Pd</t>
  </si>
  <si>
    <t>PRATIWI SUSANTHY</t>
  </si>
  <si>
    <t>978-979-041-211-8</t>
  </si>
  <si>
    <t>297.351 Surau.jpg</t>
  </si>
  <si>
    <t>SERI SAINS DASAR - MENGENAL CAHAYA</t>
  </si>
  <si>
    <t>IIN MEINA INDIRANI</t>
  </si>
  <si>
    <t>I. WAHYUNI</t>
  </si>
  <si>
    <t>978-602-3168-47-7</t>
  </si>
  <si>
    <t>535.1 Seri Sains Dasar - Mengenal Cahaya.jpg</t>
  </si>
  <si>
    <t>AKU TITP DIA, YA!</t>
  </si>
  <si>
    <t>RAFI IBADI</t>
  </si>
  <si>
    <t>FINA ANGGRIYANI</t>
  </si>
  <si>
    <t>978-602-208-228-6</t>
  </si>
  <si>
    <t>164 hlm;
13 x 19 cm</t>
  </si>
  <si>
    <t>811 - Aku Titip Dia, Ya!.jpg</t>
  </si>
  <si>
    <t>MATEMATIKA DALAM MASYARAKAT</t>
  </si>
  <si>
    <t>SUE THOMSON
IAN FORSTER</t>
  </si>
  <si>
    <t>DENI SARJOKO</t>
  </si>
  <si>
    <t>979-662-467-6</t>
  </si>
  <si>
    <t>55 hlm</t>
  </si>
  <si>
    <t>510 Matematika dalam Masyarakat.jpg</t>
  </si>
  <si>
    <t>PENEMUAN TERMOMETER DAN TELEPON</t>
  </si>
  <si>
    <t>509.2</t>
  </si>
  <si>
    <t>ILMUWAN DAN SAINS</t>
  </si>
  <si>
    <t>IRAWATI</t>
  </si>
  <si>
    <t>UDANARTO PUDJI LUDWINTO, M.M (Ir. H )</t>
  </si>
  <si>
    <t>IRAVI JAYA</t>
  </si>
  <si>
    <t>978-602-8978-09-5</t>
  </si>
  <si>
    <t>65 hlm</t>
  </si>
  <si>
    <t>509.2 Penemuan Termometer dan Telepon.jpg</t>
  </si>
  <si>
    <t>MATEMATIKA DALAM OLAHRAGA</t>
  </si>
  <si>
    <t>EKA ERNAWATI</t>
  </si>
  <si>
    <t>979-662-464-5</t>
  </si>
  <si>
    <t>510 Matematika dalam Olahraga.jpg</t>
  </si>
  <si>
    <t>MATEMATIKA DALAM SAINS</t>
  </si>
  <si>
    <t>979-662-443-0</t>
  </si>
  <si>
    <t>510 Matematika dalam Sains.jpg</t>
  </si>
  <si>
    <t>MATEMATIKA DALAM PERJALANAN</t>
  </si>
  <si>
    <t>979-662-465-2</t>
  </si>
  <si>
    <t>510 Matematika dalam Perjalanan.jpg</t>
  </si>
  <si>
    <t>MATEMATIKA DI TEMPAT KERJA</t>
  </si>
  <si>
    <t>979-662-466-9</t>
  </si>
  <si>
    <t>55  hlm</t>
  </si>
  <si>
    <t>510 Matematika di Tempat Kerja.jpg</t>
  </si>
  <si>
    <t>PEDOMAN GERAKAN IMPLEMENTASI PENUMBUHAN BUDI PEKERTI SEKOLAH MENENGAH PERTAMA</t>
  </si>
  <si>
    <t>370 Pedoman Gerakan Implementasi dan Penumbukan Budi Pekerti SMP.jpg</t>
  </si>
  <si>
    <t>PENGENALAN DAN PENCEGAHAN POLUSI SUARA</t>
  </si>
  <si>
    <t>620.23</t>
  </si>
  <si>
    <t>SUARA DAN PENCEGAHANNYA</t>
  </si>
  <si>
    <t>978-602-7932-14-2</t>
  </si>
  <si>
    <t>60 hlm</t>
  </si>
  <si>
    <t>620.23 Pengenalan dan Pencegahan Polusi Udara.jpg</t>
  </si>
  <si>
    <t>MENGGAMBAR LANGKAH DEMI LANGKAH</t>
  </si>
  <si>
    <t>741.2</t>
  </si>
  <si>
    <t>TEKNIK MENGGAMBAR</t>
  </si>
  <si>
    <t>M.G HESTI PUJI ASTUTI</t>
  </si>
  <si>
    <t>PT. INTAN PARIWARA</t>
  </si>
  <si>
    <t>979-28-0336-5</t>
  </si>
  <si>
    <t>741.2 Menggambar Langkah Demi Langkah.jpg</t>
  </si>
  <si>
    <t>MATEMATIKA DALAM LINGKUNGAN</t>
  </si>
  <si>
    <t>979-662-444-7</t>
  </si>
  <si>
    <t>510 Matematika dalam Lingkungan.jpg</t>
  </si>
  <si>
    <t>HIDUP SEHAT BERSAMA SAHABAT</t>
  </si>
  <si>
    <t>ENSIKLOPEDIA IPTEK - SEJARAH PERKEMBANGAN IPTEK</t>
  </si>
  <si>
    <t>NITA INDAH F</t>
  </si>
  <si>
    <t>978-979-571-386-9</t>
  </si>
  <si>
    <t>620 Ensiklopedia IPTEK - Sejarah Perkembangan IPTEK.jpg</t>
  </si>
  <si>
    <t>PALAGAN SUMEDANGLARANG</t>
  </si>
  <si>
    <t>PUTRA PAJAJARAN MANDIRI</t>
  </si>
  <si>
    <t>398.2 Palagan Sumedanglarang.jpg</t>
  </si>
  <si>
    <t>IDIOMS FOR YOU</t>
  </si>
  <si>
    <t>413.1</t>
  </si>
  <si>
    <t>IDIOMS</t>
  </si>
  <si>
    <t>ANIS APRILIAWATI</t>
  </si>
  <si>
    <t>EDITOR TEAM</t>
  </si>
  <si>
    <t>978-979-041-507-2</t>
  </si>
  <si>
    <t>76 hlm;
17,6 x 25 cm</t>
  </si>
  <si>
    <t>413.1 Idioms For You.jpg</t>
  </si>
  <si>
    <t>BONEKA DARI KERTAS KORAN</t>
  </si>
  <si>
    <t>PRODUKSI MAINAN</t>
  </si>
  <si>
    <t>FIRMANAWATY SUTAN
NURCAHYO W H</t>
  </si>
  <si>
    <t>978-602-9106-03-9</t>
  </si>
  <si>
    <t>56 hlm;
25 cm</t>
  </si>
  <si>
    <t>680 Boneka dari Kertas Koran.jpg</t>
  </si>
  <si>
    <t>AYO HIDUP SEHAT!</t>
  </si>
  <si>
    <t>ICHSANIA ALYA N</t>
  </si>
  <si>
    <t>978-979-678-341-0</t>
  </si>
  <si>
    <t>613 Ayo Hidup Sehat.jpg</t>
  </si>
  <si>
    <t>LAWANG KABUYUTAN</t>
  </si>
  <si>
    <t>DARPAN</t>
  </si>
  <si>
    <t>819 Lawang Kabuyutan.jpg</t>
  </si>
  <si>
    <t>HAJI PRAWATASARI</t>
  </si>
  <si>
    <t>819 Haji Prawatasari.jpg</t>
  </si>
  <si>
    <t>ANTOLOGI PUISI CINTA</t>
  </si>
  <si>
    <t>PUISI INDONESIA</t>
  </si>
  <si>
    <t>KEPALA SMP DAN DINAS PENDIDIKAN KOTA BANDUNG</t>
  </si>
  <si>
    <t>NANCY LUMBAN BATU
SABAM SOPIAN SILABAN</t>
  </si>
  <si>
    <t>MATA NARA PROGRESIF</t>
  </si>
  <si>
    <t>98 hlm</t>
  </si>
  <si>
    <t>811 Antologi Puisi Cinta.jpg</t>
  </si>
  <si>
    <t>JONGGRANG KALAPITUNG</t>
  </si>
  <si>
    <t>JULIAN WILDAN</t>
  </si>
  <si>
    <t>978-602-5645-03-7</t>
  </si>
  <si>
    <t>398.2 Jonggrang Kalapitung.jpg</t>
  </si>
  <si>
    <t>EUNTEUNG AJAIB</t>
  </si>
  <si>
    <t>CERITA BAHASA SUNDA/KOMIK</t>
  </si>
  <si>
    <t>819 Eunteung Ajaib.jpg</t>
  </si>
  <si>
    <t>SERI BACAAN IPA UNTUK ANAK - MENGENAL LINGKUNGAN</t>
  </si>
  <si>
    <t>SESYA GIANTI</t>
  </si>
  <si>
    <t>NAYLA FITRIANI</t>
  </si>
  <si>
    <t>978-602-8363-07-5</t>
  </si>
  <si>
    <t>PT. INDAH JAYA ADIPRATAMA</t>
  </si>
  <si>
    <t>398.2 Nyi Roro Kidul.jpg</t>
  </si>
  <si>
    <t>AKU BERKREASI</t>
  </si>
  <si>
    <t>ADHI SEPTIADI, M.</t>
  </si>
  <si>
    <t>745.5 Aku Berkreasi.jpg</t>
  </si>
  <si>
    <t>PESONA INDONESIA - PARIWISATA, BUDAYA DAN SOSIAL - LEBIH DEKAT MENGENAL PULAU SUMATRA</t>
  </si>
  <si>
    <t>PARIWISATA</t>
  </si>
  <si>
    <t>ICHSAN SUHADA,
UDI SUKRAMA,
YAYAT S.
dll</t>
  </si>
  <si>
    <t>910.2 Pesona Indonesia - Pariwisata, Budaya, dan Sosial - Lebih Dekat Mengenal Pulau Sumatra.jpg</t>
  </si>
  <si>
    <t>KEAJAIBAN BIG BEN</t>
  </si>
  <si>
    <r>
      <rPr/>
      <t xml:space="preserve">KAMALUDIN ALAMSYAH, </t>
    </r>
    <r>
      <rPr>
        <color rgb="FF1155CC"/>
        <u/>
      </rPr>
      <t>S.Si</t>
    </r>
  </si>
  <si>
    <t>813 Keajaiban Big Ben.jpg</t>
  </si>
  <si>
    <t>AYO BERANI PIDATO - TIPS DAN TRIK MENJADI SINGA PODIUM</t>
  </si>
  <si>
    <t>ADI PUTRANTO</t>
  </si>
  <si>
    <t>FIDA 'L.HASIEM</t>
  </si>
  <si>
    <t>PENERBIT PUSTAKA SUNDA</t>
  </si>
  <si>
    <t>978-602-9124--35-4</t>
  </si>
  <si>
    <t>808 Ayo Berani Pidato.jpg</t>
  </si>
  <si>
    <t>SERI BACAAN ANAK - MENGENAL TATA SURYA</t>
  </si>
  <si>
    <t>523.2</t>
  </si>
  <si>
    <t>TATA SURYA</t>
  </si>
  <si>
    <t>ARDIANSYAH ARIFIN</t>
  </si>
  <si>
    <t>978-602-8363-09-9</t>
  </si>
  <si>
    <t>SECANGKIR KOPI TANPA PUISI - KUMPULAN PUISI - KEN RIANTO</t>
  </si>
  <si>
    <t>978-602-5434-26-6</t>
  </si>
  <si>
    <t>811 Secangkir Kopi Tanpa Puisi.jpg</t>
  </si>
  <si>
    <t>DONGENG ANAK PENGANTAR TIDUR - TIMUN MAS</t>
  </si>
  <si>
    <t>RAHIMSYAH, MB
HENDRIK NASRUL</t>
  </si>
  <si>
    <t>HENDRIK NASRUL</t>
  </si>
  <si>
    <t>ENDY KIDS &amp; PUSTAKA ANAK BANGSA</t>
  </si>
  <si>
    <t>398.2 Dongeng Anak - Timun Mas.jpg</t>
  </si>
  <si>
    <t>KAMUS INDONESIA - SUNDA</t>
  </si>
  <si>
    <t>BUDI RAHAYU TAMSYAH, Drs.</t>
  </si>
  <si>
    <t>418 Kamus Indonesia - Sunda.jpg</t>
  </si>
  <si>
    <t>SASAKALA CIPAMALI</t>
  </si>
  <si>
    <t>ZAKI SALAMI</t>
  </si>
  <si>
    <t>978-602-5645-31-0</t>
  </si>
  <si>
    <t>398.2 Sasakala Cipamali.jpg</t>
  </si>
  <si>
    <t>GAGAK JEUNG MERAK</t>
  </si>
  <si>
    <t>AZKA DALITA</t>
  </si>
  <si>
    <t>978-602-5645-27-3</t>
  </si>
  <si>
    <t>398.2 Gagak jeung Merak.jpg</t>
  </si>
  <si>
    <t>KYAI HAJI ZAINAL MUSTAFA</t>
  </si>
  <si>
    <t>978-602- 5645-04-4</t>
  </si>
  <si>
    <t>920 Kyai Haji Zainal Mustafa.jpg</t>
  </si>
  <si>
    <t>BUDI RAHAYU</t>
  </si>
  <si>
    <t>978-60-5645-21-1</t>
  </si>
  <si>
    <t>920 Mohamad Toha.jpg</t>
  </si>
  <si>
    <t>978-602-5645-00-6</t>
  </si>
  <si>
    <t>JENDRAL GITO</t>
  </si>
  <si>
    <t>978-602-5645-29-7</t>
  </si>
  <si>
    <t>819 Jendral Gito.jpg</t>
  </si>
  <si>
    <t>SASAKALA SITU BAGENDIT</t>
  </si>
  <si>
    <t>978-602-5645-25-9</t>
  </si>
  <si>
    <t>398.2 Sasakala Situ Bagendit.jpg</t>
  </si>
  <si>
    <t>978-602-5645-05-1</t>
  </si>
  <si>
    <t>978-602-5645-30-3</t>
  </si>
  <si>
    <t>KAMUS INGGRIS - INDONESIA</t>
  </si>
  <si>
    <t>PURWATI, (M. ), dkk</t>
  </si>
  <si>
    <t>978-979-690-997-1</t>
  </si>
  <si>
    <t>423 Kamus Inggris - Indonesia.jpg</t>
  </si>
  <si>
    <t>KAMUS SUNDA - INDONESIA</t>
  </si>
  <si>
    <t>499.222 Kamus Sunda-Indonesia.jpg</t>
  </si>
  <si>
    <t>MODEL PEMBELAJARAN &amp; PENILAIAN PORTOFOLIO</t>
  </si>
  <si>
    <t>978-979-9475-49-7</t>
  </si>
  <si>
    <t>371.36 Model Pembelajaran &amp; Penilaian Portofolio.jpg</t>
  </si>
  <si>
    <t>PORTOFOLIO - MODEL PEMBELAJARAN PAI</t>
  </si>
  <si>
    <t>978-979-9475-50-3</t>
  </si>
  <si>
    <t>371.36 Portofolio Model Pembelajaran PAI.jpg</t>
  </si>
  <si>
    <t>KESETARAAN GENDER DALAM BIDANG PENDIDIKAN</t>
  </si>
  <si>
    <t>ACE SURYADI,
ECEP IDRIS</t>
  </si>
  <si>
    <t>978-979-9475-21-3</t>
  </si>
  <si>
    <t>370 Kesetaraan Gender dalam Bidang Pendidikan.jpg</t>
  </si>
  <si>
    <t>ENERGI</t>
  </si>
  <si>
    <t>531.6</t>
  </si>
  <si>
    <t>978-979-465-595-5</t>
  </si>
  <si>
    <t>531.6 Energi.jpg</t>
  </si>
  <si>
    <t>FLUIDA</t>
  </si>
  <si>
    <t>978-979-465-597-9</t>
  </si>
  <si>
    <t>532 Fluida.jpg</t>
  </si>
  <si>
    <t>PENGENALAN ZAT PEWARNA</t>
  </si>
  <si>
    <t>547.09</t>
  </si>
  <si>
    <t>ZAT KIMIA</t>
  </si>
  <si>
    <t>978-979-465-721-8</t>
  </si>
  <si>
    <t>547.09 Pengenalan Zat Pewarna.jpg</t>
  </si>
  <si>
    <t>MEMAHAMI KEDAULATAN RAKYAT DAN SISTEM PEMERINTAHAN DI INDONESIA</t>
  </si>
  <si>
    <t>SISTEM PEMERINTAHAN</t>
  </si>
  <si>
    <t>978-979-9475-30-5</t>
  </si>
  <si>
    <t>321 - Memahami Kedaulatan Rakyar dan Sistem Pemerintahan di Indonesia.jpg</t>
  </si>
  <si>
    <t>KALOR</t>
  </si>
  <si>
    <t>536.1</t>
  </si>
  <si>
    <t>978-979-465-594-8</t>
  </si>
  <si>
    <t>536.1 Kalor.jpg</t>
  </si>
  <si>
    <t>MEMAHAMI KONSTITUSI NEGARA RI</t>
  </si>
  <si>
    <t>KONSTITUSI RI</t>
  </si>
  <si>
    <t>978-979-9475-31-2</t>
  </si>
  <si>
    <t>342.598 Memahami Konstitusi Negara RI.jpg</t>
  </si>
  <si>
    <t>MEMAHAMI PERATURAN PERUNDANG-UNDANGAN NASIONAL</t>
  </si>
  <si>
    <t>348.02</t>
  </si>
  <si>
    <t>UNDANG-UNDANG</t>
  </si>
  <si>
    <t>978-979-9475-28-2</t>
  </si>
  <si>
    <t>348.02 Memahami Peraturan Perundang-undangan Nasional.jpg</t>
  </si>
  <si>
    <t>MEMAHAMI PELAKSANAAN DEMOKRASI DI INDONESIA</t>
  </si>
  <si>
    <t>DEMOKRASI</t>
  </si>
  <si>
    <t>978-979-9475-29-9</t>
  </si>
  <si>
    <t>321.8 Memahami Pelaksanaan Demokrasi di Indonesia.jpg</t>
  </si>
  <si>
    <t>UKS &amp; P3K</t>
  </si>
  <si>
    <t>613.6</t>
  </si>
  <si>
    <t>KESEHATAN DAN KESELAMATAN</t>
  </si>
  <si>
    <t>LUTHFI R</t>
  </si>
  <si>
    <t>978-979-465-591-7</t>
  </si>
  <si>
    <t>613.6 UKS &amp; P3K.jpg</t>
  </si>
  <si>
    <t>KAMUS PINTAR BAHASA INDONESIA</t>
  </si>
  <si>
    <t>978-979-465-589-4</t>
  </si>
  <si>
    <t>413 Kamus Pintar Bahasa Indonesia.jpg</t>
  </si>
  <si>
    <t>KOLOID DAN MANFAATNYA</t>
  </si>
  <si>
    <t>978-979-465-718-8</t>
  </si>
  <si>
    <t>540 Koloid dan Manfaatnya.jpg</t>
  </si>
  <si>
    <t>MENGENAL ALAT PEREDARAN DARAH</t>
  </si>
  <si>
    <t>TAKARI, E (S.Pd)</t>
  </si>
  <si>
    <t>978-979-465-525-2</t>
  </si>
  <si>
    <t>612.1 Mengenalan Alat Peredaran Darah.jpg</t>
  </si>
  <si>
    <t>SAMURAI - JEMBATAN MUSIM GUGUR</t>
  </si>
  <si>
    <t>TAKASI MATSOUKA</t>
  </si>
  <si>
    <t>QANITA</t>
  </si>
  <si>
    <t>979-3269-32-4</t>
  </si>
  <si>
    <t>813 Samurai - Jembatan Musim Gugur.jpg</t>
  </si>
  <si>
    <t>MENCETAK GENERASI UNGGUL</t>
  </si>
  <si>
    <t>MARSINI</t>
  </si>
  <si>
    <t>MEDIA CIPTA PUSTAKA</t>
  </si>
  <si>
    <t>978-602-99440-4-4</t>
  </si>
  <si>
    <t>60 hlm; 17,6 x 25 cm</t>
  </si>
  <si>
    <t>813 Mencetak Generasi Unggul.jpg</t>
  </si>
  <si>
    <t>PERMAINAN BOLA KECIL</t>
  </si>
  <si>
    <t>OLAHRAGA BOLA</t>
  </si>
  <si>
    <t>KURNIASIH, ENDANG YULIA</t>
  </si>
  <si>
    <t>PT PANTJA SIMPATI</t>
  </si>
  <si>
    <t>978-602-98761-2-3</t>
  </si>
  <si>
    <t>60 hlm; 25 cm</t>
  </si>
  <si>
    <t>796.3 Permainan Bola Kecil.jpg</t>
  </si>
  <si>
    <t>ETIKA BERTETANGGA</t>
  </si>
  <si>
    <t>RESTIANTI, H</t>
  </si>
  <si>
    <t>CV TITIAN ILMU</t>
  </si>
  <si>
    <t>978-979-027-246-0</t>
  </si>
  <si>
    <t>58 hlm; 17,6 x 25 cm</t>
  </si>
  <si>
    <t>395 Etika Bertetangga.jpg</t>
  </si>
  <si>
    <t>SERI SAINS DASAR : MENGENAL KELEMBAMAN DAN GESEKAN</t>
  </si>
  <si>
    <t>RAIHAN H</t>
  </si>
  <si>
    <t>978-602-3168-44-6</t>
  </si>
  <si>
    <t>100 hlm; 17,6 x 25 cm</t>
  </si>
  <si>
    <t>530 Seri Sains Dasar : Mengenal Kelembaman dan Gesekan.jpg</t>
  </si>
  <si>
    <t>KISAH PEJABAT YANG AMANAH</t>
  </si>
  <si>
    <t>ISLAM</t>
  </si>
  <si>
    <t>SAKHATMO, TRI</t>
  </si>
  <si>
    <t>INTI MEDINA</t>
  </si>
  <si>
    <t>978-979-072-123-4</t>
  </si>
  <si>
    <t>297 Kisah Pejabat yang Amanah.jpg</t>
  </si>
  <si>
    <t>MENGENAL FLORA NUSANTARA 1</t>
  </si>
  <si>
    <t>580 Mengenal Flora Nusantara.jpg</t>
  </si>
  <si>
    <t>SERI BUKU 2 : AKHLAK MULIA BERTEMAN</t>
  </si>
  <si>
    <t>ETIKET DAN TATA KRAMA</t>
  </si>
  <si>
    <t>Prof. Dr. ACHMAD MUBAROK, MA.
Hj. SRI MINTARTI</t>
  </si>
  <si>
    <t>SUBIYANTO
ESTU SRI LUHUR
TIM EDITOR WAP</t>
  </si>
  <si>
    <t>978-602-8147-02-6</t>
  </si>
  <si>
    <t>395 Seri Buku 2 : Akhlak Mulia Berteman.jpg</t>
  </si>
  <si>
    <t>MELAWAN DOKTRIN SESAT TERORISME</t>
  </si>
  <si>
    <t>TERORISME</t>
  </si>
  <si>
    <t>SHOFIYAH MAHFUDH
HIKA D. ASRIL PUTRA</t>
  </si>
  <si>
    <t>PT INTIMEDIA CIPTANUSANTARA</t>
  </si>
  <si>
    <t>978-979-056-060-4</t>
  </si>
  <si>
    <t>79 hlm;
17,6 x 25 cm</t>
  </si>
  <si>
    <t>363.3 Melawan Doktrin Sesat Terorisme.jpg</t>
  </si>
  <si>
    <t>HALAL DAN HARAM DALAM ISLAM : TERJEMAHAN KITAB HALAL WAL HARAM FIL ISLAM</t>
  </si>
  <si>
    <t>HUKUM ISLAM</t>
  </si>
  <si>
    <t>MUHAMMAD YUSUF QARDAWI</t>
  </si>
  <si>
    <t>978-602-4222-96-8</t>
  </si>
  <si>
    <t>96 hlm;
25 cm</t>
  </si>
  <si>
    <t>297.5 Halal dan Haram dalam Islam.jpg</t>
  </si>
  <si>
    <t>NYI RAMBUT KASIH</t>
  </si>
  <si>
    <t>978-602-5645-22-8</t>
  </si>
  <si>
    <t>48 hlm;
25 cm</t>
  </si>
  <si>
    <t>819 Nyi Rambut Kasih.jpg</t>
  </si>
  <si>
    <t>GATOTKACA PAHLAWAN BANGSA</t>
  </si>
  <si>
    <t>978-602-7784-99-4</t>
  </si>
  <si>
    <t>398.2 Gatotkaca : Pahlawan Bangsa.jpg</t>
  </si>
  <si>
    <t>SERI LULUS SKU PRAMUKA : PENGGALANG RAKIT</t>
  </si>
  <si>
    <t>ORGANISASI PEMUDA</t>
  </si>
  <si>
    <t>M. SUMANTA, SPd.I,
FFITRIA JUWITA SANTI, SP</t>
  </si>
  <si>
    <t>YUKI ANGGIA PUTRI</t>
  </si>
  <si>
    <t>978-602-7596-76-4</t>
  </si>
  <si>
    <t>369.43 Penggalang Rakit.jpg</t>
  </si>
  <si>
    <t>PANDUAN PELAKSANAAN PALANG MERAH REMAJA DI SEKOLAH MENENGAH PERTAMA (SMP)</t>
  </si>
  <si>
    <t>371.8</t>
  </si>
  <si>
    <t>EKSTRAKURIKULER</t>
  </si>
  <si>
    <t>371.8 Panduan Pelaksanaan PMR.jpg</t>
  </si>
  <si>
    <t xml:space="preserve">1 BUDI PEKERTI DI RUMAH </t>
  </si>
  <si>
    <t>PENDIDIKAN MORAL KARAKTER</t>
  </si>
  <si>
    <t>978-602-7768-64-2</t>
  </si>
  <si>
    <t>370.114 1 Budi Pekerti di Rumah.jpg</t>
  </si>
  <si>
    <t>2 BUDI PEKERTI DI SEKOLAH</t>
  </si>
  <si>
    <t>978-602-7768-65-9</t>
  </si>
  <si>
    <t>370.114 2 Budi Pekerti di Sekolah.jpg</t>
  </si>
  <si>
    <t>BUDI PEKERTI DI ALAM SEKITAR</t>
  </si>
  <si>
    <t>978-602-7768-67-3</t>
  </si>
  <si>
    <t>370.114 3 Budi Pekerti di Alam Sekitar.jpg</t>
  </si>
  <si>
    <t>4 BUDI PEKERTI DI MEDIA ONLINE</t>
  </si>
  <si>
    <t>978-602-7768-66-6</t>
  </si>
  <si>
    <t>370.114 4 Budi Pekerti di Media Online.jpg</t>
  </si>
  <si>
    <t>KAMUS ISTILAH ELMUNING BASA SUNDA</t>
  </si>
  <si>
    <t>YAYAT SUDARYAT</t>
  </si>
  <si>
    <t>CV KARYA IPTEK</t>
  </si>
  <si>
    <t>499.223 Kamus Istilah Elmuning Basa Sunda.jpg</t>
  </si>
  <si>
    <t>MEMAHAMI DUNIA : PROTOZOA, SELENTERATA, MOLUSKA, DAN EKINODERMATA</t>
  </si>
  <si>
    <t>INVERTEBRATA</t>
  </si>
  <si>
    <t>Drs. KUSNO WALUYO</t>
  </si>
  <si>
    <t>978-602-8713-30-6</t>
  </si>
  <si>
    <t>74 hlm.
25 cm</t>
  </si>
  <si>
    <t>593 Memahami Dunia Protozoa, Selenterata, Moluska, dan Ekinodermata.jpg</t>
  </si>
  <si>
    <t>OLAHRAGA MENDAKI GUNUNG</t>
  </si>
  <si>
    <t>74 hlm;
25 cm</t>
  </si>
  <si>
    <t>796.522 Serba-Serbi Olahraga Alam.jpg</t>
  </si>
  <si>
    <t>MANAJEMEN KELAS UNTUK MENCIPTAKAN IKLIM BELAJAR YANG KONDUSIF</t>
  </si>
  <si>
    <t>MANAJEMEN KELAS</t>
  </si>
  <si>
    <t>SENI APRILIYA</t>
  </si>
  <si>
    <t>PT VISINDO MEDIA PERSADA</t>
  </si>
  <si>
    <t>978-979-1323-63-5</t>
  </si>
  <si>
    <t>90 hlm.</t>
  </si>
  <si>
    <t>371.1 Manajemen Kelas untuk Menciptakan Iklim Belajar yang Kondusif.jpg</t>
  </si>
  <si>
    <t>MERINTIS HARI ESOK</t>
  </si>
  <si>
    <t>KESUSASTRAAN</t>
  </si>
  <si>
    <t>INTISARUDDIN</t>
  </si>
  <si>
    <t>979-407-089-0</t>
  </si>
  <si>
    <t>111 hlm;
21 cm</t>
  </si>
  <si>
    <t>813 Merintis Hari Esok.jpg</t>
  </si>
  <si>
    <t>BINATANG YANG HARUS DILINDUNGI : DI HUTAN BERHAWA SEDANG DAN HUTAN KUTUB UTARA, ZONA LEMBAP, SABANA DAN STEPA</t>
  </si>
  <si>
    <t>591.6</t>
  </si>
  <si>
    <t>BIOLOGI KONSERVASI</t>
  </si>
  <si>
    <t>BERNARD DE WETTER</t>
  </si>
  <si>
    <t>AF-IDAH DAN TRISNI</t>
  </si>
  <si>
    <t>978-979-018-068-0</t>
  </si>
  <si>
    <t>94 hlm;
29,7 cm</t>
  </si>
  <si>
    <t>519.6 Binatang Yang Harus DIlindungi 2.jpg</t>
  </si>
  <si>
    <t>BINATANG YANG HARUS DILINDUNGI : DI PEGUNUNGAN, GURUN, DAN KUTUB</t>
  </si>
  <si>
    <t>TRISNI SULISTYOWATI</t>
  </si>
  <si>
    <t>978-979-018-069-7</t>
  </si>
  <si>
    <t>78 hlm;
29,7 cm</t>
  </si>
  <si>
    <t>591.6 Binatang Yang Harus Dilindungi 3.jpg</t>
  </si>
  <si>
    <t>ENSIKLOPEDIA SEJARAH DAN BUDAYA 1 : DUNIA PURBA - DUNIA KLASIK</t>
  </si>
  <si>
    <t>ILMU SEJARAH</t>
  </si>
  <si>
    <t>JULIAN HOLLAND</t>
  </si>
  <si>
    <t>PENERBIT LENTERA ABADI</t>
  </si>
  <si>
    <t>978-979-3535-41-8</t>
  </si>
  <si>
    <t>95 hlm ; 22 x 30 cm</t>
  </si>
  <si>
    <t>OLAHRAGA, CARA JITU JAUHI NARKOBA</t>
  </si>
  <si>
    <t>RINJANI, FLORA</t>
  </si>
  <si>
    <t>CV RAHMA MEDIA PUSTAKA</t>
  </si>
  <si>
    <t>978-602-671-825-9</t>
  </si>
  <si>
    <t>88 hlm.;
17,6 x 25 cm</t>
  </si>
  <si>
    <t>362.293 Olahraga, Cara Jitu Jauhi Narkoba.jpg</t>
  </si>
  <si>
    <t>PENINGKATAN KEPEDULIAN MASYARAKAT, TERHADAP BAHAYA NARKOBA DI LINGKUNGAN SEKITAR</t>
  </si>
  <si>
    <t>BAGUS, BAMBANG</t>
  </si>
  <si>
    <t>HERVIANNA A</t>
  </si>
  <si>
    <t>978-602-671-826-6</t>
  </si>
  <si>
    <t>104 hlm;
17,6 x 25 cm</t>
  </si>
  <si>
    <t>362.293 Peningkatan Kepedulian Masyarakat terhadap Bahaya Narkoba di Lingkungan Sekitar.jpg</t>
  </si>
  <si>
    <t>NARKOBA DALAM PERSPEKTIF ISLAM</t>
  </si>
  <si>
    <t>PALUPI, PIPIN</t>
  </si>
  <si>
    <t>978-602-671-824-2</t>
  </si>
  <si>
    <t>82 hlm.;
17,6 x 25 cm</t>
  </si>
  <si>
    <t>362.293 Narkoba dalam Perspektif Islam.jpg</t>
  </si>
  <si>
    <t>DAMPAK PENYALAHGUNAAN NARKOBA TERHADAP PRESTASI BELAJAR SISWA</t>
  </si>
  <si>
    <t>SAPTOHADI, ERWIN</t>
  </si>
  <si>
    <t>978-602-671-821-1</t>
  </si>
  <si>
    <t>80 hlm.;
17,6 x 25 cm</t>
  </si>
  <si>
    <t>362.293 Dampak Penyalahgunaan Narkoba Terhadap Prestasi Belajar Siswa.jpg</t>
  </si>
  <si>
    <t>HIDUP BERTANGGGUNG JAWAB TANPA NARKOBA</t>
  </si>
  <si>
    <t>LAELA, SITI NUR</t>
  </si>
  <si>
    <t>EDDY JUNAEDY</t>
  </si>
  <si>
    <t>978-602-671-833-4</t>
  </si>
  <si>
    <t>74 hlm;
17,6 x 25 cm</t>
  </si>
  <si>
    <t>362.293 Hidup Bertanggung Jawab Tanpa Narkoba.jpg</t>
  </si>
  <si>
    <t>MENGENALI PENGARUH PENYALAHGUNAAN NARKOBA TERHADAP FISIK REMAJA</t>
  </si>
  <si>
    <t>ALDIANSYAH, WANTO</t>
  </si>
  <si>
    <t>978-602-671-823-5</t>
  </si>
  <si>
    <t>362.293 Mengenali Pengaruh Penyalahgunaan Narkoba Terhadap Fisik Remaja.jpg</t>
  </si>
  <si>
    <t>PENINGKATAN KECERDASAN MAJEMUK SEBAGAI UPAYA PENCEGAHAN PENGGUNA NARKOBA</t>
  </si>
  <si>
    <t>ASINAR, SYAM</t>
  </si>
  <si>
    <t>978-602-671-835-8</t>
  </si>
  <si>
    <t>74 hlm.;
17,6 x 25 cm</t>
  </si>
  <si>
    <t>362.293 Peningkatan Kecerdasan Majemuk sebagai Upaya Pencegahan Pengguna Narkoba.jpg</t>
  </si>
  <si>
    <t>MENGENALI PENGARUH PENYALAHGUNAAN NARKOBA TERHADAP EMOSI REMAJA</t>
  </si>
  <si>
    <t>SAMIUN, MAKMUN</t>
  </si>
  <si>
    <t>978-602-671-822-8</t>
  </si>
  <si>
    <t>80 hlm.
17,6 x 25 cm</t>
  </si>
  <si>
    <t>362.293 Mengenali Pengaruh Penyalahgunaan Narkoba terhadap Emosi Remaja.jpg</t>
  </si>
  <si>
    <t>PSIKOLOGI KAUM PENGGUNA NARKOBA</t>
  </si>
  <si>
    <t>978-602-671-836-5</t>
  </si>
  <si>
    <t>362.293 Psikoogi Kaum Pengguna Narkoba.jpg</t>
  </si>
  <si>
    <t>CINTA BANGSA, JAUHI NARKOBA</t>
  </si>
  <si>
    <t>JAHIDIN, DIDIN</t>
  </si>
  <si>
    <t>SITI NUR LAELA</t>
  </si>
  <si>
    <t>978-602-671-841-9</t>
  </si>
  <si>
    <t>362.293 Cinta Bangsa Jauhi Narkoba.jpg</t>
  </si>
  <si>
    <t>TEKNIK KONSELING BAGI MANTAN PECANDU NARKOBA</t>
  </si>
  <si>
    <t>978-602-671-831-0</t>
  </si>
  <si>
    <t>72 hlm.
17,6 x 25 cm</t>
  </si>
  <si>
    <t>362.293 Teknik Konseling Bagi Mantan Pecandu Narkoba.jpg</t>
  </si>
  <si>
    <t>AKU BUKAN GENERASI NARKOBA</t>
  </si>
  <si>
    <t>SALSABILA, NAYA</t>
  </si>
  <si>
    <t>362.293 Aku Bukan Generasi Narkoba.jpg</t>
  </si>
  <si>
    <t>PENDIDIKAN KARAKTER ANTINARKOBA</t>
  </si>
  <si>
    <t>978-602-671-834-1</t>
  </si>
  <si>
    <t>362.293 Pendidikan Karakter Antinarkoba.jpg</t>
  </si>
  <si>
    <t>DAMPAK NARKOBA BAGI MENTAL MANUSIA</t>
  </si>
  <si>
    <t>RETNO AGUSTIN</t>
  </si>
  <si>
    <t>978-602-671-840-2</t>
  </si>
  <si>
    <t>362.293 Dampak Narkoba Bagi Mental Manusia.jpg</t>
  </si>
  <si>
    <t>CEGAH PENGGUNAAN NARKOBA DENGAN PENERAPAN HIDUP DISIPLIN DAN TANGGUNG JAWAB</t>
  </si>
  <si>
    <t>978-602-671-842-6</t>
  </si>
  <si>
    <t>80 hlm;
17,6 x 25 cm</t>
  </si>
  <si>
    <t>362.293 Cegah Penggunaan Narkoba dengan Penerapan Hidup Disiplin dan Bertanggung Jawab.jpg</t>
  </si>
  <si>
    <t>PANCASILA SOLUSI PERANGI NARKOBA</t>
  </si>
  <si>
    <t>PRAPTANTO, EKO</t>
  </si>
  <si>
    <t>978-602-671-873-2</t>
  </si>
  <si>
    <t>362.293 Pancasila Solusi Perangi Narkoba.jpg</t>
  </si>
  <si>
    <t>ZAT ADIKTIF DAN SISTEM SARAF MANUSIA</t>
  </si>
  <si>
    <t>978-602-671-832-7</t>
  </si>
  <si>
    <t>362.293 Zat Adiktif dan Sistem Saraf Manusia.jpg</t>
  </si>
  <si>
    <t>PERILAKU DAN PANDANGAN MASYARAKAT TERHADAP PARA PENGGUNA NARKOBA</t>
  </si>
  <si>
    <t>ELVIRA, INDIRA T</t>
  </si>
  <si>
    <t>978-602-671-828</t>
  </si>
  <si>
    <t>362.293 Perilaku Pandangan Masyarakat terhadap Para Pengguna Narkoba.jpg</t>
  </si>
  <si>
    <t xml:space="preserve">ALARM BAHAYA PENYALAHGUNAAN NARKOBA </t>
  </si>
  <si>
    <t>978-602-671-843-3</t>
  </si>
  <si>
    <t>88 hlm;
17,6 x 25 cm</t>
  </si>
  <si>
    <t>362.293 Alarm Bahaya Penyalahgunaan Narkoba.jpg</t>
  </si>
  <si>
    <t>AKIBAT PENGGUNAAN NARKOBA TERHADAP LINGKUNGAN MASYARAKAT</t>
  </si>
  <si>
    <t>RADJAM, SYAM ASINAR</t>
  </si>
  <si>
    <t>HERVIANNA A.</t>
  </si>
  <si>
    <t>978-602-671-844-0</t>
  </si>
  <si>
    <t>362.293 Akibat Penggunaan Narkoba terhadap Lingkungan Masyarakat.jpg</t>
  </si>
  <si>
    <t>PAHLAWAN ANTINARKOBA</t>
  </si>
  <si>
    <t>AGUSTIN, RETNO</t>
  </si>
  <si>
    <t>978-602-671-838-9</t>
  </si>
  <si>
    <t>362.293 Pahlawan Antinarkoba.jpg</t>
  </si>
  <si>
    <t>PERAN ORANG TUA, GURU, DAN LINGKUNGAN DALAM GERAKAN ANTI NARKOBA</t>
  </si>
  <si>
    <t>978-602-671-827-3</t>
  </si>
  <si>
    <t>96 hlm;
17,6 x 25 cm</t>
  </si>
  <si>
    <t>362.923 Peran Orang Tua, Guru, dan Lingkungan dalam Gerakan Anti Narkoba.jpg</t>
  </si>
  <si>
    <t>REHABILITASI PENGGUNA NARKOBA</t>
  </si>
  <si>
    <t>ALAMANDA, KANAYA</t>
  </si>
  <si>
    <t>978-602-671-829-7</t>
  </si>
  <si>
    <t>362.293 Rehabilitasi Pengguna Narkoba.jpg</t>
  </si>
  <si>
    <t>REFLEKSI KISAH-KISAH BIJAK UNTUK MEMBANTU PEMULIHAN JIWA PEMAKAI NARKOBA</t>
  </si>
  <si>
    <t>978-602-671-830-3</t>
  </si>
  <si>
    <t>362.293 Refleksi Kisah-Kisah Bijak untuk Membantu Pemulihan Jiwa Pemakai Narkoba.jpg</t>
  </si>
  <si>
    <t>HUBUNGAN POLA ASUH ORANG TUA DENGAN REMAJA KORBAN NARKOBA</t>
  </si>
  <si>
    <t>978-602-671-839-6</t>
  </si>
  <si>
    <t>72 hlm;
17,6 x 25 cm</t>
  </si>
  <si>
    <t>362.293 Hubungan Pola Asuh Orang Tua dengan Remaja Korban Narkoba.jpg</t>
  </si>
  <si>
    <t>ANAK JALANAN DAN BAHAYA NARKOBA</t>
  </si>
  <si>
    <t>CAHAYA, DIANING</t>
  </si>
  <si>
    <t>CV SUARA MEDIA SEJAHTERA</t>
  </si>
  <si>
    <t>978-602-671-728-3</t>
  </si>
  <si>
    <t>362.293 Anak Jalanan dan Bahaya Narkoba.jpg</t>
  </si>
  <si>
    <t>JENIS-JENIS PSIKOTROPIKA</t>
  </si>
  <si>
    <t>978-602-671-746-7</t>
  </si>
  <si>
    <t>362.293 Jenis-Jenis Psikotropika.jpg</t>
  </si>
  <si>
    <t>PELAJAR SEJATI MELAWAN NARKOBA SEJAK DINI</t>
  </si>
  <si>
    <t>978-602-671-753-5</t>
  </si>
  <si>
    <t>362.293 Pelajar Sejati Melawan Narkoba Sejak Dini.jpg</t>
  </si>
  <si>
    <t>KELUARGA, OBAT BAGI KESEMBUHAN PENGGUNA NARKOBA</t>
  </si>
  <si>
    <t>MAHARANI, EUREKA SINAR</t>
  </si>
  <si>
    <t>978-602-671-734-4</t>
  </si>
  <si>
    <t>362.293 Keluarga, Obat Bagi Kembuhan Pengguna Narkoba.jpg</t>
  </si>
  <si>
    <t>PENYALAHGUNAAN NARKOBA PADA PELAJAR DAN KOMUNIKASI DALAM KELUARGA</t>
  </si>
  <si>
    <t>JUNAEDY, EDDY</t>
  </si>
  <si>
    <t>978-602-671-755-9</t>
  </si>
  <si>
    <t>362.293 Penyalahgunaan Narkoba pada Pelajar dan Komunikasi dalam Keluarga.jpg</t>
  </si>
  <si>
    <t>PENGARUH LINGKUNGAN TERHADAP PENYALAHGUNAAN NARKOBA</t>
  </si>
  <si>
    <t>978-602-671-754-2</t>
  </si>
  <si>
    <t>362.923 Pengaruh Lingkungan terhadap Penyalahgunaan Narkoba.jpg</t>
  </si>
  <si>
    <t>MARI BERKESENIAN, MARI JAUHI NARKOBA</t>
  </si>
  <si>
    <t>978-602-671-748-1</t>
  </si>
  <si>
    <t>362.293 Mari Berkesenian, Mari Jauhi Narkoba.jpg</t>
  </si>
  <si>
    <t>GANGGUAN KESEHATAN YANG SIAP MENYERANG PENGGUNA NARKOBA</t>
  </si>
  <si>
    <t>978-602-671-744-3</t>
  </si>
  <si>
    <t>362.293 Gangguan Kesehatan yang Siap Menyerang Pengguna Narkoba.jpg</t>
  </si>
  <si>
    <t>MENINGKATKAN KESADARAN HUKUM TENTANG NARKOBA DI KALANGAN PELAJAR</t>
  </si>
  <si>
    <t>978-602-671-751-1</t>
  </si>
  <si>
    <t>362.293 Meningkatkan Kesadaran Hukum tentang Narkoba di Kalangan Pelajar.jpg</t>
  </si>
  <si>
    <t>MASYARAKAT INDIVIDUALIS DAN NARKOBA</t>
  </si>
  <si>
    <t>978-602-671-749</t>
  </si>
  <si>
    <t>362.293 Masyarakat Individualis dan Narkoba.jpg</t>
  </si>
  <si>
    <t>MENGEMBALIKAN NILAI-NILAI KEHIDUPAN UNTUK MENCEGAH PEMAKAIAN NARKOBA DI KALANGAN PELAJAR</t>
  </si>
  <si>
    <t>978-602-671-750-4</t>
  </si>
  <si>
    <t>82 hlm;
17,6 x 25 cm</t>
  </si>
  <si>
    <t>362.293 Mengembalikan Nilai-Nilai Kehidupan untuk Mencegah Pemakaian Narkoba  di Kalangan Pelajar.jpg</t>
  </si>
  <si>
    <t>KENALI CIRI-CIRI PECANDU NARKOBA</t>
  </si>
  <si>
    <t>978-602-671-747-4</t>
  </si>
  <si>
    <t>362.293 Kenali Ciri-Ciri Pecandu Narkoba.jpg</t>
  </si>
  <si>
    <t>PANDUAN UNTUK MENGHINDARI JERAT NARKOBA</t>
  </si>
  <si>
    <t>PEPE, EDDY</t>
  </si>
  <si>
    <t>978-602-671-737-5</t>
  </si>
  <si>
    <t>98 hlm;
17,6 x 25 cm</t>
  </si>
  <si>
    <t>362.293 Panduan untuk Menghindari Jerat Narkoba.jpg</t>
  </si>
  <si>
    <t>WASPADA NARKOBA JENIS BARU</t>
  </si>
  <si>
    <t>HAYATI, RINA</t>
  </si>
  <si>
    <t>978-602-671-742-9</t>
  </si>
  <si>
    <t>362.293 Waspada Narkoba Jenis Baru.jpg</t>
  </si>
  <si>
    <t>GENERASI NARKOBA ANCAMAN BAGI KESTABILAN BANGSA</t>
  </si>
  <si>
    <t>978-602-671-729-0</t>
  </si>
  <si>
    <t>362.293 Generasi Narkoba Ancaman Bagi Kestabilan Bangsa.jpg</t>
  </si>
  <si>
    <t>ISTILAH-ISTILAH YANG DIPERGUNAKAN PARA PENGGUNA NARKOBA</t>
  </si>
  <si>
    <t>JALALUDIN, ANDRE</t>
  </si>
  <si>
    <t>978-602-671-732-0</t>
  </si>
  <si>
    <t>362.293 Istilah-Istilah yang Dipergunakan Para Pengguna Narkoba.jpg</t>
  </si>
  <si>
    <t>PENCEGAHAN PENYALAHGUNAAN NARKOBA SEJAK DINI</t>
  </si>
  <si>
    <t>978-602-671-738-2</t>
  </si>
  <si>
    <t>362.293 Pencegah Penyalahgunaan Narkoba Sejak Dini.jpg</t>
  </si>
  <si>
    <t>RENUNGAN KATA-KATA BIJAK UNTUK MENJAUHKAN DIRI DARI NARKOBA</t>
  </si>
  <si>
    <t>978-602-671-756-6</t>
  </si>
  <si>
    <t>362.293 Renungan Kata-Kata Bijak untuk Menjauhkan Diri Dari Narkoba.jpg</t>
  </si>
  <si>
    <t>GERAKAN AKTIF MENCEGAH PENYALGUNAAN NARKOBA DI KALANGAN PELAJAR</t>
  </si>
  <si>
    <t>PARULIAN, POLTAK LEO</t>
  </si>
  <si>
    <t>978-602-671-730-6</t>
  </si>
  <si>
    <t>362.293 Gerakan Aktif Mencegah Penyalahgunaan Narkoba di Kalangan Pelajar.jpg</t>
  </si>
  <si>
    <t>MENCERMATI PERUBAHAN PERILAKU PERUBAHAN SOSIAL PENGGUNA NARKOBA</t>
  </si>
  <si>
    <t>978-602-671-736-8</t>
  </si>
  <si>
    <t>362.293 Mencermati Perubahan Perilaku Sosial Pengguna Narkoba.jpg</t>
  </si>
  <si>
    <t>JADILAH PRIBADI UNGGUL TANPA NARKOBA</t>
  </si>
  <si>
    <t>978-602-671-745-0</t>
  </si>
  <si>
    <t>362.293 Jadilah Pribadi Unggul Tanpa Narkoba.jpg</t>
  </si>
  <si>
    <t>DAMPAK NARKOBA BAGI KESEHATAN MANUSIA</t>
  </si>
  <si>
    <t>978-602-671-743-6</t>
  </si>
  <si>
    <t>362.293 Dampak Narkoba Bagi Kesehatan Manusia.jpg</t>
  </si>
  <si>
    <t>MENYELAMATKAN MASA DEPAN PELAJAR DARI BAHAYA NARKOBA</t>
  </si>
  <si>
    <t>978-602-671-752-8</t>
  </si>
  <si>
    <t>362.293 Menyelamatkan Masa Depan Pelajar dari Bahaya Narkoba.jpg</t>
  </si>
  <si>
    <t>MEMBANGUN KEPERCAYAAN DIRI SEBAGAI TAMENG WASPADA NARKOBA</t>
  </si>
  <si>
    <t>978-602-671-735-1</t>
  </si>
  <si>
    <t>362.293 Membangun Kepercayaan Diri sebagai Tameng Waspada Narkoba.jpg</t>
  </si>
  <si>
    <t>JENIS PENYAKIT YANG TERKAIT DENGAN PENYALAHGUNAAN NARKOBA</t>
  </si>
  <si>
    <t>978-602-671-733-7</t>
  </si>
  <si>
    <t>362.293 Jenis Penyakit yang Terkait dengan Penyalahgunaan Narkoba.jpg</t>
  </si>
  <si>
    <t>MY WORLD NEVER END</t>
  </si>
  <si>
    <t>SUCIA RAMADHAN</t>
  </si>
  <si>
    <t>813 My World Never End.jpg</t>
  </si>
  <si>
    <t>PETUNJUK  MODERN KEPADA KESEHATAN</t>
  </si>
  <si>
    <t>CLIFFORD R. ANDERSON, M.D</t>
  </si>
  <si>
    <t>INDONESIA PUBLISHING HOUSE</t>
  </si>
  <si>
    <t>979 504 033 2</t>
  </si>
  <si>
    <t>470 hlm.; 19,5 x 26,5 cm</t>
  </si>
  <si>
    <t>613 Petunjuk Modern Kepada Kesehatan.jpg</t>
  </si>
  <si>
    <t>NEW ENCYCLOPEDIA OF SCIENCE</t>
  </si>
  <si>
    <t>ENSIKLOPEDIA</t>
  </si>
  <si>
    <t>503 New Encyclopedia of Science.jpg</t>
  </si>
  <si>
    <t>SEJARAH KOTA BANDUNG</t>
  </si>
  <si>
    <t>Prof. Dr. NINA HERLINA LUBIS., M.S.</t>
  </si>
  <si>
    <t>PEMERINTAHAN KOTA BANDUNG</t>
  </si>
  <si>
    <t>978-602-7859-11-1</t>
  </si>
  <si>
    <t>xxiv, 427 hlm.; 24 cm</t>
  </si>
  <si>
    <t>959.8 Sejarah Kota Bandung.jpg</t>
  </si>
  <si>
    <t>ATLAS INDONESA DAN DUNIA</t>
  </si>
  <si>
    <t>TIM SAHABAT KITA</t>
  </si>
  <si>
    <t>CV ANEKA ILMU</t>
  </si>
  <si>
    <t>978-979-736-835-7</t>
  </si>
  <si>
    <t>84 hlm.</t>
  </si>
  <si>
    <t>912 Atlas Indonesia dan Dunia.jpg</t>
  </si>
  <si>
    <t>ATLAS DUNIA ZAMAN KUNO</t>
  </si>
  <si>
    <t>SEJARAH ZAMAN KUNO</t>
  </si>
  <si>
    <t>SIMONS ADAM</t>
  </si>
  <si>
    <t>ERLANGGA FOR KIDS</t>
  </si>
  <si>
    <t>978-979-015-887-0</t>
  </si>
  <si>
    <t>44 hlm</t>
  </si>
  <si>
    <t>930 Atlas Dunia Zaman Kuno.jpg</t>
  </si>
  <si>
    <t>SERI BACAAN IPA UNTUK ANAK - MENGENAL MAKHLUK HIDUP</t>
  </si>
  <si>
    <t>TEGUH PRATAMA</t>
  </si>
  <si>
    <t>PT. GRAHA BANDUNG KENCANA</t>
  </si>
  <si>
    <t>978-602-8363-06-8</t>
  </si>
  <si>
    <t>500 Seri Bacaan IPA untuk Anak - Mengenal Makhluk Hidup.jpg</t>
  </si>
  <si>
    <t>BUKU PINTAR &amp; ATLAS INDONESIA DAN DUNIA</t>
  </si>
  <si>
    <t>Drs. BUDIONO</t>
  </si>
  <si>
    <t>128 hlm.; 14 x 21 cm</t>
  </si>
  <si>
    <t>912 Buku Pintar &amp; Atlas Indonesia dan Dunia.jpg</t>
  </si>
  <si>
    <t>SIX BASIC ENERGY: MENGUNGKAP RAHASIA HIDUP SEHAT, SUKSES, DAN BAHAGIA.</t>
  </si>
  <si>
    <t xml:space="preserve">PERBAIKAN PRIBADI, PENGHIDUPAN YANG SUKSES
</t>
  </si>
  <si>
    <t>dr. BONDAN AGUS SURYANTO, S.E., M.A., A.A.K.</t>
  </si>
  <si>
    <t>978-979-010-494-5</t>
  </si>
  <si>
    <t>xxxvi, 394 hlm.; 22 cm</t>
  </si>
  <si>
    <t>158.1 Six Basic Energy: Mengungkap Rahasia Hidup Sehat, Sukses, dan Bahagia.jpg</t>
  </si>
  <si>
    <t>JANTUNG KUAT BERNAPAS LEGA</t>
  </si>
  <si>
    <t>615.8</t>
  </si>
  <si>
    <t>TERAPI PENGOBATAN</t>
  </si>
  <si>
    <t>Dr. JOHN F KNIGHT</t>
  </si>
  <si>
    <t>979-504-084-7</t>
  </si>
  <si>
    <t>430 hlm.; 18 x 25 cm</t>
  </si>
  <si>
    <t>615.8 Jantung Kuat Bernapas Lega.jpg</t>
  </si>
  <si>
    <t>SUPAYA ANAK ANDA SEHAT</t>
  </si>
  <si>
    <t>ILMU KESEHATAN UMUM</t>
  </si>
  <si>
    <t>979-504-006-9</t>
  </si>
  <si>
    <t>356 hlm.; 21 cm</t>
  </si>
  <si>
    <t>613 Supaya Anak Anda Sehat.jpg</t>
  </si>
  <si>
    <t>SERI BACAAN IPA UNTUK ANAK - MENGENAL ENERGI</t>
  </si>
  <si>
    <t>DESI SAFITRI</t>
  </si>
  <si>
    <t>978-602-8363-08-2</t>
  </si>
  <si>
    <t>84 hlm.; 18 x 25 cm</t>
  </si>
  <si>
    <t>531.6 Seri Bacaan IPA untuk Anak - Mengenal Energi.jpg</t>
  </si>
  <si>
    <t>SERI BACAAN IPA UNTUK ANAK - MENGENAL TEKNOLOGI</t>
  </si>
  <si>
    <t>ARFAN MUTAQIN</t>
  </si>
  <si>
    <t>978-602-8363-10-5</t>
  </si>
  <si>
    <t>60 hlm.; 25 cm</t>
  </si>
  <si>
    <t>500 Seri Bacaan IPA untuk Anak - Mengenal Teknologi.jpg</t>
  </si>
  <si>
    <t>SERI BACAAN IPA UNTUK ANAK - MENGENAL ZAT</t>
  </si>
  <si>
    <t>SETIA AJI</t>
  </si>
  <si>
    <t>500 Seri Bacaan IPA untuk Anak - Mengenal Zat.jpg</t>
  </si>
  <si>
    <t>ATLAS INDONESIA DAN SEKITARNYA - 33 PROPINSI</t>
  </si>
  <si>
    <t>LIMA BINTANG</t>
  </si>
  <si>
    <t>48 hlm.</t>
  </si>
  <si>
    <t>912 Atlas Indonesia dan Sekitarnya - 33 Propinsi Indonesia.jpg</t>
  </si>
  <si>
    <t>PENGEMBANGAN DAN IMPLEMENTASI KURIKULUM UNGGULAN KOTA BANDUNG JENJANG SEKOLAH MENENGAH PERTAMA MELALUI PENDEKATAN BERBASIS STEM</t>
  </si>
  <si>
    <t>PENGEMBANGAN KURIKULUM</t>
  </si>
  <si>
    <t>TIM PENGEMBANGAN KURIKULUM DINAS PENDIDIKAN KOTA BANDUNG</t>
  </si>
  <si>
    <t>138 hlm.</t>
  </si>
  <si>
    <t>375.001 Pengembangan dan Implementasi Kurikulum Unggulan Kota Bandung Jenjang Sekolah Menengah Pertama Melalui Pendekatan Pembelajaran Berbasis STEM.jpg</t>
  </si>
  <si>
    <t>PENGEMBANGAN MODEL PEMBELAJARAN KETERAMPILAN ABAD 21 JENJANG SEKOLAH MENENGAH PERTAMA</t>
  </si>
  <si>
    <t>136 hlm</t>
  </si>
  <si>
    <t>371.3 Pengembangan Model Pembelajaran Keterampilan Abad 21 Jenjang Sekolah Menengah Pertama.jpg</t>
  </si>
  <si>
    <t>MITCELL WILSON</t>
  </si>
  <si>
    <t>PUSTAKA ILMU LIFE</t>
  </si>
  <si>
    <t>200 hlm.; 28 cm</t>
  </si>
  <si>
    <t>GROWTH</t>
  </si>
  <si>
    <t>FISIOLOGI</t>
  </si>
  <si>
    <t>JAMES M. TANNER
GORDON RATTRAY TAYLOR</t>
  </si>
  <si>
    <t>LIFE SCIENCE LIBRARY</t>
  </si>
  <si>
    <t>200 hlm.</t>
  </si>
  <si>
    <t>571 Growth.jpg</t>
  </si>
  <si>
    <t>SEE INSIDE : MATEMATIKA</t>
  </si>
  <si>
    <t>ALEX FRITH
MINNA LACEY</t>
  </si>
  <si>
    <t>978-979-033-641-4</t>
  </si>
  <si>
    <t>15 hlm.</t>
  </si>
  <si>
    <t>510 See Inside : Matematika.jpg</t>
  </si>
  <si>
    <t>SEE INSIDE : SAINS</t>
  </si>
  <si>
    <t>ALEX FRITH
COLIN KING</t>
  </si>
  <si>
    <t>978-979-015-601-2</t>
  </si>
  <si>
    <t>500 See Inside : Sains.jpg</t>
  </si>
  <si>
    <t>ATLAS DINOSAURUS</t>
  </si>
  <si>
    <t>567.9</t>
  </si>
  <si>
    <t>FOSIL REPTIL</t>
  </si>
  <si>
    <t>SUSANNA DAVIDSON</t>
  </si>
  <si>
    <t>978-979-015-276-2</t>
  </si>
  <si>
    <t>143 hlm</t>
  </si>
  <si>
    <t>567.9 Atlas Dinosaurus.jpg</t>
  </si>
  <si>
    <t>ATLAS SEJARAH INDONESIA DAN DUNIA</t>
  </si>
  <si>
    <t>TIM PENDIDIKAN GEOGRAFI - UNIVERSITAS PENDIDIKAN INDONESIA</t>
  </si>
  <si>
    <t>PORI  MEDIA</t>
  </si>
  <si>
    <t>199 hlm</t>
  </si>
  <si>
    <t>911 Atlas Sejarah Indonesia dan Dunia.jpg</t>
  </si>
  <si>
    <t>WIRAWAN</t>
  </si>
  <si>
    <t>156 hlm</t>
  </si>
  <si>
    <t>911 Atlas Sejarah Indonesia dan Dunia 2.jpg</t>
  </si>
  <si>
    <t>ATLAS PERSADA DAN DUNIA</t>
  </si>
  <si>
    <t>ZAZOELI</t>
  </si>
  <si>
    <t>YUDHISTIRA</t>
  </si>
  <si>
    <t>979-676-406-7</t>
  </si>
  <si>
    <t>92 hlm.</t>
  </si>
  <si>
    <t>912 Atlas Persada dan Dunia.jpg</t>
  </si>
  <si>
    <t>978-979-015-952-5</t>
  </si>
  <si>
    <t>45 hlm.</t>
  </si>
  <si>
    <t>912 Atlas Dunia Zaman Modern.jpg</t>
  </si>
  <si>
    <t>ATLAS GLOBAL</t>
  </si>
  <si>
    <t>CV PUSTAKA AGUNG HARAPAN</t>
  </si>
  <si>
    <t>128 hlm.</t>
  </si>
  <si>
    <t>912 Atlas Global - 33 Propinsi di Indonesia.jpg</t>
  </si>
  <si>
    <t>ATLAS INDONESIA DAN DUNIA - EDISI 34 PROPINSI DI INDONESIA</t>
  </si>
  <si>
    <t>96 hlm.</t>
  </si>
  <si>
    <t>912 Atlas Indonesia dan Dunia Edisi 34 Propinsi di Indonesia.jpg</t>
  </si>
  <si>
    <t>ATLAS INDONESIA &amp; DUNIA</t>
  </si>
  <si>
    <t>MITRA AGUNG</t>
  </si>
  <si>
    <t>912 Atlas Indonesia &amp; Dunia.jpg</t>
  </si>
  <si>
    <t>ATLAS INDONESIA DAN DUNIA - EDISI 33 PROPINSI DI INDONESIA</t>
  </si>
  <si>
    <t>95 hlm.</t>
  </si>
  <si>
    <t>912 Atlas Indonesia dan Dunia Edisi 33 Propinsi di Indonesia.jpg</t>
  </si>
  <si>
    <t>ATLAS INDONESIA &amp; DUNIA - EDISI 33 PROPINSI DI INDONESIA - 7 KEAJAIBAN DUNIA - BUSANA TRADISIONAL, NASIONAL DAN INTERNASIONAL</t>
  </si>
  <si>
    <t>PENABUR ILMU</t>
  </si>
  <si>
    <t>912 Atlas Indonesia &amp; Dunia - Edisi 33 Propinsi di Indonesia - 7 Keajaiban Dunia, Busana Tradisional, Nasional &amp; Internasional.jpg</t>
  </si>
  <si>
    <t>ENSIKLOPEDIA SASTRA INDONESIA MODERN</t>
  </si>
  <si>
    <t>ENSIKLOPEDIA SASTRA</t>
  </si>
  <si>
    <t>Dr. DENDY SUGONO</t>
  </si>
  <si>
    <t>979-692-283-5</t>
  </si>
  <si>
    <t>271 hlm.</t>
  </si>
  <si>
    <t>803 Ensiklopedia Sastra Indonesia Modern.jpg</t>
  </si>
  <si>
    <t>PENDIDIKAN ANTIKORUPSI - AYO, BELAJAR CERMAT DAN HEMAT</t>
  </si>
  <si>
    <t>ISTIANA NEN ARIENTI
SITI MUKHATTAROH</t>
  </si>
  <si>
    <t>RISWANTI</t>
  </si>
  <si>
    <t>CAHAYA PUSTAKA INDONESIA</t>
  </si>
  <si>
    <t>978-623-94270-9-2</t>
  </si>
  <si>
    <t>vi + 66 hal.; 17,6 x 25 cm</t>
  </si>
  <si>
    <t>364.1323 Pendidikan Antikorupsi - Ayo, Belajar Cermat dan Hemat.jpg</t>
  </si>
  <si>
    <t>PENDIDIKAN ANRIKORUPSI - AYO, BELAJAR MENJADI ANAK YANG DISIPLIN DAN TANGGUNG JAWAB</t>
  </si>
  <si>
    <t>NUR FITRIYANI
YAYUK LESTARI</t>
  </si>
  <si>
    <t>SITI MUKHAYYAROH</t>
  </si>
  <si>
    <t>978-623-94270-3-0</t>
  </si>
  <si>
    <t>vi + 74  hlm. ; 17,6 x 25 cm</t>
  </si>
  <si>
    <t>364.1323 Pendidikan Antikorupsi Ayo, Belajar Menjadi Anak yang Disiplin dan Tanggung Jawab.jpg</t>
  </si>
  <si>
    <t>PENDIDIKAN ANTIKORUPSI - KUMPULAN DONGENG ANTIKORUPSI</t>
  </si>
  <si>
    <t>NUR FITRIYANI
SEKAR GALUH ENDAH P. L</t>
  </si>
  <si>
    <t>INDAH MARGAWATI</t>
  </si>
  <si>
    <t>978-623-94270-6-1</t>
  </si>
  <si>
    <t>vi + 74 hlm. ; 17,6 x 25 cm</t>
  </si>
  <si>
    <t>364.1323 Pendidikan Antikorupsi - Kumpulan Dongeng Antikorupsi.jpg</t>
  </si>
  <si>
    <t>PENDIDIKAN ANTIKORUPSI - BERANI JUJUR ITU HEBAT DAN KEREN</t>
  </si>
  <si>
    <t>ISTIANA NEN ARIENTI
ANNISA NUR ROHMAH</t>
  </si>
  <si>
    <t>NUR FITRIYANTI</t>
  </si>
  <si>
    <t>978-623-94270-4-7</t>
  </si>
  <si>
    <t>364.1323 Pendidikan Antikorupsi - Berani Jujur Itu Hebat dan Keren.jpg</t>
  </si>
  <si>
    <t>PENDIDIKAN ANTIKORUPSI - HIDUP INI SECUKUPNYA SAJA</t>
  </si>
  <si>
    <t>ISTIANA NEN ARIENTI
HARTOMO</t>
  </si>
  <si>
    <t>SRI WIDIYANTI</t>
  </si>
  <si>
    <t>978-623-94270-0-9</t>
  </si>
  <si>
    <t>364.1323 Hidup Ini Secukupnya Saja.jpg</t>
  </si>
  <si>
    <t>PENDIDIKAN ANTIKORUPSI - MENGAPA DIA KORUPSI?</t>
  </si>
  <si>
    <t>ISTIANA NEN ARIENTI
RISWANTI</t>
  </si>
  <si>
    <t>KUNCORO BUDI PRAMONO</t>
  </si>
  <si>
    <t>978-623-94270-7-8</t>
  </si>
  <si>
    <t>364.1323 Mengapa Dia Korupsi?.jpg</t>
  </si>
  <si>
    <t>PENDIDIKAN ANTIKORUPSI - AYO, BELAJAR HIDUP SEDERHANA JANGAN BOROS</t>
  </si>
  <si>
    <t>ISTIANA NEN ARIENTI
SARWO INDAH IKA WIGATI</t>
  </si>
  <si>
    <t>SEKAR GALUH E.P.L.</t>
  </si>
  <si>
    <t>978-623-94270-2-3</t>
  </si>
  <si>
    <t>viii + 72 hlm.; 17,6 x 25 cm</t>
  </si>
  <si>
    <t>364.1323 Pendidikan Antikorupsi - Ayo, Belajar Hidup Sederhana Jangan Boros.jpg</t>
  </si>
  <si>
    <t>PENDIDIKAN ANTIKORUPSI - CELAKA KARENA RAKUS</t>
  </si>
  <si>
    <t>NUR FITRIYANI
KUNCORO BUDI PRAMONO</t>
  </si>
  <si>
    <t>HARTOMO</t>
  </si>
  <si>
    <t>978-623-94270-5-4</t>
  </si>
  <si>
    <t>364.1323 Pendidikan Antikorupsi - Celaka Karena Rakus.jpg</t>
  </si>
  <si>
    <t>PENDIDIKAN ANTIKORUPSI - AYO, BELAJAR JUJUR MULAI DARI DIRI SENDIRI</t>
  </si>
  <si>
    <t>ISTIANA NEN ARIENTI
SARI RATNANINGSIH</t>
  </si>
  <si>
    <t>SRI LARASATI</t>
  </si>
  <si>
    <t>978-623-94270-8-5</t>
  </si>
  <si>
    <t>364.1323 Pendidikan Antikorupsi - Ayo, Belajar Jujur Mulai dari Diri Sendiri.jpg</t>
  </si>
  <si>
    <t>PENDIDIKAN ANTIKORUPSI - AYO, BELAJAR MENABUNG DENGAN CELENGAN AYAM</t>
  </si>
  <si>
    <t>SARI RATNANINGSIH</t>
  </si>
  <si>
    <t>978-623-94270-1-6</t>
  </si>
  <si>
    <t>vi + 56 hlm.; 17,6 x 25 cm</t>
  </si>
  <si>
    <t>Pendidikan Antikorupsi - Ayo, Belajar Menabung dengan Celengan Ayam.jpg</t>
  </si>
  <si>
    <t>UNTUNG BESAR BUDIDAYA JAMUR</t>
  </si>
  <si>
    <t>635.8</t>
  </si>
  <si>
    <t>BUDIDAYA JAMUR</t>
  </si>
  <si>
    <t>WAHYU EKO WIDIYATMOKO</t>
  </si>
  <si>
    <t>JIHAN IRLANICECHAN</t>
  </si>
  <si>
    <t>SUARA MEDIA SEJAHTERA</t>
  </si>
  <si>
    <t>978-623-7176-46-6</t>
  </si>
  <si>
    <t>vi + 66 hlm.; 17,6 x 25 cm</t>
  </si>
  <si>
    <t>635.8 Untung Besar Budidaya Jamur.jpg</t>
  </si>
  <si>
    <t>RAIH PELUANG DARI BUDIDAYA  SAYUR</t>
  </si>
  <si>
    <t>BUDIDAYA SAYUR</t>
  </si>
  <si>
    <t>ISNAENI MULYAWATI</t>
  </si>
  <si>
    <t>978-623-7176-37-4</t>
  </si>
  <si>
    <t>635 Raih Peluang dari Budidaya Sayur.jpg</t>
  </si>
  <si>
    <t>RAHASIA SUKSES BUDIDAYA BUAH LOKAL</t>
  </si>
  <si>
    <t>BUDIDAYA BUAH</t>
  </si>
  <si>
    <t>ESTI WULANDARI</t>
  </si>
  <si>
    <t>978-623-7176-33-6</t>
  </si>
  <si>
    <t>635 Rahasia Sukses Budidaya Buah Lokal.jpg</t>
  </si>
  <si>
    <t>SEHAT DAN SUKSES DARI BUDIDAYA TOGA</t>
  </si>
  <si>
    <t>BUDIDAYA TOGA</t>
  </si>
  <si>
    <t>978-623-7176-47-3</t>
  </si>
  <si>
    <t>630 Sehat dan Sukses dari Budidaya Toga.jpg</t>
  </si>
  <si>
    <t>OMSET MILIARAN BUDIDAYA ANGGREK</t>
  </si>
  <si>
    <t>BUDIDAYA TANAMAN HIAS</t>
  </si>
  <si>
    <t>LU'UL'UL MAKNUNAH</t>
  </si>
  <si>
    <t>978-623-7176-35-0</t>
  </si>
  <si>
    <t>vi + 82 hlm.; 17,6 x 25 cm</t>
  </si>
  <si>
    <t>635.9 Omset Miliaran Budidaya Anggrek.jpg</t>
  </si>
  <si>
    <t>MENTAL HEALTH AWARNESS BY GEN-Z</t>
  </si>
  <si>
    <t>616.89</t>
  </si>
  <si>
    <t>KESEHATAN KEJIAWAAN</t>
  </si>
  <si>
    <t>THARISYA PUTRI KHARISMA</t>
  </si>
  <si>
    <t>978-623-7176-38-1</t>
  </si>
  <si>
    <t>iv + 84 hlm.; 17,6 x 25 cm</t>
  </si>
  <si>
    <t>616.89 Mental Health Awareness by Gen-Z.jpg</t>
  </si>
  <si>
    <t>RESEP SEHAT BERBAHAN HERBAL</t>
  </si>
  <si>
    <t>OBAT-OBATAN ORGANIK</t>
  </si>
  <si>
    <t>FIRDA REZA AGUSTINA</t>
  </si>
  <si>
    <t>ANIS KHOIRUNISA</t>
  </si>
  <si>
    <t>978-623-7176-29-9</t>
  </si>
  <si>
    <t>iv + 76 hlm.; 17,6 x 25 cm</t>
  </si>
  <si>
    <t>615.3 Resep Sehat Berbahan Herbal.jpg</t>
  </si>
  <si>
    <t>A TO Z MENJAGA KESEHATAN REPRODUKSI REMAJA</t>
  </si>
  <si>
    <t>613.9</t>
  </si>
  <si>
    <t>KESEHATAN REPRODUKSI</t>
  </si>
  <si>
    <t>ANNISA KUSUMANINGRUM</t>
  </si>
  <si>
    <t>DIAH WULANDARI</t>
  </si>
  <si>
    <t>978-623-7176-39-8</t>
  </si>
  <si>
    <t>iv + 52 hlm.; 17,6 x 25 cm</t>
  </si>
  <si>
    <t>613.9 A to Z Menjaga Kesehatan Reproduksi Remaja.jpg</t>
  </si>
  <si>
    <t>AWASI ASUPAN GULAMU!</t>
  </si>
  <si>
    <t>ILMU DIET</t>
  </si>
  <si>
    <t>CICI ARFIAN ISTIQOMAH</t>
  </si>
  <si>
    <t>978-623-7176-32-9</t>
  </si>
  <si>
    <t>iv + 52 hlm.; 17,6 x 26 cm</t>
  </si>
  <si>
    <t>613.2 Awasi Asupan Gulamu!.jpg</t>
  </si>
  <si>
    <t>TAKE A DEEP BREATH (CARING YOUR RESPIRATORY SYSTEM)</t>
  </si>
  <si>
    <t>PERNAFASAN</t>
  </si>
  <si>
    <t>IKHSAN WAHYU PAMUNGKAS</t>
  </si>
  <si>
    <t>978-623-7176-36-7</t>
  </si>
  <si>
    <t>611.2 Take a Deep Breath.jpg</t>
  </si>
  <si>
    <t>MENARIK PELANGGAN BISNIS ONLINE DENGAN WEBSITE MARKETING</t>
  </si>
  <si>
    <t>658.8</t>
  </si>
  <si>
    <t>MARKETING</t>
  </si>
  <si>
    <t>WAHID SYAHIDIN
DESI SURYANINGSIH</t>
  </si>
  <si>
    <t>MEILANSARI NOOR H</t>
  </si>
  <si>
    <t>978-623-7176-30-5</t>
  </si>
  <si>
    <t>vi + 58 hlm.; 17,6 x 25 cm</t>
  </si>
  <si>
    <t>658.8 Menarik Pelanggan Bisnis Online dengan Website Marketing.jpg</t>
  </si>
  <si>
    <t>MANIS GURIH MERAUP UNTUNG</t>
  </si>
  <si>
    <t>SARI DWI ASTUTI
YUNITA MAYSYAROH</t>
  </si>
  <si>
    <t>978-623-7176-40-4</t>
  </si>
  <si>
    <t>338.04 Manis Gurih Meraup Untung.jpg</t>
  </si>
  <si>
    <t>KERAJINANKU, SUMBER CUANKU - KERAJINAN BAN BEKAS</t>
  </si>
  <si>
    <t>WAHYU EKO WIDIYATMOKO
THARISYA PUTRI KHARISMA</t>
  </si>
  <si>
    <t>978-623-7176-42-8</t>
  </si>
  <si>
    <t>338.04 Kerajinanku, Sumber Cuanku - Kerajinan Ban Bekas.jpg</t>
  </si>
  <si>
    <t>HOW TO BECOME A MILLIONEAIR FROM EVENT PLANNER</t>
  </si>
  <si>
    <t>YUNITA MAYSYAROH
SARI DWI ASTUTI</t>
  </si>
  <si>
    <t>978-623-7176-28-2</t>
  </si>
  <si>
    <t>338.04 How to Become a Millionair from Event Planner.jpg</t>
  </si>
  <si>
    <t>BE A CONTENT CREATOR WHY NOT!</t>
  </si>
  <si>
    <t>302.33</t>
  </si>
  <si>
    <t>MEDIA KOMUNIKASI</t>
  </si>
  <si>
    <t>LINDA MARWATI
THARISYA PUTRI KHARISMA</t>
  </si>
  <si>
    <t>978-623-7176-41-1</t>
  </si>
  <si>
    <t>302.23 Be a Content Creator Why Not!.jpg</t>
  </si>
  <si>
    <t>YUK KITA OLAH LIMBAH KELAPA</t>
  </si>
  <si>
    <t>PENGOLAHAN LIMBAH</t>
  </si>
  <si>
    <t>ANNISA NUR ROHMAH</t>
  </si>
  <si>
    <t>978-623-7176-43-5</t>
  </si>
  <si>
    <t>iv + 60 hlm.; 17,6 x 25 cm</t>
  </si>
  <si>
    <t>628.4 Yuk Kita Olah Limbah Kelapa.jpg</t>
  </si>
  <si>
    <t>MERAUP UNTUNG DARI SAMPAH PLASTIK</t>
  </si>
  <si>
    <t>WAHYU EKO W</t>
  </si>
  <si>
    <t>978-623-7176-52-7</t>
  </si>
  <si>
    <t>iv + 68 hlm.; 17,6 x 25 cm</t>
  </si>
  <si>
    <t>628.4 Meraup Untung dari Sampah Plastik.jpg</t>
  </si>
  <si>
    <t>MANFAATKAN LIMBAH ORGANIK MENJADI CUAN</t>
  </si>
  <si>
    <t>978-623-7176-31-2</t>
  </si>
  <si>
    <t>628.4 Memanfaatkan Limbah Organik Menjadi Cuan.jpg</t>
  </si>
  <si>
    <t>CARI TAHU PENGOLAHAN LIMBAH KIMIA</t>
  </si>
  <si>
    <t>IKA USWATUN HASANAH</t>
  </si>
  <si>
    <t>978-623-7176-34-3</t>
  </si>
  <si>
    <t>628.4 Cari Tahu Pengolahan Limbah Kimia.jpg</t>
  </si>
  <si>
    <t>APA ITU LIMBAH B3? - YUK KENALI PENGOLAHANNYA!</t>
  </si>
  <si>
    <t>RATNA PUTRA</t>
  </si>
  <si>
    <t>978-623-7176-44-2</t>
  </si>
  <si>
    <t>628.4 Apa Itu Limbah B3? Yuk Kenali Pengolahannya!.jpg</t>
  </si>
  <si>
    <t>PROSES ADALAH KEMENANGAN (DISIPLIN, KERJA KERAS, BERANI)</t>
  </si>
  <si>
    <t>978-602-488-976-0</t>
  </si>
  <si>
    <t>158.1 Proses adalah Kemenangan.jpg</t>
  </si>
  <si>
    <t>MENCAPAI IMPIAN DI TENGAH RINTANGAN (TANGGUNG JAWAB, KERJA KERAS, ADIL)</t>
  </si>
  <si>
    <t>ERVIANA NUR IZZATI</t>
  </si>
  <si>
    <t>978-602-488-992-0</t>
  </si>
  <si>
    <t>vi + 50 hlm.; 17,6 x 25 cm</t>
  </si>
  <si>
    <t>158.1 Mencapai Impian di Tengah Rintangan.jpg</t>
  </si>
  <si>
    <t>LANGKAH BERANI DI TENGAH KERAGUAN (JUJUR, MANDIRI, BERANI)</t>
  </si>
  <si>
    <t>RUTIANA PRASETYAWATI</t>
  </si>
  <si>
    <t>978-602-488-977-7</t>
  </si>
  <si>
    <t>158.1 Langkah Berani di Tengah Keraguan.jpg</t>
  </si>
  <si>
    <t>KEKUATAN DALAM RUTINITAS (TANGGUNG JAWAB, MANDIRI, PEDULI)</t>
  </si>
  <si>
    <t>IQBAL TRIANGGORO PUTRO</t>
  </si>
  <si>
    <t>978-602-488-993-7</t>
  </si>
  <si>
    <t>158.1 Kekuatan dalam Rutinitas.jpg</t>
  </si>
  <si>
    <t>JEJAK KECIL BERDAMPAK BESAR (JUJUR, SEDERHANA, PEDULI)</t>
  </si>
  <si>
    <t>978-602-488-981-4</t>
  </si>
  <si>
    <t>158.1 Jejak Kecil Berdampak Besar.jpg</t>
  </si>
  <si>
    <t>31 CERITA BADA ISYA Jilid 1</t>
  </si>
  <si>
    <t>SOFIAH MASHURI</t>
  </si>
  <si>
    <t>979-514-654-8</t>
  </si>
  <si>
    <t>65.hlm.</t>
  </si>
  <si>
    <t>31 CERITA BADA ISYA Jilid 11</t>
  </si>
  <si>
    <t>979-514-943-1</t>
  </si>
  <si>
    <t>65 hlm.</t>
  </si>
  <si>
    <t>31 CERITA BADA ISYA Jilid 9</t>
  </si>
  <si>
    <t>979-514-927-X</t>
  </si>
  <si>
    <t>62 hlm.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</si>
</sst>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, dd mmmm yyyy"/>
    <numFmt numFmtId="165" formatCode="0000"/>
    <numFmt numFmtId="166" formatCode="000"/>
    <numFmt numFmtId="167" formatCode="#,##0.0000"/>
  </numFmts>
  <fonts count="27">
    <font>
      <sz val="10.0"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color rgb="FF212529"/>
      <name val="-apple-system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B4A7D6"/>
        <bgColor rgb="FFB4A7D6"/>
      </patternFill>
    </fill>
    <fill>
      <patternFill patternType="solid">
        <fgColor rgb="FF7F6000"/>
        <bgColor rgb="FF7F6000"/>
      </patternFill>
    </fill>
    <fill>
      <patternFill patternType="solid">
        <fgColor rgb="FFFF9900"/>
        <bgColor rgb="FFFF9900"/>
      </patternFill>
    </fill>
    <fill>
      <patternFill patternType="solid">
        <fgColor rgb="FFF8FAFC"/>
        <bgColor rgb="FFF8FAFC"/>
      </patternFill>
    </fill>
    <fill>
      <patternFill patternType="solid">
        <fgColor rgb="FFA4C2F4"/>
        <bgColor rgb="FFA4C2F4"/>
      </patternFill>
    </fill>
    <fill>
      <patternFill patternType="solid">
        <fgColor rgb="FFA64D79"/>
        <bgColor rgb="FFA64D79"/>
      </patternFill>
    </fill>
  </fills>
  <borders count="17">
    <border/>
    <border>
      <right style="thin">
        <color rgb="FFEFEFEF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EFEFEF"/>
      </left>
      <right style="thin">
        <color rgb="FFEFEFEF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EFEFE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right style="thin">
        <color rgb="FF999999"/>
      </right>
    </border>
    <border>
      <left style="thin">
        <color rgb="FF999999"/>
      </left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3" fillId="3" fontId="2" numFmtId="164" xfId="0" applyAlignment="1" applyBorder="1" applyFill="1" applyFont="1" applyNumberForma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2" fontId="2" numFmtId="0" xfId="0" applyAlignment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2" fillId="0" fontId="4" numFmtId="0" xfId="0" applyAlignment="1" applyBorder="1" applyFont="1">
      <alignment readingOrder="0" vertical="center"/>
    </xf>
    <xf borderId="0" fillId="5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7" fontId="3" numFmtId="3" xfId="0" applyAlignment="1" applyFill="1" applyFont="1" applyNumberFormat="1">
      <alignment horizontal="center" shrinkToFit="0" vertical="center" wrapText="1"/>
    </xf>
    <xf borderId="0" fillId="8" fontId="3" numFmtId="9" xfId="0" applyAlignment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readingOrder="0" shrinkToFit="0" vertical="center" wrapText="1"/>
    </xf>
    <xf quotePrefix="1" borderId="2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7" numFmtId="0" xfId="0" applyAlignment="1" applyFont="1">
      <alignment readingOrder="0"/>
    </xf>
    <xf borderId="0" fillId="0" fontId="7" numFmtId="0" xfId="0" applyFont="1"/>
    <xf borderId="2" fillId="0" fontId="3" numFmtId="0" xfId="0" applyAlignment="1" applyBorder="1" applyFont="1">
      <alignment horizontal="left" shrinkToFit="0" vertical="center" wrapText="1"/>
    </xf>
    <xf borderId="2" fillId="0" fontId="3" numFmtId="49" xfId="0" applyAlignment="1" applyBorder="1" applyFont="1" applyNumberFormat="1">
      <alignment horizontal="left" readingOrder="0" shrinkToFit="0" vertical="center" wrapText="1"/>
    </xf>
    <xf borderId="2" fillId="0" fontId="8" numFmtId="0" xfId="0" applyAlignment="1" applyBorder="1" applyFont="1">
      <alignment readingOrder="0" vertical="center"/>
    </xf>
    <xf borderId="2" fillId="0" fontId="9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4" xfId="0" applyAlignment="1" applyBorder="1" applyFont="1" applyNumberFormat="1">
      <alignment horizontal="left" readingOrder="0" shrinkToFit="0" vertical="center" wrapText="1"/>
    </xf>
    <xf borderId="2" fillId="0" fontId="3" numFmtId="166" xfId="0" applyAlignment="1" applyBorder="1" applyFont="1" applyNumberFormat="1">
      <alignment horizontal="left"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3" numFmtId="164" xfId="0" applyAlignment="1" applyBorder="1" applyFont="1" applyNumberFormat="1">
      <alignment horizontal="left" readingOrder="0" shrinkToFit="0" vertical="center" wrapText="1"/>
    </xf>
    <xf borderId="2" fillId="0" fontId="3" numFmtId="0" xfId="0" applyBorder="1" applyFont="1"/>
    <xf borderId="2" fillId="0" fontId="3" numFmtId="3" xfId="0" applyAlignment="1" applyBorder="1" applyFont="1" applyNumberForma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readingOrder="0" vertical="center"/>
    </xf>
    <xf borderId="2" fillId="0" fontId="3" numFmtId="164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0" fillId="8" fontId="12" numFmtId="0" xfId="0" applyAlignment="1" applyBorder="1" applyFill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9" fillId="9" fontId="10" numFmtId="0" xfId="0" applyAlignment="1" applyBorder="1" applyFill="1" applyFon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 vertical="center"/>
    </xf>
    <xf borderId="14" fillId="10" fontId="10" numFmtId="0" xfId="0" applyAlignment="1" applyBorder="1" applyFill="1" applyFont="1">
      <alignment horizontal="center" shrinkToFit="0" vertical="center" wrapText="1"/>
    </xf>
    <xf borderId="14" fillId="0" fontId="10" numFmtId="0" xfId="0" applyAlignment="1" applyBorder="1" applyFont="1">
      <alignment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5" fillId="0" fontId="3" numFmtId="0" xfId="0" applyAlignment="1" applyBorder="1" applyFont="1">
      <alignment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readingOrder="0" vertical="center"/>
    </xf>
    <xf borderId="2" fillId="0" fontId="16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vertical="center"/>
    </xf>
    <xf borderId="2" fillId="0" fontId="10" numFmtId="0" xfId="0" applyAlignment="1" applyBorder="1" applyFont="1">
      <alignment horizontal="left"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readingOrder="0" shrinkToFit="0" vertical="center" wrapText="1"/>
    </xf>
    <xf borderId="2" fillId="0" fontId="10" numFmtId="165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11" fontId="10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horizontal="right" shrinkToFit="0" vertical="center" wrapText="1"/>
    </xf>
    <xf borderId="4" fillId="0" fontId="10" numFmtId="0" xfId="0" applyAlignment="1" applyBorder="1" applyFont="1">
      <alignment shrinkToFit="0" vertical="center" wrapText="1"/>
    </xf>
    <xf borderId="2" fillId="0" fontId="3" numFmtId="11" xfId="0" applyAlignment="1" applyBorder="1" applyFont="1" applyNumberFormat="1">
      <alignment readingOrder="0" shrinkToFit="0" vertical="center" wrapText="1"/>
    </xf>
    <xf borderId="2" fillId="0" fontId="3" numFmtId="49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" xfId="0" applyAlignment="1" applyFont="1" applyNumberFormat="1">
      <alignment shrinkToFit="0" vertical="center" wrapText="1"/>
    </xf>
    <xf borderId="2" fillId="12" fontId="3" numFmtId="0" xfId="0" applyAlignment="1" applyBorder="1" applyFill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0" fillId="0" fontId="3" numFmtId="164" xfId="0" applyAlignment="1" applyFont="1" applyNumberFormat="1">
      <alignment horizontal="left"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2" fillId="6" fontId="10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2" fillId="0" fontId="10" numFmtId="0" xfId="0" applyAlignment="1" applyBorder="1" applyFont="1">
      <alignment vertical="center"/>
    </xf>
    <xf borderId="7" fillId="0" fontId="3" numFmtId="0" xfId="0" applyAlignment="1" applyBorder="1" applyFont="1">
      <alignment horizontal="left" readingOrder="0" shrinkToFit="0" vertical="center" wrapText="1"/>
    </xf>
    <xf borderId="0" fillId="0" fontId="3" numFmtId="167" xfId="0" applyAlignment="1" applyFont="1" applyNumberFormat="1">
      <alignment horizontal="left" readingOrder="0" shrinkToFit="0" vertical="center" wrapText="1"/>
    </xf>
    <xf borderId="7" fillId="0" fontId="3" numFmtId="0" xfId="0" applyAlignment="1" applyBorder="1" applyFont="1">
      <alignment readingOrder="0" vertical="center"/>
    </xf>
    <xf borderId="2" fillId="13" fontId="10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readingOrder="0" vertical="center"/>
    </xf>
    <xf borderId="0" fillId="0" fontId="10" numFmtId="0" xfId="0" applyAlignment="1" applyFont="1">
      <alignment vertical="center"/>
    </xf>
    <xf borderId="2" fillId="14" fontId="18" numFmtId="0" xfId="0" applyAlignment="1" applyBorder="1" applyFill="1" applyFont="1">
      <alignment vertical="center"/>
    </xf>
    <xf borderId="2" fillId="12" fontId="10" numFmtId="0" xfId="0" applyAlignment="1" applyBorder="1" applyFill="1" applyFont="1">
      <alignment shrinkToFit="0" vertical="center" wrapText="1"/>
    </xf>
    <xf borderId="2" fillId="15" fontId="10" numFmtId="0" xfId="0" applyAlignment="1" applyBorder="1" applyFill="1" applyFont="1">
      <alignment shrinkToFit="0" vertical="center" wrapText="1"/>
    </xf>
    <xf borderId="2" fillId="16" fontId="10" numFmtId="0" xfId="0" applyAlignment="1" applyBorder="1" applyFill="1" applyFont="1">
      <alignment shrinkToFit="0" vertical="center" wrapText="1"/>
    </xf>
    <xf borderId="7" fillId="0" fontId="3" numFmtId="3" xfId="0" applyAlignment="1" applyBorder="1" applyFont="1" applyNumberFormat="1">
      <alignment horizontal="left" readingOrder="0"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2" fillId="0" fontId="19" numFmtId="49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horizontal="left"/>
    </xf>
    <xf borderId="2" fillId="0" fontId="20" numFmtId="0" xfId="0" applyAlignment="1" applyBorder="1" applyFont="1">
      <alignment readingOrder="0" shrinkToFit="0" vertical="center" wrapText="1"/>
    </xf>
    <xf borderId="2" fillId="0" fontId="21" numFmtId="0" xfId="0" applyAlignment="1" applyBorder="1" applyFont="1">
      <alignment readingOrder="0" vertical="center"/>
    </xf>
    <xf borderId="2" fillId="0" fontId="22" numFmtId="0" xfId="0" applyAlignment="1" applyBorder="1" applyFont="1">
      <alignment shrinkToFit="0" vertical="center" wrapText="1"/>
    </xf>
    <xf borderId="2" fillId="0" fontId="23" numFmtId="0" xfId="0" applyAlignment="1" applyBorder="1" applyFont="1">
      <alignment readingOrder="0" shrinkToFit="0" vertical="center" wrapText="1"/>
    </xf>
    <xf borderId="7" fillId="0" fontId="24" numFmtId="0" xfId="0" applyAlignment="1" applyBorder="1" applyFont="1">
      <alignment readingOrder="0" shrinkToFit="0" vertical="center" wrapText="1"/>
    </xf>
    <xf borderId="14" fillId="0" fontId="25" numFmtId="0" xfId="0" applyAlignment="1" applyBorder="1" applyFont="1">
      <alignment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4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JUMLAH JUDUL BUKU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'LAPORAN BUKU'!$A$3:$A$12</c:f>
            </c:strRef>
          </c:cat>
          <c:val>
            <c:numRef>
              <c:f>'LAPORAN BUKU'!$B$3:$B$12</c:f>
              <c:numCache/>
            </c:numRef>
          </c:val>
        </c:ser>
        <c:axId val="1461608254"/>
        <c:axId val="2096296319"/>
      </c:barChart>
      <c:catAx>
        <c:axId val="1461608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KATEGORI BUKU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296319"/>
      </c:catAx>
      <c:valAx>
        <c:axId val="2096296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JUMLAH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608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180975</xdr:rowOff>
    </xdr:from>
    <xdr:ext cx="7639050" cy="438150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RllHIrUl3mu1W-dB9zvgN9ijofL_3gPR/view?usp=sharing" TargetMode="External"/><Relationship Id="rId194" Type="http://schemas.openxmlformats.org/officeDocument/2006/relationships/hyperlink" Target="https://drive.google.com/file/d/1ZxegCpISQMercdV0kZ8C--6Qyen708lK/view?usp=sharing" TargetMode="External"/><Relationship Id="rId193" Type="http://schemas.openxmlformats.org/officeDocument/2006/relationships/hyperlink" Target="https://drive.google.com/file/d/1HjH21EIVEk8NuSd5ob2qOVhL_XyXB_zx/view?usp=sharing" TargetMode="External"/><Relationship Id="rId192" Type="http://schemas.openxmlformats.org/officeDocument/2006/relationships/hyperlink" Target="https://drive.google.com/file/d/1y7-xmGoHkKBVsE2QXZGLHjs_rCGk9LOV/view?usp=sharing" TargetMode="External"/><Relationship Id="rId191" Type="http://schemas.openxmlformats.org/officeDocument/2006/relationships/hyperlink" Target="https://drive.google.com/file/d/1SQ92cGAFb4PXhAxg_Xz72jXajQFb8WM8/view?usp=sharing" TargetMode="External"/><Relationship Id="rId187" Type="http://schemas.openxmlformats.org/officeDocument/2006/relationships/hyperlink" Target="https://drive.google.com/file/d/1391DKr1aT2dGZqsuthWuffVcoyvEvT5R/view?usp=sharing" TargetMode="External"/><Relationship Id="rId186" Type="http://schemas.openxmlformats.org/officeDocument/2006/relationships/hyperlink" Target="https://drive.google.com/file/d/1jLeTe1IicCw5-js1DxuJPJ4P9XAigGtU/view?usp=sharing" TargetMode="External"/><Relationship Id="rId185" Type="http://schemas.openxmlformats.org/officeDocument/2006/relationships/hyperlink" Target="https://drive.google.com/file/d/1A9wlApjeTOGnFsGv4kPTn6ugDYTOCjBX/view?usp=sharing" TargetMode="External"/><Relationship Id="rId184" Type="http://schemas.openxmlformats.org/officeDocument/2006/relationships/hyperlink" Target="https://drive.google.com/file/d/1IMdU8cp7qEFQuU1j3LnjpBFH9O0htToP/view?usp=sharing" TargetMode="External"/><Relationship Id="rId189" Type="http://schemas.openxmlformats.org/officeDocument/2006/relationships/hyperlink" Target="https://drive.google.com/file/d/168UBHhek1II3Uhnl8tXOQIvgsvClexj4/view?usp=sharing" TargetMode="External"/><Relationship Id="rId188" Type="http://schemas.openxmlformats.org/officeDocument/2006/relationships/hyperlink" Target="https://drive.google.com/file/d/1peSaNd_hY8wVVGe1PUbAeLw31auywQs7/view?usp=sharing" TargetMode="External"/><Relationship Id="rId183" Type="http://schemas.openxmlformats.org/officeDocument/2006/relationships/hyperlink" Target="https://drive.google.com/file/d/1O-PVRSXUP77MRBycdNWWjwHJDx8zp2eC/view?usp=sharing" TargetMode="External"/><Relationship Id="rId182" Type="http://schemas.openxmlformats.org/officeDocument/2006/relationships/hyperlink" Target="https://drive.google.com/file/d/1gcaPIPRPTIP7NAWPYeYFXEOKRsbAMrRh/view?usp=sharing" TargetMode="External"/><Relationship Id="rId181" Type="http://schemas.openxmlformats.org/officeDocument/2006/relationships/hyperlink" Target="https://drive.google.com/file/d/1IHDJ5VchAOcSOfesVf4oBk0cK5C2LSJ6/view?usp=sharing" TargetMode="External"/><Relationship Id="rId180" Type="http://schemas.openxmlformats.org/officeDocument/2006/relationships/hyperlink" Target="https://drive.google.com/file/d/1wbnNoPcXIdWSqzhDLWvp-oy7KyBTCT7e/view?usp=sharing" TargetMode="External"/><Relationship Id="rId176" Type="http://schemas.openxmlformats.org/officeDocument/2006/relationships/hyperlink" Target="https://drive.google.com/file/d/1wUYjpzPpu7xeN5nGcj0Ik1fxUNFGstDH/view?usp=sharing" TargetMode="External"/><Relationship Id="rId175" Type="http://schemas.openxmlformats.org/officeDocument/2006/relationships/hyperlink" Target="https://drive.google.com/file/d/1jn0fISt20iQHjE22PDMEXYPpQyN39AkZ/view?usp=sharing" TargetMode="External"/><Relationship Id="rId174" Type="http://schemas.openxmlformats.org/officeDocument/2006/relationships/hyperlink" Target="https://drive.google.com/file/d/1S6ZcAhkybD_oPiPwsL8NlpfbqkAqg9Mv/view?usp=sharing" TargetMode="External"/><Relationship Id="rId173" Type="http://schemas.openxmlformats.org/officeDocument/2006/relationships/hyperlink" Target="https://drive.google.com/file/d/1YUDx9PK-Nu6OCpuZnVKDdMQA8uKBEbtM/view?usp=sharing" TargetMode="External"/><Relationship Id="rId179" Type="http://schemas.openxmlformats.org/officeDocument/2006/relationships/hyperlink" Target="https://drive.google.com/file/d/1bj1dujgAtCHRXEbcSffbcWY8VfVijHIS/view?usp=sharing" TargetMode="External"/><Relationship Id="rId178" Type="http://schemas.openxmlformats.org/officeDocument/2006/relationships/hyperlink" Target="https://drive.google.com/file/d/1kydSzZBywrWlvNPaqI8FDhwFnBeeFI0_/view?usp=sharing" TargetMode="External"/><Relationship Id="rId177" Type="http://schemas.openxmlformats.org/officeDocument/2006/relationships/hyperlink" Target="https://drive.google.com/file/d/1GdIZn9RP9bzfGZLm98Bi8_bHZv9xMZ26/view?usp=sharing" TargetMode="External"/><Relationship Id="rId198" Type="http://schemas.openxmlformats.org/officeDocument/2006/relationships/hyperlink" Target="https://drive.google.com/file/d/1umIACBzzmHeXFVGpPENikBszkqBEoWws/view?usp=sharing" TargetMode="External"/><Relationship Id="rId197" Type="http://schemas.openxmlformats.org/officeDocument/2006/relationships/hyperlink" Target="https://drive.google.com/file/d/1F2SQ21fUeu5MFAqtBgE0RGpyAydQ6Nxh/view?usp=sharing" TargetMode="External"/><Relationship Id="rId196" Type="http://schemas.openxmlformats.org/officeDocument/2006/relationships/hyperlink" Target="https://drive.google.com/file/d/1kJvSKBhON1yjUMF3Rxsxtn1oAdf2InRp/view?usp=sharing" TargetMode="External"/><Relationship Id="rId195" Type="http://schemas.openxmlformats.org/officeDocument/2006/relationships/hyperlink" Target="https://drive.google.com/file/d/1u5z5f791bl_Nvyb8Rth485cWFUqAp6N_/view?usp=sharing" TargetMode="External"/><Relationship Id="rId199" Type="http://schemas.openxmlformats.org/officeDocument/2006/relationships/hyperlink" Target="https://drive.google.com/file/d/1uMnzFmKkAwWmBcBI-oUvuXwRNYV3f-G4/view?usp=sharing" TargetMode="External"/><Relationship Id="rId150" Type="http://schemas.openxmlformats.org/officeDocument/2006/relationships/hyperlink" Target="https://drive.google.com/file/d/13noVJ6ft0KPcLk-UIViH839TIrTa5zHR/view?usp=sharing" TargetMode="External"/><Relationship Id="rId392" Type="http://schemas.openxmlformats.org/officeDocument/2006/relationships/hyperlink" Target="https://drive.google.com/file/d/1zfXILPSr4FHI7UIaSAFADi9f7kueFh69/view?usp=sharing" TargetMode="External"/><Relationship Id="rId391" Type="http://schemas.openxmlformats.org/officeDocument/2006/relationships/hyperlink" Target="https://drive.google.com/file/d/1egXdTtl1AvGuHNLNYB0eBHHMMOjnzXXL/view?usp=drive_link" TargetMode="External"/><Relationship Id="rId390" Type="http://schemas.openxmlformats.org/officeDocument/2006/relationships/hyperlink" Target="https://drive.google.com/file/d/1UvA9woIMP9fFsxeJ2djGRZQ6i1cezS1Z/view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CPgAhyIu1kP9ko5ZiJyVaj6oi2_b7UFD/view?usp=sharing" TargetMode="External"/><Relationship Id="rId3" Type="http://schemas.openxmlformats.org/officeDocument/2006/relationships/hyperlink" Target="https://drive.google.com/file/d/14IUCadH1j5In4gFnZLyLRHIVrOOD75jj/view?usp=sharing" TargetMode="External"/><Relationship Id="rId149" Type="http://schemas.openxmlformats.org/officeDocument/2006/relationships/hyperlink" Target="https://drive.google.com/file/d/1pJBWlJ5Tzmwu8S_zW51y5kWJ0bmXKQhD/view?usp=sharing" TargetMode="External"/><Relationship Id="rId4" Type="http://schemas.openxmlformats.org/officeDocument/2006/relationships/hyperlink" Target="https://drive.google.com/file/d/1hf6FnZX3wEZdlULSgczpQM9aCkCEyahJ/view?usp=sharing" TargetMode="External"/><Relationship Id="rId148" Type="http://schemas.openxmlformats.org/officeDocument/2006/relationships/hyperlink" Target="https://drive.google.com/file/d/1VdEjZXVrFcn6_02X9PGTXH4oI5q21qLu/view?usp=sharing" TargetMode="External"/><Relationship Id="rId1090" Type="http://schemas.openxmlformats.org/officeDocument/2006/relationships/hyperlink" Target="https://drive.google.com/file/d/1YN93ZoEPkXKV-EQ2DM9UKP87V8b5q4vU/view?usp=sharing" TargetMode="External"/><Relationship Id="rId1091" Type="http://schemas.openxmlformats.org/officeDocument/2006/relationships/hyperlink" Target="https://drive.google.com/file/d/1_F7YN0V9iz7ozQ8uVJPoSPa9bwiuB-wO/view?usp=sharing" TargetMode="External"/><Relationship Id="rId1092" Type="http://schemas.openxmlformats.org/officeDocument/2006/relationships/hyperlink" Target="https://drive.google.com/file/d/18H3MBulq1HJ2FLiZqfeYB8_fKjd174LO/view?usp=sharing" TargetMode="External"/><Relationship Id="rId1093" Type="http://schemas.openxmlformats.org/officeDocument/2006/relationships/hyperlink" Target="https://drive.google.com/file/d/1uBKiGt1UHZUW8ytg__nRPU5JlKe7cBLM/view?usp=sharing" TargetMode="External"/><Relationship Id="rId1094" Type="http://schemas.openxmlformats.org/officeDocument/2006/relationships/hyperlink" Target="https://drive.google.com/file/d/1YJK00OTVCsQa7H-4-fYmwD--Grgb-gHi/view?usp=sharing" TargetMode="External"/><Relationship Id="rId9" Type="http://schemas.openxmlformats.org/officeDocument/2006/relationships/hyperlink" Target="https://drive.google.com/file/d/1pSLwx2qXCE28WXY26wx9CjLRTMBmNtuD/view?usp=sharing" TargetMode="External"/><Relationship Id="rId143" Type="http://schemas.openxmlformats.org/officeDocument/2006/relationships/hyperlink" Target="https://drive.google.com/file/d/1eXjvRN1eCbrUf1AF7mGDiO8n2KVU8XzD/view?usp=sharing" TargetMode="External"/><Relationship Id="rId385" Type="http://schemas.openxmlformats.org/officeDocument/2006/relationships/hyperlink" Target="https://drive.google.com/file/d/1DYFzHGgmANtZxN5DZ5lLtDBf9bdmTBUN/view?usp=sharing" TargetMode="External"/><Relationship Id="rId1095" Type="http://schemas.openxmlformats.org/officeDocument/2006/relationships/hyperlink" Target="https://drive.google.com/file/d/1jsqAfJCec8TacDC2qliiNYO_GOZ0gsUn/view?usp=sharing" TargetMode="External"/><Relationship Id="rId142" Type="http://schemas.openxmlformats.org/officeDocument/2006/relationships/hyperlink" Target="https://drive.google.com/file/d/1XGteKAQ8dXmDb83z-6MAEE-lhne340h6/view?usp=drive_link" TargetMode="External"/><Relationship Id="rId384" Type="http://schemas.openxmlformats.org/officeDocument/2006/relationships/hyperlink" Target="https://drive.google.com/file/d/1TbXC4eNHPOJ5WXzaUQxqch0d4MDGEE9w/view?usp=sharing" TargetMode="External"/><Relationship Id="rId1096" Type="http://schemas.openxmlformats.org/officeDocument/2006/relationships/hyperlink" Target="https://drive.google.com/file/d/1pwHOVR0UCAR_nczA1cmFORnF5O52F4Au/view?usp=sharing" TargetMode="External"/><Relationship Id="rId141" Type="http://schemas.openxmlformats.org/officeDocument/2006/relationships/hyperlink" Target="https://drive.google.com/file/d/1b_kSdhmfa9qCSDbOAihx_on7PA1BVH85/view?usp=sharing" TargetMode="External"/><Relationship Id="rId383" Type="http://schemas.openxmlformats.org/officeDocument/2006/relationships/hyperlink" Target="https://drive.google.com/file/d/1UTvnTbxW479h-L2bPnScnQdVi-dk5UKh/view?usp=sharing" TargetMode="External"/><Relationship Id="rId1097" Type="http://schemas.openxmlformats.org/officeDocument/2006/relationships/hyperlink" Target="https://drive.google.com/file/d/1X3WtubyC18vHxw9IGsoMfv1Ed-kCSQsu/view?usp=sharing" TargetMode="External"/><Relationship Id="rId140" Type="http://schemas.openxmlformats.org/officeDocument/2006/relationships/hyperlink" Target="https://drive.google.com/file/d/1eL9hwECnPzxvlHlyL1ilFCfNd2OaKp7R/view?usp=sharing" TargetMode="External"/><Relationship Id="rId382" Type="http://schemas.openxmlformats.org/officeDocument/2006/relationships/hyperlink" Target="https://drive.google.com/file/d/1JpR2Y5aeV6rpt6d2Uw1FinohCSl9EamF/view?usp=sharing" TargetMode="External"/><Relationship Id="rId1098" Type="http://schemas.openxmlformats.org/officeDocument/2006/relationships/hyperlink" Target="https://drive.google.com/file/d/1zO048CGRyhbUjC9JHCVTNzxdIndDqnlP/view?usp=sharing" TargetMode="External"/><Relationship Id="rId5" Type="http://schemas.openxmlformats.org/officeDocument/2006/relationships/hyperlink" Target="https://drive.google.com/file/d/15y_ov8yhLE1P7pOC27R8WWW7L9_gcxuz/view?usp=sharing" TargetMode="External"/><Relationship Id="rId147" Type="http://schemas.openxmlformats.org/officeDocument/2006/relationships/hyperlink" Target="https://drive.google.com/file/d/1MGH3N97OBX08v_7H1WHTuVGdOanDNRAI/view?usp=sharing" TargetMode="External"/><Relationship Id="rId389" Type="http://schemas.openxmlformats.org/officeDocument/2006/relationships/hyperlink" Target="https://drive.google.com/file/d/1YPMLI0AGampliXTU0rrXzSsw4sgfaaeF/view?usp=sharing" TargetMode="External"/><Relationship Id="rId1099" Type="http://schemas.openxmlformats.org/officeDocument/2006/relationships/hyperlink" Target="https://drive.google.com/file/d/1B2sJ3HcHZ5NKhOJCgKuu4QsTxN5vLInL/view?usp=sharing" TargetMode="External"/><Relationship Id="rId6" Type="http://schemas.openxmlformats.org/officeDocument/2006/relationships/hyperlink" Target="https://drive.google.com/file/d/12mfeIAdUkJusFNYIl5bqUgZsE5f55JcS/view?usp=sharing" TargetMode="External"/><Relationship Id="rId146" Type="http://schemas.openxmlformats.org/officeDocument/2006/relationships/hyperlink" Target="https://drive.google.com/file/d/13nlZ7lMrWmE-THUKE5p87U6XHxNfvS55/view?usp=sharing" TargetMode="External"/><Relationship Id="rId388" Type="http://schemas.openxmlformats.org/officeDocument/2006/relationships/hyperlink" Target="https://drive.google.com/file/d/1ftgovYlZJq7kZ9iKzeP7LleDCds2u26a/view?usp=sharing" TargetMode="External"/><Relationship Id="rId7" Type="http://schemas.openxmlformats.org/officeDocument/2006/relationships/hyperlink" Target="https://drive.google.com/file/d/1Iy0zp3OzdIvyS02sHTCNIkl9q-7bosGG/view?usp=sharing" TargetMode="External"/><Relationship Id="rId145" Type="http://schemas.openxmlformats.org/officeDocument/2006/relationships/hyperlink" Target="https://drive.google.com/file/d/1UZWYcir-6uO4RJ0h-d0uplLG9V0mucTl/view?usp=sharing" TargetMode="External"/><Relationship Id="rId387" Type="http://schemas.openxmlformats.org/officeDocument/2006/relationships/hyperlink" Target="https://drive.google.com/file/d/17YT7R-PhOEiChq6HifeZYU9F31JiBqCt/view?usp=sharing" TargetMode="External"/><Relationship Id="rId8" Type="http://schemas.openxmlformats.org/officeDocument/2006/relationships/hyperlink" Target="https://drive.google.com/file/d/12sfTm8I4fRpaLSJoDRnXgUlCFHObg-Ps/view?usp=sharing" TargetMode="External"/><Relationship Id="rId144" Type="http://schemas.openxmlformats.org/officeDocument/2006/relationships/hyperlink" Target="https://drive.google.com/file/d/1huAiekmv5Xieb9ujY-V64tVFvPNm_w-N/view?usp=sharing" TargetMode="External"/><Relationship Id="rId386" Type="http://schemas.openxmlformats.org/officeDocument/2006/relationships/hyperlink" Target="https://drive.google.com/file/d/1QXGYelwboTQ5Q-0K18lP3R4NPxOmoLJp/view?usp=sharing" TargetMode="External"/><Relationship Id="rId381" Type="http://schemas.openxmlformats.org/officeDocument/2006/relationships/hyperlink" Target="https://drive.google.com/file/d/1NUe2DbJceytTExBkA3O4ngYUJqfe97Gp/view?usp=sharing" TargetMode="External"/><Relationship Id="rId380" Type="http://schemas.openxmlformats.org/officeDocument/2006/relationships/hyperlink" Target="https://drive.google.com/file/d/1gf1dKj_Xo6EPJ5I4oBUMwnXfdvn8y_O3/view?usp=sharing" TargetMode="External"/><Relationship Id="rId139" Type="http://schemas.openxmlformats.org/officeDocument/2006/relationships/hyperlink" Target="https://drive.google.com/file/d/1tlk6VBKrBffyViVDdkSIAb6cDgoGgYM_/view?usp=sharing" TargetMode="External"/><Relationship Id="rId138" Type="http://schemas.openxmlformats.org/officeDocument/2006/relationships/hyperlink" Target="https://drive.google.com/file/d/1Pdf_q8FoLKpGJAYVFXmaqiB0dLcWb90W/view?usp=sharing" TargetMode="External"/><Relationship Id="rId137" Type="http://schemas.openxmlformats.org/officeDocument/2006/relationships/hyperlink" Target="https://drive.google.com/file/d/1CSetWwwKS0lFz8gkn9bNL-qtEW__w9NV/view?usp=sharing" TargetMode="External"/><Relationship Id="rId379" Type="http://schemas.openxmlformats.org/officeDocument/2006/relationships/hyperlink" Target="https://drive.google.com/file/d/1QYbO83J_S6GAAx2wX1L_-U_yyJenX9jE/view?usp=sharing" TargetMode="External"/><Relationship Id="rId1080" Type="http://schemas.openxmlformats.org/officeDocument/2006/relationships/hyperlink" Target="https://drive.google.com/file/d/1SikGXUbMKr7CQQVfOIMulAQDhO7JJY7N/view?usp=sharing" TargetMode="External"/><Relationship Id="rId1081" Type="http://schemas.openxmlformats.org/officeDocument/2006/relationships/hyperlink" Target="https://drive.google.com/file/d/1g3UVi7r7k7hUQJ-UG50JfaN-1A_DEkUf/view?usp=sharing" TargetMode="External"/><Relationship Id="rId1082" Type="http://schemas.openxmlformats.org/officeDocument/2006/relationships/hyperlink" Target="https://drive.google.com/file/d/1Tj0uwN79jMYrEjzzX_J7j0RMff6CX-3v/view?usp=sharing" TargetMode="External"/><Relationship Id="rId1083" Type="http://schemas.openxmlformats.org/officeDocument/2006/relationships/hyperlink" Target="https://drive.google.com/file/d/13z0-NC4Qkbh2dh9SWNamAw3ieLFJDury/view?usp=sharing" TargetMode="External"/><Relationship Id="rId132" Type="http://schemas.openxmlformats.org/officeDocument/2006/relationships/hyperlink" Target="https://drive.google.com/file/d/1sZzfi7NVOuK_qdUnfPXza2SD19KMAW9_/view?usp=sharing" TargetMode="External"/><Relationship Id="rId374" Type="http://schemas.openxmlformats.org/officeDocument/2006/relationships/hyperlink" Target="https://drive.google.com/file/d/1zB4hyJdBlpUftLFIp-1IJvYGPsch7SpI/view?usp=sharing" TargetMode="External"/><Relationship Id="rId1084" Type="http://schemas.openxmlformats.org/officeDocument/2006/relationships/hyperlink" Target="https://drive.google.com/file/d/1R_2btbPABXC0KCEZ3wVMh38YlGbIkg0T/view?usp=sharing" TargetMode="External"/><Relationship Id="rId131" Type="http://schemas.openxmlformats.org/officeDocument/2006/relationships/hyperlink" Target="https://drive.google.com/file/d/10ErtnHj7hCG6nSQ3PmHXxImWOBstAc_1/view?usp=sharing" TargetMode="External"/><Relationship Id="rId373" Type="http://schemas.openxmlformats.org/officeDocument/2006/relationships/hyperlink" Target="https://drive.google.com/file/d/1LvOnWRkjFj-PgsCwu-hoS9Tee7mBNWK-/view?usp=sharing" TargetMode="External"/><Relationship Id="rId1085" Type="http://schemas.openxmlformats.org/officeDocument/2006/relationships/hyperlink" Target="https://drive.google.com/file/d/1IvXrkGIcRRKiVK6tz8Q7P8xDWNdsBmJz/view?usp=sharing" TargetMode="External"/><Relationship Id="rId130" Type="http://schemas.openxmlformats.org/officeDocument/2006/relationships/hyperlink" Target="https://drive.google.com/file/d/1JVpFbIM-2nuTM68SWUzsZR1ysheY2KB4/view?usp=sharing" TargetMode="External"/><Relationship Id="rId372" Type="http://schemas.openxmlformats.org/officeDocument/2006/relationships/hyperlink" Target="https://drive.google.com/file/d/1UYHQzDS3nsIC5XbsrFi1PJx0LSnfxlAm/view?usp=sharing" TargetMode="External"/><Relationship Id="rId1086" Type="http://schemas.openxmlformats.org/officeDocument/2006/relationships/hyperlink" Target="https://drive.google.com/file/d/1lu1JqzvwbJn4V9raijoBA_rbZkz74Bnu/view?usp=sharing" TargetMode="External"/><Relationship Id="rId371" Type="http://schemas.openxmlformats.org/officeDocument/2006/relationships/hyperlink" Target="https://drive.google.com/file/d/1Tg6wvmWUFb13yangmO_kMGcgOLPoaJrV/view?usp=sharing" TargetMode="External"/><Relationship Id="rId1087" Type="http://schemas.openxmlformats.org/officeDocument/2006/relationships/hyperlink" Target="https://drive.google.com/file/d/19QBUjmv_5IMKSBdR3RDQYUhQ4Dt5N_mA/view?usp=sharing" TargetMode="External"/><Relationship Id="rId136" Type="http://schemas.openxmlformats.org/officeDocument/2006/relationships/hyperlink" Target="https://drive.google.com/file/d/1oPY9774aYxpyTUQNjpOtqPMaVdQBcKqK/view?usp=sharing" TargetMode="External"/><Relationship Id="rId378" Type="http://schemas.openxmlformats.org/officeDocument/2006/relationships/hyperlink" Target="https://drive.google.com/file/d/1HVCOUwyEeAowoKFvl7iVq9gIoveBuIkW/view?usp=sharing" TargetMode="External"/><Relationship Id="rId1088" Type="http://schemas.openxmlformats.org/officeDocument/2006/relationships/hyperlink" Target="https://drive.google.com/file/d/1A2TrBZ0n5wN7wGV7l0ZIQmOK-fQfPv-M/view?usp=sharing" TargetMode="External"/><Relationship Id="rId135" Type="http://schemas.openxmlformats.org/officeDocument/2006/relationships/hyperlink" Target="https://drive.google.com/file/d/1PzY2rerv1Y_bNKRYlGIUHgtLqOwd5pR6/view?usp=sharing" TargetMode="External"/><Relationship Id="rId377" Type="http://schemas.openxmlformats.org/officeDocument/2006/relationships/hyperlink" Target="https://drive.google.com/file/d/1a-IBBgUnbjRpNazGR1Ftod-jetj1QUXA/view?usp=sharing" TargetMode="External"/><Relationship Id="rId1089" Type="http://schemas.openxmlformats.org/officeDocument/2006/relationships/hyperlink" Target="https://drive.google.com/file/d/1JxAl8W5KLW0c3gRwDl0MMaGdDf0yxQnt/view?usp=sharing" TargetMode="External"/><Relationship Id="rId134" Type="http://schemas.openxmlformats.org/officeDocument/2006/relationships/hyperlink" Target="https://drive.google.com/file/d/1MggtZvEfy2tYA1dK77YGuJw2Xq5wk8ma/view?usp=sharing" TargetMode="External"/><Relationship Id="rId376" Type="http://schemas.openxmlformats.org/officeDocument/2006/relationships/hyperlink" Target="https://drive.google.com/file/d/1b1Bt4AIAuxVFqdOR0mKSFIumLqbiQXVx/view?usp=sharing" TargetMode="External"/><Relationship Id="rId133" Type="http://schemas.openxmlformats.org/officeDocument/2006/relationships/hyperlink" Target="https://drive.google.com/file/d/17pwSz2xKJxJMfrMybMDVYpHkEsWcsFb9/view?usp=sharing" TargetMode="External"/><Relationship Id="rId375" Type="http://schemas.openxmlformats.org/officeDocument/2006/relationships/hyperlink" Target="https://drive.google.com/file/d/1XGZjotc3-KaEINzyXzJpjSyiksZOt68A/view?usp=sharing" TargetMode="External"/><Relationship Id="rId172" Type="http://schemas.openxmlformats.org/officeDocument/2006/relationships/hyperlink" Target="https://drive.google.com/file/d/1SlgytVmZWAFUDSYgsvkR3w9YSwNIMAOZ/view?usp=sharing" TargetMode="External"/><Relationship Id="rId171" Type="http://schemas.openxmlformats.org/officeDocument/2006/relationships/hyperlink" Target="https://drive.google.com/file/d/1iGVVADuV7R9I1XUckZQwvlAWOibUGjz9/view?usp=sharing" TargetMode="External"/><Relationship Id="rId170" Type="http://schemas.openxmlformats.org/officeDocument/2006/relationships/hyperlink" Target="https://drive.google.com/file/d/1c2Nmn_QvTQdGDWN38wm0ctPVcWXNUUYm/view?usp=sharing" TargetMode="External"/><Relationship Id="rId165" Type="http://schemas.openxmlformats.org/officeDocument/2006/relationships/hyperlink" Target="https://drive.google.com/file/d/1vdcvmjt7abAW7U2L6r7pErRYNIpOszK6/view?usp=sharing" TargetMode="External"/><Relationship Id="rId164" Type="http://schemas.openxmlformats.org/officeDocument/2006/relationships/hyperlink" Target="https://drive.google.com/file/d/1gORORe32XaPamzMpXWZnalonUyzT2CFH/view?usp=sharing" TargetMode="External"/><Relationship Id="rId163" Type="http://schemas.openxmlformats.org/officeDocument/2006/relationships/hyperlink" Target="https://drive.google.com/file/d/1GRcrwNQEGDWK36EUXe3z4GX4o0S1lG3t/view?usp=sharing" TargetMode="External"/><Relationship Id="rId162" Type="http://schemas.openxmlformats.org/officeDocument/2006/relationships/hyperlink" Target="https://drive.google.com/file/d/13HguuKbNNk7ipVs5A3ycg2DF7ybIeDEx/view?usp=sharing" TargetMode="External"/><Relationship Id="rId169" Type="http://schemas.openxmlformats.org/officeDocument/2006/relationships/hyperlink" Target="https://drive.google.com/file/d/1oN4pEokTEXZbq-R0GW08QLDv95G55jVF/view?usp=sharing" TargetMode="External"/><Relationship Id="rId168" Type="http://schemas.openxmlformats.org/officeDocument/2006/relationships/hyperlink" Target="https://drive.google.com/file/d/18BokQqG_qA5GwS9b6pKhXVvTkP9Y4HHM/view?usp=sharing" TargetMode="External"/><Relationship Id="rId167" Type="http://schemas.openxmlformats.org/officeDocument/2006/relationships/hyperlink" Target="https://drive.google.com/file/d/13tDah2SOoi3RmiEOt-L5PhbMkgJdM-8W/view?usp=sharing" TargetMode="External"/><Relationship Id="rId166" Type="http://schemas.openxmlformats.org/officeDocument/2006/relationships/hyperlink" Target="https://drive.google.com/file/d/1SHB8EH74039x1EvuYkfDZZa9c4siTVHH/view?usp=sharing" TargetMode="External"/><Relationship Id="rId161" Type="http://schemas.openxmlformats.org/officeDocument/2006/relationships/hyperlink" Target="https://drive.google.com/file/d/1jOH7GcCnXn1-vx8oqoP3-qULGWjGv5j7/view?usp=sharing" TargetMode="External"/><Relationship Id="rId160" Type="http://schemas.openxmlformats.org/officeDocument/2006/relationships/hyperlink" Target="https://drive.google.com/file/d/1D9GtEvI3Gue-Jz0u7HTPAfMb1KdLfTRQ/view?usp=sharing" TargetMode="External"/><Relationship Id="rId159" Type="http://schemas.openxmlformats.org/officeDocument/2006/relationships/hyperlink" Target="https://drive.google.com/file/d/1ILJzJnZPX8hj7umOcmMfMe5Sky44ttUk/view?usp=sharing" TargetMode="External"/><Relationship Id="rId154" Type="http://schemas.openxmlformats.org/officeDocument/2006/relationships/hyperlink" Target="https://drive.google.com/file/d/1Ci8p8LRb852F1CzOZPDLY5TOKwvdqFx8/view?usp=sharing" TargetMode="External"/><Relationship Id="rId396" Type="http://schemas.openxmlformats.org/officeDocument/2006/relationships/hyperlink" Target="https://drive.google.com/file/d/1PGJoqOrnFqTp0onYXI63yHFDV3JoIjD3/view?usp=sharing" TargetMode="External"/><Relationship Id="rId153" Type="http://schemas.openxmlformats.org/officeDocument/2006/relationships/hyperlink" Target="https://drive.google.com/file/d/1WnzePpJnrxV243tKFuvr3Gn5LszFDTtF/view?usp=sharing" TargetMode="External"/><Relationship Id="rId395" Type="http://schemas.openxmlformats.org/officeDocument/2006/relationships/hyperlink" Target="https://drive.google.com/file/d/12sU6LWTE920ttFmBGxHL9FCEaXfx0d6g/view?usp=sharing" TargetMode="External"/><Relationship Id="rId152" Type="http://schemas.openxmlformats.org/officeDocument/2006/relationships/hyperlink" Target="https://drive.google.com/file/d/12A-fLBtaxPNXSthGWkQF3ULVtOd5mJgl/view?usp=sharing" TargetMode="External"/><Relationship Id="rId394" Type="http://schemas.openxmlformats.org/officeDocument/2006/relationships/hyperlink" Target="https://drive.google.com/file/d/1lyo5As2sFCPqZ8Of0ypEi1XP9IscAAUO/view?usp=sharing" TargetMode="External"/><Relationship Id="rId151" Type="http://schemas.openxmlformats.org/officeDocument/2006/relationships/hyperlink" Target="https://drive.google.com/file/d/1eMqpDbqIjyw8uZY3stGL4Jd8uA2gUrxP/view?usp=sharing" TargetMode="External"/><Relationship Id="rId393" Type="http://schemas.openxmlformats.org/officeDocument/2006/relationships/hyperlink" Target="https://drive.google.com/file/d/1_OeEcX0LveVu-LQxWbtjysCoxZ9eAy3d/view?usp=sharing" TargetMode="External"/><Relationship Id="rId158" Type="http://schemas.openxmlformats.org/officeDocument/2006/relationships/hyperlink" Target="https://drive.google.com/file/d/1PXpmAT-5olP78vlZPLDBHjPjmpjp2Hu2/view?usp=sharing" TargetMode="External"/><Relationship Id="rId157" Type="http://schemas.openxmlformats.org/officeDocument/2006/relationships/hyperlink" Target="https://drive.google.com/file/d/1XNCBGeceizyHCTz2ZIoGelgg-f4iydXE/view?usp=sharing" TargetMode="External"/><Relationship Id="rId399" Type="http://schemas.openxmlformats.org/officeDocument/2006/relationships/hyperlink" Target="https://drive.google.com/file/d/1gzkBBaJiS8i-fAt7OdwA574EobF0Xpme/view?usp=sharing" TargetMode="External"/><Relationship Id="rId156" Type="http://schemas.openxmlformats.org/officeDocument/2006/relationships/hyperlink" Target="https://drive.google.com/file/d/1Lwrb1tlGhXbTEci1MdiXhnCnqAfuG5dG/view?usp=sharing" TargetMode="External"/><Relationship Id="rId398" Type="http://schemas.openxmlformats.org/officeDocument/2006/relationships/hyperlink" Target="https://drive.google.com/file/d/1VcDfg0-Y-ZCPHC5Jmx4hClM9NOjZMj-B/view?usp=sharing" TargetMode="External"/><Relationship Id="rId155" Type="http://schemas.openxmlformats.org/officeDocument/2006/relationships/hyperlink" Target="https://drive.google.com/file/d/1tegP8G6qpLR5Y9c3PEGEQ9L9AJJOYWP2/view?usp=sharing" TargetMode="External"/><Relationship Id="rId397" Type="http://schemas.openxmlformats.org/officeDocument/2006/relationships/hyperlink" Target="https://drive.google.com/file/d/1Mh-FYgk2w5iYBs0-3p1mkSD3q66JmSS8/view?usp=sharing" TargetMode="External"/><Relationship Id="rId808" Type="http://schemas.openxmlformats.org/officeDocument/2006/relationships/hyperlink" Target="https://drive.google.com/file/d/1Jgr6Ls9Isc7Nvg4KS1u5_e9iUxgO8RgT/view?usp=sharing" TargetMode="External"/><Relationship Id="rId807" Type="http://schemas.openxmlformats.org/officeDocument/2006/relationships/hyperlink" Target="https://drive.google.com/file/d/1LL9Zp2lZ1X3bO7bzezEXJ5pOeRkqmB2A/view?usp=sharing" TargetMode="External"/><Relationship Id="rId806" Type="http://schemas.openxmlformats.org/officeDocument/2006/relationships/hyperlink" Target="https://drive.google.com/file/d/1iEOIjTTtiQuw8Z8oJ8y6c_jv8NGrPp74/view?usp=sharing" TargetMode="External"/><Relationship Id="rId805" Type="http://schemas.openxmlformats.org/officeDocument/2006/relationships/hyperlink" Target="https://drive.google.com/file/d/1jEUpvnNZoERtxqXAawZft2ZS1ZFy9ESU/view?usp=sharing" TargetMode="External"/><Relationship Id="rId809" Type="http://schemas.openxmlformats.org/officeDocument/2006/relationships/hyperlink" Target="https://drive.google.com/file/d/1Gv3yenndydIiwss-WSHMpysyOQDIe7bw/view?usp=drive_link" TargetMode="External"/><Relationship Id="rId800" Type="http://schemas.openxmlformats.org/officeDocument/2006/relationships/hyperlink" Target="https://drive.google.com/file/d/1SbvOfn_4QKTo9TQaKgjSlbRAV-gHfIM9/view?usp=sharing" TargetMode="External"/><Relationship Id="rId804" Type="http://schemas.openxmlformats.org/officeDocument/2006/relationships/hyperlink" Target="https://drive.google.com/file/d/1D26KtdqX4w3w5kHnDkMUJAI_Rn7LZAGt/view?usp=sharing" TargetMode="External"/><Relationship Id="rId803" Type="http://schemas.openxmlformats.org/officeDocument/2006/relationships/hyperlink" Target="https://drive.google.com/file/d/1z65n9EEPWq-SYzyX9b_rUeHcTKkyMsPZ/view?usp=sharing" TargetMode="External"/><Relationship Id="rId802" Type="http://schemas.openxmlformats.org/officeDocument/2006/relationships/hyperlink" Target="https://drive.google.com/file/d/1f07BPZ2luVqAgiAOqcCTnY4v3_jsw7ii/view?usp=sharing" TargetMode="External"/><Relationship Id="rId801" Type="http://schemas.openxmlformats.org/officeDocument/2006/relationships/hyperlink" Target="https://drive.google.com/file/d/15U--ilz7Cb8LjjdOI1-zVhB-Jz-vGhey/view?usp=sharing" TargetMode="External"/><Relationship Id="rId40" Type="http://schemas.openxmlformats.org/officeDocument/2006/relationships/hyperlink" Target="https://drive.google.com/file/d/1MlSfIXsHRUYz5T7Wukw6H64CW6PXzWV9/view?usp=drive_link" TargetMode="External"/><Relationship Id="rId42" Type="http://schemas.openxmlformats.org/officeDocument/2006/relationships/hyperlink" Target="https://drive.google.com/file/d/1gfPYlJTnl3epYEJcVF9ZYhhX39l12c-h/view?usp=sharing" TargetMode="External"/><Relationship Id="rId41" Type="http://schemas.openxmlformats.org/officeDocument/2006/relationships/hyperlink" Target="https://drive.google.com/file/d/1YMaK6U0JuC1pVAM70UQrMj_Mzgp58WM0/view?usp=sharing" TargetMode="External"/><Relationship Id="rId44" Type="http://schemas.openxmlformats.org/officeDocument/2006/relationships/hyperlink" Target="https://drive.google.com/file/d/1B9f8vzJqOnGvbffXV7Fm3JFwNUKWNzUN/view?usp=sharing" TargetMode="External"/><Relationship Id="rId43" Type="http://schemas.openxmlformats.org/officeDocument/2006/relationships/hyperlink" Target="https://drive.google.com/file/d/1hmZXPRgNoxDvypas3_MqQ7c7vcU9Msen/view?usp=sharing" TargetMode="External"/><Relationship Id="rId46" Type="http://schemas.openxmlformats.org/officeDocument/2006/relationships/hyperlink" Target="https://drive.google.com/file/d/1P6DbRBnIE1pw258d1dmtsBUA5KKrf-p5/view?usp=sharing" TargetMode="External"/><Relationship Id="rId45" Type="http://schemas.openxmlformats.org/officeDocument/2006/relationships/hyperlink" Target="https://drive.google.com/file/d/1EN-JltMEVG0pLZJptHoAgsTVaSgFEU8q/view?usp=sharing" TargetMode="External"/><Relationship Id="rId509" Type="http://schemas.openxmlformats.org/officeDocument/2006/relationships/hyperlink" Target="https://drive.google.com/file/d/1eSO8arRSPPukEzxbvyF68cDrwGk4NXhY/view?usp=sharing" TargetMode="External"/><Relationship Id="rId508" Type="http://schemas.openxmlformats.org/officeDocument/2006/relationships/hyperlink" Target="https://drive.google.com/file/d/1uC0yeo_JrO02gEBs12sa4WGX8XBYaDw-/view?usp=sharing" TargetMode="External"/><Relationship Id="rId503" Type="http://schemas.openxmlformats.org/officeDocument/2006/relationships/hyperlink" Target="https://drive.google.com/file/d/1YasRs2N0M0KqDPYENQuiLLfpkyGKtvgM/view?usp=sharing" TargetMode="External"/><Relationship Id="rId745" Type="http://schemas.openxmlformats.org/officeDocument/2006/relationships/hyperlink" Target="https://drive.google.com/file/d/1FOfvYlh92BSKp78XukRVfdm3e58vuydy/view?usp=drive_link" TargetMode="External"/><Relationship Id="rId987" Type="http://schemas.openxmlformats.org/officeDocument/2006/relationships/hyperlink" Target="https://drive.google.com/file/d/1zEA2Xvgy3d6ix4jBZx7nVAoopUlIT6TG/view?usp=sharing" TargetMode="External"/><Relationship Id="rId502" Type="http://schemas.openxmlformats.org/officeDocument/2006/relationships/hyperlink" Target="https://drive.google.com/file/d/1w69nUEpKDGBoT0otShMT1LnpFu9eodoo/view?usp=sharing" TargetMode="External"/><Relationship Id="rId744" Type="http://schemas.openxmlformats.org/officeDocument/2006/relationships/hyperlink" Target="https://drive.google.com/file/d/1dhsWOiTGYWnDwuoHKEF2eBXzzIRpMWNs/view?usp=drive_link" TargetMode="External"/><Relationship Id="rId986" Type="http://schemas.openxmlformats.org/officeDocument/2006/relationships/hyperlink" Target="https://drive.google.com/file/d/1ex3jydYfqW7lnStQ_jBF5N0Z-ChLob1R/view?usp=sharing" TargetMode="External"/><Relationship Id="rId501" Type="http://schemas.openxmlformats.org/officeDocument/2006/relationships/hyperlink" Target="https://drive.google.com/file/d/1cgaNgNLsfu3ZuRWilCU5MQjUCMEVPon-/view?usp=sharing" TargetMode="External"/><Relationship Id="rId743" Type="http://schemas.openxmlformats.org/officeDocument/2006/relationships/hyperlink" Target="https://drive.google.com/file/d/193F1vydbtcYDlaA0bB5twapLWwQD2pF-/view?usp=drive_link" TargetMode="External"/><Relationship Id="rId985" Type="http://schemas.openxmlformats.org/officeDocument/2006/relationships/hyperlink" Target="https://drive.google.com/file/d/1H5W0_uFdqIOaB-cA9kLaBId04JM4Lz7c/view?usp=sharing" TargetMode="External"/><Relationship Id="rId500" Type="http://schemas.openxmlformats.org/officeDocument/2006/relationships/hyperlink" Target="https://drive.google.com/file/d/1VC6wwewOzdssWsWtKkVgBP86cO7KcZ8X/view?usp=sharing" TargetMode="External"/><Relationship Id="rId742" Type="http://schemas.openxmlformats.org/officeDocument/2006/relationships/hyperlink" Target="https://drive.google.com/file/d/1DpZmJ_dEOW_7bsD6T0M2B6SvZDhnqt40/view?usp=drive_link" TargetMode="External"/><Relationship Id="rId984" Type="http://schemas.openxmlformats.org/officeDocument/2006/relationships/hyperlink" Target="https://drive.google.com/file/d/1BRZDdymoCkn82wlxg2WbjCcfyKUBMA1N/view?usp=sharing" TargetMode="External"/><Relationship Id="rId507" Type="http://schemas.openxmlformats.org/officeDocument/2006/relationships/hyperlink" Target="https://drive.google.com/file/d/1Wqsw5o4z9PnEO7ZRmgCPADpWLMAyoIMf/view?usp=sharing" TargetMode="External"/><Relationship Id="rId749" Type="http://schemas.openxmlformats.org/officeDocument/2006/relationships/hyperlink" Target="https://drive.google.com/file/d/11Nm9wOOK_-kKnctALLAAWhafXJlx6Iy4/view?usp=sharing" TargetMode="External"/><Relationship Id="rId506" Type="http://schemas.openxmlformats.org/officeDocument/2006/relationships/hyperlink" Target="https://drive.google.com/file/d/1U_a04ySqhKih5S6pfct5DeIFS_tU2bwf/view?usp=sharing" TargetMode="External"/><Relationship Id="rId748" Type="http://schemas.openxmlformats.org/officeDocument/2006/relationships/hyperlink" Target="https://drive.google.com/file/d/1XNmrUlanOMbRqTtQNGXb4MF83YQufgv5/view?usp=drive_link" TargetMode="External"/><Relationship Id="rId505" Type="http://schemas.openxmlformats.org/officeDocument/2006/relationships/hyperlink" Target="https://drive.google.com/file/d/1tQMDe6l0SQzC3NEsFj7dmz9hMSAQrPM_/view?usp=sharing" TargetMode="External"/><Relationship Id="rId747" Type="http://schemas.openxmlformats.org/officeDocument/2006/relationships/hyperlink" Target="https://drive.google.com/file/d/1VkXVhKZq2rEOJi9XBBD5Fwq58ngOAIff/view?usp=sharing" TargetMode="External"/><Relationship Id="rId989" Type="http://schemas.openxmlformats.org/officeDocument/2006/relationships/hyperlink" Target="https://drive.google.com/file/d/1wT27OwEBk9XvZvi0JiuEOhswnNZ5QOm_/view?usp=sharing" TargetMode="External"/><Relationship Id="rId504" Type="http://schemas.openxmlformats.org/officeDocument/2006/relationships/hyperlink" Target="https://drive.google.com/file/d/1KA91w4WnAdJgcSNY-RCHxCf0vy16GkD_/view?usp=sharing" TargetMode="External"/><Relationship Id="rId746" Type="http://schemas.openxmlformats.org/officeDocument/2006/relationships/hyperlink" Target="https://drive.google.com/file/d/11XskahLd10f1aS8FEtDF9b7CYA7ugwHT/view?usp=drive_link" TargetMode="External"/><Relationship Id="rId988" Type="http://schemas.openxmlformats.org/officeDocument/2006/relationships/hyperlink" Target="https://drive.google.com/file/d/1kQNdnfQ4eIhZ0Yc7w7zBcAC9kX5J_20l/view?usp=sharing" TargetMode="External"/><Relationship Id="rId48" Type="http://schemas.openxmlformats.org/officeDocument/2006/relationships/hyperlink" Target="https://drive.google.com/file/d/1vSgz7G1RaQQ5FZNpcVB9bVztJoc2quxo/view?usp=sharing" TargetMode="External"/><Relationship Id="rId47" Type="http://schemas.openxmlformats.org/officeDocument/2006/relationships/hyperlink" Target="https://drive.google.com/file/d/1Z2MrDJZJpZFIfVtz15Anwripld711snh/view?usp=drive_link" TargetMode="External"/><Relationship Id="rId49" Type="http://schemas.openxmlformats.org/officeDocument/2006/relationships/hyperlink" Target="https://drive.google.com/file/d/131kg3QDsZviWEjB8ffHhuamUkciNOZA1/view?usp=sharing" TargetMode="External"/><Relationship Id="rId741" Type="http://schemas.openxmlformats.org/officeDocument/2006/relationships/hyperlink" Target="https://drive.google.com/file/d/1tCUCE-1W_SWpWf3x2Qa6JivM2dwIDdLE/view?usp=drive_link" TargetMode="External"/><Relationship Id="rId983" Type="http://schemas.openxmlformats.org/officeDocument/2006/relationships/hyperlink" Target="https://drive.google.com/file/d/1rHNRPpPMWOx94aRdNWQZ76pDXpPxJ_9i/view?usp=sharing" TargetMode="External"/><Relationship Id="rId740" Type="http://schemas.openxmlformats.org/officeDocument/2006/relationships/hyperlink" Target="https://drive.google.com/file/d/17Kz286kDm3Aua19JV7GhPvHPFFP_jWLf/view?usp=drive_link" TargetMode="External"/><Relationship Id="rId982" Type="http://schemas.openxmlformats.org/officeDocument/2006/relationships/hyperlink" Target="https://drive.google.com/file/d/1JQ_qSlIFUbfZYKG00oKXwTMP9PdsTavN/view?usp=sharing" TargetMode="External"/><Relationship Id="rId981" Type="http://schemas.openxmlformats.org/officeDocument/2006/relationships/hyperlink" Target="https://drive.google.com/file/d/1lCwQwFdM1xEfNNzxfwjftb4VvyYemNEG/view?usp=sharing" TargetMode="External"/><Relationship Id="rId980" Type="http://schemas.openxmlformats.org/officeDocument/2006/relationships/hyperlink" Target="https://drive.google.com/file/d/1TsWxvL9PO54hUoVCsMtl20x1BXGBNqvq/view?usp=sharing" TargetMode="External"/><Relationship Id="rId31" Type="http://schemas.openxmlformats.org/officeDocument/2006/relationships/hyperlink" Target="https://drive.google.com/file/d/197VWqvUuC6NwfSPQX50ZLU14s02ECi_5/view?usp=drive_link" TargetMode="External"/><Relationship Id="rId30" Type="http://schemas.openxmlformats.org/officeDocument/2006/relationships/hyperlink" Target="https://drive.google.com/file/d/1eLrDh4S-MWATXA0hZ1KdtBq5OIdeBjCY/view?usp=sharing" TargetMode="External"/><Relationship Id="rId33" Type="http://schemas.openxmlformats.org/officeDocument/2006/relationships/hyperlink" Target="https://drive.google.com/file/d/1FrHIZDHzJj1uOcnuhUs86p5IKuURjEgb/view?usp=sharing" TargetMode="External"/><Relationship Id="rId32" Type="http://schemas.openxmlformats.org/officeDocument/2006/relationships/hyperlink" Target="https://drive.google.com/file/d/1kuRCi7dv2w0c5FWriMGlsFhEpRg81Lh5/view?usp=sharing" TargetMode="External"/><Relationship Id="rId35" Type="http://schemas.openxmlformats.org/officeDocument/2006/relationships/hyperlink" Target="https://drive.google.com/file/d/1UEiPWMzDNVWcmtx7hDUS0ofbOXgQ96tL/view?usp=sharing" TargetMode="External"/><Relationship Id="rId34" Type="http://schemas.openxmlformats.org/officeDocument/2006/relationships/hyperlink" Target="https://drive.google.com/file/d/1corNNdgZlloTWR5B2JKi-Wzl8j3yT1KR/view?usp=sharing" TargetMode="External"/><Relationship Id="rId739" Type="http://schemas.openxmlformats.org/officeDocument/2006/relationships/hyperlink" Target="https://drive.google.com/file/d/1q__GWCVTZNcmAhnczQQiNtXpxK9WrQKb/view?usp=sharing" TargetMode="External"/><Relationship Id="rId734" Type="http://schemas.openxmlformats.org/officeDocument/2006/relationships/hyperlink" Target="https://drive.google.com/file/d/10ulXYCjAJ7NkMTpnbf-ehDRtdu_ns6DW/view?usp=drive_link" TargetMode="External"/><Relationship Id="rId976" Type="http://schemas.openxmlformats.org/officeDocument/2006/relationships/hyperlink" Target="https://drive.google.com/file/d/16xeKBqGBVtL6xx4lOTWSGouqU1YS9Sfq/view?usp=sharing" TargetMode="External"/><Relationship Id="rId733" Type="http://schemas.openxmlformats.org/officeDocument/2006/relationships/hyperlink" Target="https://drive.google.com/file/d/1IbdkzPs7HOdZkbKeBw6tRcNaZFHjbPlt/view?usp=drive_link" TargetMode="External"/><Relationship Id="rId975" Type="http://schemas.openxmlformats.org/officeDocument/2006/relationships/hyperlink" Target="https://drive.google.com/file/d/1KQkuZwPbByvOHeDJrIdkUPuaiKBJDef4/view?usp=sharing" TargetMode="External"/><Relationship Id="rId732" Type="http://schemas.openxmlformats.org/officeDocument/2006/relationships/hyperlink" Target="https://drive.google.com/file/d/17DofAB7yY5JNjYcQTo4kisymtw2yAmPm/view?usp=sharing" TargetMode="External"/><Relationship Id="rId974" Type="http://schemas.openxmlformats.org/officeDocument/2006/relationships/hyperlink" Target="https://drive.google.com/file/d/17Xa7H8dcVQndOMaZj59zH1aAY0cm5QRF/view?usp=sharing" TargetMode="External"/><Relationship Id="rId731" Type="http://schemas.openxmlformats.org/officeDocument/2006/relationships/hyperlink" Target="https://drive.google.com/file/d/1KEhEFy2osDgMju2yEeOjPxjiIit3GZrU/view?usp=sharing" TargetMode="External"/><Relationship Id="rId973" Type="http://schemas.openxmlformats.org/officeDocument/2006/relationships/hyperlink" Target="https://drive.google.com/file/d/12OJtgWHANpLOdUQqeQMlTYAoE1cEAJLT/view?usp=sharing" TargetMode="External"/><Relationship Id="rId738" Type="http://schemas.openxmlformats.org/officeDocument/2006/relationships/hyperlink" Target="https://drive.google.com/file/d/10OHELMaJy5pZJ4Wi2pbTmOes5H08vuA0/view?usp=drive_link" TargetMode="External"/><Relationship Id="rId737" Type="http://schemas.openxmlformats.org/officeDocument/2006/relationships/hyperlink" Target="https://drive.google.com/file/d/1Q5heNI9HPoDXcUziGH5leAmOfq42ryHT/view?usp=drive_link" TargetMode="External"/><Relationship Id="rId979" Type="http://schemas.openxmlformats.org/officeDocument/2006/relationships/hyperlink" Target="https://drive.google.com/file/d/19zpuFEaF9UfYl-cCLEcmTTUWBF3WTs4S/view?usp=sharing" TargetMode="External"/><Relationship Id="rId736" Type="http://schemas.openxmlformats.org/officeDocument/2006/relationships/hyperlink" Target="https://drive.google.com/file/d/1XhWKyCJybvz86eYVlNZUNUd1RyEMsU4F/view?usp=sharing" TargetMode="External"/><Relationship Id="rId978" Type="http://schemas.openxmlformats.org/officeDocument/2006/relationships/hyperlink" Target="https://drive.google.com/file/d/1XP3WRn8qItYUUo3XBguEQ65TULHNbCe0/view?usp=sharing" TargetMode="External"/><Relationship Id="rId735" Type="http://schemas.openxmlformats.org/officeDocument/2006/relationships/hyperlink" Target="https://drive.google.com/file/d/1eAN4pOL46M6FGve0Ux7DpsloCK0IyhBz/view?usp=sharing" TargetMode="External"/><Relationship Id="rId977" Type="http://schemas.openxmlformats.org/officeDocument/2006/relationships/hyperlink" Target="https://drive.google.com/file/d/1Fz90sz9VPFG8FVxsJBU9ho5RzG7ycXyU/view?usp=sharing" TargetMode="External"/><Relationship Id="rId37" Type="http://schemas.openxmlformats.org/officeDocument/2006/relationships/hyperlink" Target="https://drive.google.com/file/d/1xMJf7ci667uwMvdZGrTjLSF0m7_LzTFs/view?usp=sharing" TargetMode="External"/><Relationship Id="rId36" Type="http://schemas.openxmlformats.org/officeDocument/2006/relationships/hyperlink" Target="https://drive.google.com/file/d/1zq-1H5EAWlF3mF2MP6THEvLDulklsb9O/view?usp=sharing" TargetMode="External"/><Relationship Id="rId39" Type="http://schemas.openxmlformats.org/officeDocument/2006/relationships/hyperlink" Target="https://drive.google.com/file/d/1x7zq5Ln5hCImMzrq9S-jImVSDePkYfQi/view?usp=sharing" TargetMode="External"/><Relationship Id="rId38" Type="http://schemas.openxmlformats.org/officeDocument/2006/relationships/hyperlink" Target="https://drive.google.com/file/d/1dgZsKq72JVdUAugjRv5B21ji6ObMhqf3/view?usp=sharing" TargetMode="External"/><Relationship Id="rId730" Type="http://schemas.openxmlformats.org/officeDocument/2006/relationships/hyperlink" Target="https://drive.google.com/file/d/1ZNa791TzzzMi_db-z2UUVb_C2ua8dEeb/view?usp=sharing" TargetMode="External"/><Relationship Id="rId972" Type="http://schemas.openxmlformats.org/officeDocument/2006/relationships/hyperlink" Target="https://drive.google.com/file/d/1mP2LRYnEQDK95BNyxn_e7CQCNpcSRmWM/view?usp=sharing" TargetMode="External"/><Relationship Id="rId971" Type="http://schemas.openxmlformats.org/officeDocument/2006/relationships/hyperlink" Target="https://drive.google.com/file/d/1b-esJCvmg-KoaSd7NVjv-JLfimAbUc0O/view?usp=sharing" TargetMode="External"/><Relationship Id="rId970" Type="http://schemas.openxmlformats.org/officeDocument/2006/relationships/hyperlink" Target="https://drive.google.com/file/d/19CCNtH6XPckBijInyK9JXJfYjJuVNs72/view?usp=sharing" TargetMode="External"/><Relationship Id="rId1114" Type="http://schemas.openxmlformats.org/officeDocument/2006/relationships/hyperlink" Target="https://drive.google.com/file/d/1wyrH_dhj3BVA6SpPaICd5ppiX_J-QScz/view?usp=sharing" TargetMode="External"/><Relationship Id="rId1115" Type="http://schemas.openxmlformats.org/officeDocument/2006/relationships/hyperlink" Target="https://drive.google.com/file/d/1gd-kZ3fVm5hE_jRFAtOjF9znKH_ZNryl/view?usp=sharing" TargetMode="External"/><Relationship Id="rId20" Type="http://schemas.openxmlformats.org/officeDocument/2006/relationships/hyperlink" Target="https://drive.google.com/file/d/1mcgLoKLj8my7dScG4OLVvJ2Lqr1AZJmK/view?usp=sharing" TargetMode="External"/><Relationship Id="rId1116" Type="http://schemas.openxmlformats.org/officeDocument/2006/relationships/hyperlink" Target="https://drive.google.com/file/d/1F1ASL21gzGqNngkvE6yPIxtzD2mpZePo/view?usp=sharing" TargetMode="External"/><Relationship Id="rId1117" Type="http://schemas.openxmlformats.org/officeDocument/2006/relationships/hyperlink" Target="https://drive.google.com/file/d/1hxr91VuYv7MplJ1EPx8rJ2dck6-ny9UI/view?usp=sharing" TargetMode="External"/><Relationship Id="rId22" Type="http://schemas.openxmlformats.org/officeDocument/2006/relationships/hyperlink" Target="https://drive.google.com/file/d/1Gkz3blNNaTLGc57Ym5rWlVF4aaU_g7m1/view?usp=sharing" TargetMode="External"/><Relationship Id="rId1118" Type="http://schemas.openxmlformats.org/officeDocument/2006/relationships/hyperlink" Target="https://drive.google.com/file/d/16LilRqB2DTdhF40SY5sph_Ojrv-gaxZw/view?usp=sharing" TargetMode="External"/><Relationship Id="rId21" Type="http://schemas.openxmlformats.org/officeDocument/2006/relationships/hyperlink" Target="https://drive.google.com/file/d/1LXgKSQ4IVGmwReW4DVEWNoVg7S51oqDj/view?usp=sharing" TargetMode="External"/><Relationship Id="rId1119" Type="http://schemas.openxmlformats.org/officeDocument/2006/relationships/hyperlink" Target="https://drive.google.com/file/d/14ABkdMB4wa7Zm5UKqZTVaoOCNClMAjYT/view?usp=sharing" TargetMode="External"/><Relationship Id="rId24" Type="http://schemas.openxmlformats.org/officeDocument/2006/relationships/hyperlink" Target="https://drive.google.com/file/d/199D-qkDyL95I2Z8z2qqvgSz4HYcwrGKu/view?usp=sharing" TargetMode="External"/><Relationship Id="rId23" Type="http://schemas.openxmlformats.org/officeDocument/2006/relationships/hyperlink" Target="https://drive.google.com/file/d/1xlGV5rg1Z4wI9kH8JY4atWO9yOn1XKFH/view?usp=sharing" TargetMode="External"/><Relationship Id="rId525" Type="http://schemas.openxmlformats.org/officeDocument/2006/relationships/hyperlink" Target="https://drive.google.com/file/d/1f39zMQDh8kJG23aXSK_tlZQf0ClUEt5L/view?usp=sharing" TargetMode="External"/><Relationship Id="rId767" Type="http://schemas.openxmlformats.org/officeDocument/2006/relationships/hyperlink" Target="https://drive.google.com/file/d/1bSmCt9FdhPmdP2ga0k4vpXe1HDVikIMb/view?usp=sharing" TargetMode="External"/><Relationship Id="rId524" Type="http://schemas.openxmlformats.org/officeDocument/2006/relationships/hyperlink" Target="https://drive.google.com/file/d/1dH5Md8tyIcSHMw84W9SQTpFca7ETHevL/view?usp=sharing" TargetMode="External"/><Relationship Id="rId766" Type="http://schemas.openxmlformats.org/officeDocument/2006/relationships/hyperlink" Target="https://drive.google.com/file/d/1c2AOWAbEg-6pQb6pYkTvwmwzLDxlPdet/view?usp=drive_link" TargetMode="External"/><Relationship Id="rId523" Type="http://schemas.openxmlformats.org/officeDocument/2006/relationships/hyperlink" Target="https://drive.google.com/file/d/1QruL2aaSakWieVUEEJC9ua_PiJ0ri_ng/view?usp=sharing" TargetMode="External"/><Relationship Id="rId765" Type="http://schemas.openxmlformats.org/officeDocument/2006/relationships/hyperlink" Target="https://drive.google.com/file/d/1AsscuXMklAR9bNun7XtT07vyANOach0o/view?usp=sharing" TargetMode="External"/><Relationship Id="rId522" Type="http://schemas.openxmlformats.org/officeDocument/2006/relationships/hyperlink" Target="https://drive.google.com/file/d/1Wr9sgx7rDNSa_z_tqByWHiH27FByq2G8/view?usp=sharing" TargetMode="External"/><Relationship Id="rId764" Type="http://schemas.openxmlformats.org/officeDocument/2006/relationships/hyperlink" Target="https://drive.google.com/file/d/15brx_H_zBgRCY_qMy-al0U-MKRiVwS4g/view?usp=sharing" TargetMode="External"/><Relationship Id="rId529" Type="http://schemas.openxmlformats.org/officeDocument/2006/relationships/hyperlink" Target="https://drive.google.com/file/d/1vRl9zLPVioU3bhKyrXxOQ36gswAVVNGW/view?usp=sharing" TargetMode="External"/><Relationship Id="rId528" Type="http://schemas.openxmlformats.org/officeDocument/2006/relationships/hyperlink" Target="https://drive.google.com/file/d/1KQFtPp-Ro42lCHpZuKjQuZSySkPZ0TyX/view?usp=sharing" TargetMode="External"/><Relationship Id="rId527" Type="http://schemas.openxmlformats.org/officeDocument/2006/relationships/hyperlink" Target="https://drive.google.com/file/d/1lwtLDEbUDJd3_HSBdivhPBpDbToZYbDS/view?usp=sharing" TargetMode="External"/><Relationship Id="rId769" Type="http://schemas.openxmlformats.org/officeDocument/2006/relationships/hyperlink" Target="https://drive.google.com/file/d/1UCH_v68lqzceuIyaxLYdHtIcZGkOSZ3z/view?usp=sharing" TargetMode="External"/><Relationship Id="rId526" Type="http://schemas.openxmlformats.org/officeDocument/2006/relationships/hyperlink" Target="https://drive.google.com/file/d/1qd9jtf9ClaI5X-M40OO1OsBKdrOCAWQj/view?usp=sharing" TargetMode="External"/><Relationship Id="rId768" Type="http://schemas.openxmlformats.org/officeDocument/2006/relationships/hyperlink" Target="https://drive.google.com/file/d/1r3PtUr-3HCfM_h-xGl6k6XQzS5iz5uby/view?usp=sharing" TargetMode="External"/><Relationship Id="rId26" Type="http://schemas.openxmlformats.org/officeDocument/2006/relationships/hyperlink" Target="https://drive.google.com/file/d/1N2G5YwmB0iLjitCNgmdbftqTaEIXDk6e/view?usp=sharing" TargetMode="External"/><Relationship Id="rId25" Type="http://schemas.openxmlformats.org/officeDocument/2006/relationships/hyperlink" Target="https://drive.google.com/file/d/1ZKObC8UtnU0VD-cDsBy6AiGOJA-BVoK2/view?usp=sharing" TargetMode="External"/><Relationship Id="rId28" Type="http://schemas.openxmlformats.org/officeDocument/2006/relationships/hyperlink" Target="https://drive.google.com/file/d/18X6ILEVyDUe381jPHx9i39D9fm_1zFq4/view?usp=sharing" TargetMode="External"/><Relationship Id="rId27" Type="http://schemas.openxmlformats.org/officeDocument/2006/relationships/hyperlink" Target="https://drive.google.com/file/d/1VEtfuAYMLh_gVY0_BMIHXha5DuFbZ7Il/view?usp=sharing" TargetMode="External"/><Relationship Id="rId521" Type="http://schemas.openxmlformats.org/officeDocument/2006/relationships/hyperlink" Target="https://drive.google.com/file/d/1e6pRneGxIHll2DYzcmWrbw1cGGcwttdU/view?usp=sharing" TargetMode="External"/><Relationship Id="rId763" Type="http://schemas.openxmlformats.org/officeDocument/2006/relationships/hyperlink" Target="https://drive.google.com/file/d/1JmxaIfMZYiNxhp8yC87gfkaZ1TRiowH1/view?usp=sharing" TargetMode="External"/><Relationship Id="rId1110" Type="http://schemas.openxmlformats.org/officeDocument/2006/relationships/hyperlink" Target="https://drive.google.com/file/d/1TkPZwonn1-U8UqM6r30fXfWiNqtedbk-/view?usp=sharing" TargetMode="External"/><Relationship Id="rId29" Type="http://schemas.openxmlformats.org/officeDocument/2006/relationships/hyperlink" Target="https://drive.google.com/file/d/1Ez_z3bRZqdThcfwJqkHp10LPzMcKvk99/view?usp=sharing" TargetMode="External"/><Relationship Id="rId520" Type="http://schemas.openxmlformats.org/officeDocument/2006/relationships/hyperlink" Target="https://drive.google.com/file/d/1PCigeIGsDrId1UKaWtDx31ozR0BRB1GG/view?usp=sharing" TargetMode="External"/><Relationship Id="rId762" Type="http://schemas.openxmlformats.org/officeDocument/2006/relationships/hyperlink" Target="https://drive.google.com/file/d/1i0slxy78aRYFQ3c5qAQPmR_OjIMjPCeo/view?usp=sharing" TargetMode="External"/><Relationship Id="rId1111" Type="http://schemas.openxmlformats.org/officeDocument/2006/relationships/hyperlink" Target="https://drive.google.com/file/d/1gy6gmT8Rl6SSbtAT04USNoZ9E9MVgmGP/view?usp=sharing" TargetMode="External"/><Relationship Id="rId761" Type="http://schemas.openxmlformats.org/officeDocument/2006/relationships/hyperlink" Target="https://drive.google.com/file/d/1gcwBJYdse-hqrsTet2-MZ0CCLPLXLlJs/view?usp=sharing" TargetMode="External"/><Relationship Id="rId1112" Type="http://schemas.openxmlformats.org/officeDocument/2006/relationships/hyperlink" Target="https://drive.google.com/file/d/1LFdnVg1AgG2INdPI6-G9sFs2np_QxHbp/view?usp=sharing" TargetMode="External"/><Relationship Id="rId760" Type="http://schemas.openxmlformats.org/officeDocument/2006/relationships/hyperlink" Target="https://drive.google.com/file/d/1iOg64ALR_vDSVAgv5ZyYcXyERyfur67b/view?usp=drive_link" TargetMode="External"/><Relationship Id="rId1113" Type="http://schemas.openxmlformats.org/officeDocument/2006/relationships/hyperlink" Target="https://drive.google.com/file/d/1AQTg9Ntbah8P25ZR9GBt6FyOsoZRsLS0/view?usp=sharing" TargetMode="External"/><Relationship Id="rId1103" Type="http://schemas.openxmlformats.org/officeDocument/2006/relationships/hyperlink" Target="https://drive.google.com/file/d/15HJLPljuRZXXvKqxuJyK5B4jRuJH9ZUL/view?usp=sharing" TargetMode="External"/><Relationship Id="rId1104" Type="http://schemas.openxmlformats.org/officeDocument/2006/relationships/hyperlink" Target="https://drive.google.com/file/d/11_9Q55OaAbWD_iDZTo8uADq3iiaY3jJE/view?usp=sharing" TargetMode="External"/><Relationship Id="rId1105" Type="http://schemas.openxmlformats.org/officeDocument/2006/relationships/hyperlink" Target="https://drive.google.com/file/d/1Lk8JNgJWvvwzNHCDB8WWmq1IP0mC34Or/view?usp=sharing" TargetMode="External"/><Relationship Id="rId1106" Type="http://schemas.openxmlformats.org/officeDocument/2006/relationships/hyperlink" Target="https://drive.google.com/file/d/1j9g4qnvNc_DXvb5M4qbt0O9MWCv7pdlZ/view?usp=sharing" TargetMode="External"/><Relationship Id="rId11" Type="http://schemas.openxmlformats.org/officeDocument/2006/relationships/hyperlink" Target="https://drive.google.com/file/d/1MBEwF5XN78TUD14qLiSx6yPnI3vm49Uw/view?usp=sharing" TargetMode="External"/><Relationship Id="rId1107" Type="http://schemas.openxmlformats.org/officeDocument/2006/relationships/hyperlink" Target="https://drive.google.com/file/d/1tzJm7c0hcy4Qd7tJmSHhOUm5HhL56lH9/view?usp=sharing" TargetMode="External"/><Relationship Id="rId10" Type="http://schemas.openxmlformats.org/officeDocument/2006/relationships/hyperlink" Target="https://drive.google.com/file/d/1Pvc08QU201Xh1Steq61ZwDNk-SEDxzmh/view?usp=sharing" TargetMode="External"/><Relationship Id="rId1108" Type="http://schemas.openxmlformats.org/officeDocument/2006/relationships/hyperlink" Target="https://drive.google.com/file/d/1A4SKuCXVMSeTGxcPIqoGdAPpPDm-3A-w/view?usp=sharing" TargetMode="External"/><Relationship Id="rId13" Type="http://schemas.openxmlformats.org/officeDocument/2006/relationships/hyperlink" Target="https://drive.google.com/file/d/1snkjHFmn_znPlZ6qRab1mWjOeRd2qT7u/view?usp=sharing" TargetMode="External"/><Relationship Id="rId1109" Type="http://schemas.openxmlformats.org/officeDocument/2006/relationships/hyperlink" Target="https://drive.google.com/file/d/1KDFZN4WX1LrojIUMjCoUGjQ94On8OR6d/view?usp=sharing" TargetMode="External"/><Relationship Id="rId12" Type="http://schemas.openxmlformats.org/officeDocument/2006/relationships/hyperlink" Target="https://drive.google.com/file/d/1g5fqZ2xqgMHKQTjgk8_KwqgpfA05Thi_/view?usp=sharing" TargetMode="External"/><Relationship Id="rId519" Type="http://schemas.openxmlformats.org/officeDocument/2006/relationships/hyperlink" Target="https://drive.google.com/file/d/1HqG3PLCP4Q8G_s9o_GtuzIT9j3JZUnnr/view?usp=sharing" TargetMode="External"/><Relationship Id="rId514" Type="http://schemas.openxmlformats.org/officeDocument/2006/relationships/hyperlink" Target="https://drive.google.com/file/d/1ujmU-G3S51m56Ars57slBycKxuDjUQ_N/view?usp=sharing" TargetMode="External"/><Relationship Id="rId756" Type="http://schemas.openxmlformats.org/officeDocument/2006/relationships/hyperlink" Target="https://drive.google.com/file/d/1_TXW4DroawOd0ZAnCyd47KyawNbjwGnQ/view?usp=drive_link" TargetMode="External"/><Relationship Id="rId998" Type="http://schemas.openxmlformats.org/officeDocument/2006/relationships/hyperlink" Target="https://drive.google.com/file/d/1uWA8ygQ-fKPmRGQGJmQbNtAmM0wzuu5v/view?usp=sharing" TargetMode="External"/><Relationship Id="rId513" Type="http://schemas.openxmlformats.org/officeDocument/2006/relationships/hyperlink" Target="https://drive.google.com/file/d/19bKTHkULotktYEc8-Wr6J9f0ML62kmHT/view?usp=sharing" TargetMode="External"/><Relationship Id="rId755" Type="http://schemas.openxmlformats.org/officeDocument/2006/relationships/hyperlink" Target="https://drive.google.com/file/d/1DkQT5jjTsjKC4ENgYtDTmZL5n1UGPYC0/view?usp=sharing" TargetMode="External"/><Relationship Id="rId997" Type="http://schemas.openxmlformats.org/officeDocument/2006/relationships/hyperlink" Target="https://drive.google.com/file/d/1KPaFLKHevgXlOXq68bPvphwWQEkFjFwT/view?usp=sharing" TargetMode="External"/><Relationship Id="rId512" Type="http://schemas.openxmlformats.org/officeDocument/2006/relationships/hyperlink" Target="https://drive.google.com/file/d/1JdPgNYectx-NNaFhxl_60LdjrU7BAwMw/view?usp=sharing" TargetMode="External"/><Relationship Id="rId754" Type="http://schemas.openxmlformats.org/officeDocument/2006/relationships/hyperlink" Target="https://drive.google.com/file/d/1F9M3hV0dcFMRLZOaO42mQ0IFk0nCScGU/view?usp=drive_link" TargetMode="External"/><Relationship Id="rId996" Type="http://schemas.openxmlformats.org/officeDocument/2006/relationships/hyperlink" Target="https://drive.google.com/file/d/1PFLEb_5nnbFaC1NMpGvxZX3aFB3lmsin/view?usp=sharing" TargetMode="External"/><Relationship Id="rId511" Type="http://schemas.openxmlformats.org/officeDocument/2006/relationships/hyperlink" Target="https://drive.google.com/file/d/1ffhxukT-lsc3UcNV03JI6NmumrWvsvU1/view?usp=sharing" TargetMode="External"/><Relationship Id="rId753" Type="http://schemas.openxmlformats.org/officeDocument/2006/relationships/hyperlink" Target="https://drive.google.com/file/d/1vsSLXmy8QH2_XHdtFL1CYYbN3FPClP7j/view?usp=sharing" TargetMode="External"/><Relationship Id="rId995" Type="http://schemas.openxmlformats.org/officeDocument/2006/relationships/hyperlink" Target="https://drive.google.com/file/d/1EwpYN5_839X-fvgUFR8nblXf5ULzSG81/view?usp=sharing" TargetMode="External"/><Relationship Id="rId518" Type="http://schemas.openxmlformats.org/officeDocument/2006/relationships/hyperlink" Target="https://drive.google.com/file/d/1bVjQ8YDi89yE56Bm3AmMN6jBiAisqJGt/view?usp=sharing" TargetMode="External"/><Relationship Id="rId517" Type="http://schemas.openxmlformats.org/officeDocument/2006/relationships/hyperlink" Target="https://drive.google.com/file/d/1SsAnMiiEjY1TfGMFIEHhKbcd-NyOFqd8/view?usp=sharing" TargetMode="External"/><Relationship Id="rId759" Type="http://schemas.openxmlformats.org/officeDocument/2006/relationships/hyperlink" Target="https://drive.google.com/file/d/1oga-3zq55lCkyjattWHH3sIVlifGHp8H/view?usp=drive_link" TargetMode="External"/><Relationship Id="rId516" Type="http://schemas.openxmlformats.org/officeDocument/2006/relationships/hyperlink" Target="https://drive.google.com/file/d/11Ik9Ej06UmIx03h1KOU6NmicurJ9-8s4/view?usp=sharing" TargetMode="External"/><Relationship Id="rId758" Type="http://schemas.openxmlformats.org/officeDocument/2006/relationships/hyperlink" Target="https://drive.google.com/file/d/1jlbcBsda5Df4tNwUz0526l5W-AuFnBOD/view?usp=drive_link" TargetMode="External"/><Relationship Id="rId515" Type="http://schemas.openxmlformats.org/officeDocument/2006/relationships/hyperlink" Target="https://drive.google.com/file/d/120poDYNLxgnd_xZg2wcuKdVrJ5GBtT1H/view?usp=drive_link" TargetMode="External"/><Relationship Id="rId757" Type="http://schemas.openxmlformats.org/officeDocument/2006/relationships/hyperlink" Target="https://drive.google.com/file/d/1I2rAaaOoyDFFydN8oVk7nx63YpQEmoad/view?usp=sharing" TargetMode="External"/><Relationship Id="rId999" Type="http://schemas.openxmlformats.org/officeDocument/2006/relationships/hyperlink" Target="https://drive.google.com/file/d/1abgUBRmwYbsyogSBUbvxO2pAaGunxJAA/view?usp=sharing" TargetMode="External"/><Relationship Id="rId15" Type="http://schemas.openxmlformats.org/officeDocument/2006/relationships/hyperlink" Target="https://drive.google.com/file/d/14pONIlz3u_damG8hfHDdhFyRBb4aoHIj/view?usp=sharing" TargetMode="External"/><Relationship Id="rId990" Type="http://schemas.openxmlformats.org/officeDocument/2006/relationships/hyperlink" Target="https://drive.google.com/file/d/1V1EjW9VOFQFGmU7VXap8X-Y6mEqB9x4Q/view?usp=sharing" TargetMode="External"/><Relationship Id="rId14" Type="http://schemas.openxmlformats.org/officeDocument/2006/relationships/hyperlink" Target="https://drive.google.com/file/d/1ISoWTL8IbaxaFDqb60DVOCozDiyz5lRk/view?usp=sharing" TargetMode="External"/><Relationship Id="rId17" Type="http://schemas.openxmlformats.org/officeDocument/2006/relationships/hyperlink" Target="https://drive.google.com/file/d/1CKZs0mfd-zfIXwwoNcSGXGYW8RdzX-lt/view?usp=sharing" TargetMode="External"/><Relationship Id="rId16" Type="http://schemas.openxmlformats.org/officeDocument/2006/relationships/hyperlink" Target="https://drive.google.com/file/d/1EdQ56bAKoiVeAf-RefvTZlBVZegS8iJo/view?usp=sharing" TargetMode="External"/><Relationship Id="rId19" Type="http://schemas.openxmlformats.org/officeDocument/2006/relationships/hyperlink" Target="https://drive.google.com/file/d/1QGizeYj0Yj8Q1V-Ff6NRvRxh20gLAKlh/view?usp=sharing" TargetMode="External"/><Relationship Id="rId510" Type="http://schemas.openxmlformats.org/officeDocument/2006/relationships/hyperlink" Target="https://drive.google.com/file/d/1InCpVZ7J9q7nl0YOfKAFUa0r_z8a8qM6/view?usp=sharing" TargetMode="External"/><Relationship Id="rId752" Type="http://schemas.openxmlformats.org/officeDocument/2006/relationships/hyperlink" Target="https://drive.google.com/file/d/1uva-Yg8p65qxhgy50yl-za6XXvC-nhD4/view?usp=drive_link" TargetMode="External"/><Relationship Id="rId994" Type="http://schemas.openxmlformats.org/officeDocument/2006/relationships/hyperlink" Target="https://drive.google.com/file/d/1Psx5ymGY4rFVSoTaz5-6UPLFrXebzXb5/view?usp=sharing" TargetMode="External"/><Relationship Id="rId18" Type="http://schemas.openxmlformats.org/officeDocument/2006/relationships/hyperlink" Target="https://drive.google.com/file/d/1Us1ReqPG869mtTxuy7S07QCtsBMTg5Qb/view?usp=sharing" TargetMode="External"/><Relationship Id="rId751" Type="http://schemas.openxmlformats.org/officeDocument/2006/relationships/hyperlink" Target="https://drive.google.com/file/d/1zVmZDYhvWWiv8nopvVS5BWh5s0rOusYf/view?usp=drive_link" TargetMode="External"/><Relationship Id="rId993" Type="http://schemas.openxmlformats.org/officeDocument/2006/relationships/hyperlink" Target="https://drive.google.com/file/d/1pRpYKGAnuJk4yxSn23RGF0Vz3HXqf-x-/view?usp=sharing" TargetMode="External"/><Relationship Id="rId1100" Type="http://schemas.openxmlformats.org/officeDocument/2006/relationships/hyperlink" Target="https://drive.google.com/file/d/1iKNWVaIA8qwKb-1eVPBpj0qtDnffAKyj/view?usp=sharing" TargetMode="External"/><Relationship Id="rId750" Type="http://schemas.openxmlformats.org/officeDocument/2006/relationships/hyperlink" Target="https://drive.google.com/file/d/1ksrWHmKtRf08zYMOqEItZATPtilnsw_f/view?usp=sharing" TargetMode="External"/><Relationship Id="rId992" Type="http://schemas.openxmlformats.org/officeDocument/2006/relationships/hyperlink" Target="https://drive.google.com/file/d/18DkANJcn3KKvLLp-sqJYPMKVKn0N9P1D/view?usp=sharing" TargetMode="External"/><Relationship Id="rId1101" Type="http://schemas.openxmlformats.org/officeDocument/2006/relationships/hyperlink" Target="https://drive.google.com/file/d/1rom6Q4yUpy6ktcHcgLK8QyXjXwL0ey4j/view?usp=sharing" TargetMode="External"/><Relationship Id="rId991" Type="http://schemas.openxmlformats.org/officeDocument/2006/relationships/hyperlink" Target="http://s.si/" TargetMode="External"/><Relationship Id="rId1102" Type="http://schemas.openxmlformats.org/officeDocument/2006/relationships/hyperlink" Target="https://drive.google.com/file/d/1aNGC8Fu7bChFC-UiVQ0jBj5Ucv7Uqt5-/view?usp=sharing" TargetMode="External"/><Relationship Id="rId84" Type="http://schemas.openxmlformats.org/officeDocument/2006/relationships/hyperlink" Target="https://drive.google.com/file/d/1oFap75N-WrtKMA9LYi6FOXTOqefoomOG/view?usp=sharing" TargetMode="External"/><Relationship Id="rId83" Type="http://schemas.openxmlformats.org/officeDocument/2006/relationships/hyperlink" Target="https://drive.google.com/file/d/1oU5bFStCkok4NvQU6HQhLNfbY7hYQ_Lj/view?usp=sharing" TargetMode="External"/><Relationship Id="rId86" Type="http://schemas.openxmlformats.org/officeDocument/2006/relationships/hyperlink" Target="https://drive.google.com/file/d/1jUuPF7Xz70SUeXW7qfekXe_AW67sWMzI/view?usp=sharing" TargetMode="External"/><Relationship Id="rId85" Type="http://schemas.openxmlformats.org/officeDocument/2006/relationships/hyperlink" Target="https://drive.google.com/file/d/1gHtw8Mc7wvX1eZbSgoQmjV9BXKDaohOa/view?usp=sharing" TargetMode="External"/><Relationship Id="rId88" Type="http://schemas.openxmlformats.org/officeDocument/2006/relationships/hyperlink" Target="https://drive.google.com/file/d/1CdKlAls4AvHIM8POuzPBGosZRHLzl0-u/view?usp=sharing" TargetMode="External"/><Relationship Id="rId87" Type="http://schemas.openxmlformats.org/officeDocument/2006/relationships/hyperlink" Target="https://drive.google.com/file/d/1h9FUW9ymLj1XhUfQfmmwgzil-u4_WfeR/view?usp=sharing" TargetMode="External"/><Relationship Id="rId89" Type="http://schemas.openxmlformats.org/officeDocument/2006/relationships/hyperlink" Target="https://drive.google.com/file/d/12Ixvlu4sBBM4PxAzZMjtEyne0opjWDDr/view?usp=sharing" TargetMode="External"/><Relationship Id="rId709" Type="http://schemas.openxmlformats.org/officeDocument/2006/relationships/hyperlink" Target="https://drive.google.com/file/d/1CSGkTpAHOcUPkLibEuFw1R6z0xI6BsFE/view?usp=sharing" TargetMode="External"/><Relationship Id="rId708" Type="http://schemas.openxmlformats.org/officeDocument/2006/relationships/hyperlink" Target="https://drive.google.com/file/d/1-pOt5obxaVvqtWC_Ga5iepmftg-eSmdR/view?usp=sharing" TargetMode="External"/><Relationship Id="rId707" Type="http://schemas.openxmlformats.org/officeDocument/2006/relationships/hyperlink" Target="https://drive.google.com/file/d/1ZkUgEi4ca_dPiSQPH8b-fPaDxtQIxeGU/view?usp=sharing" TargetMode="External"/><Relationship Id="rId949" Type="http://schemas.openxmlformats.org/officeDocument/2006/relationships/hyperlink" Target="https://drive.google.com/file/d/1oB4w3HGanmgtMjSJoehnUx9WjZj2OBUB/view?usp=drive_link" TargetMode="External"/><Relationship Id="rId706" Type="http://schemas.openxmlformats.org/officeDocument/2006/relationships/hyperlink" Target="https://drive.google.com/file/d/1b5HGaCHcsbYpTXLs05Zu-JRmZsIJ1rqN/view?usp=sharing" TargetMode="External"/><Relationship Id="rId948" Type="http://schemas.openxmlformats.org/officeDocument/2006/relationships/hyperlink" Target="https://drive.google.com/file/d/1rTmUv20oCSICE5O8_6Ai7xPCIXNF6nmJ/view?usp=drive_link" TargetMode="External"/><Relationship Id="rId80" Type="http://schemas.openxmlformats.org/officeDocument/2006/relationships/hyperlink" Target="https://drive.google.com/file/d/1Bwoqd7ByK337Yk_rfrmCvgBRAXYCRfuu/view?usp=sharing" TargetMode="External"/><Relationship Id="rId82" Type="http://schemas.openxmlformats.org/officeDocument/2006/relationships/hyperlink" Target="https://drive.google.com/file/d/1Hvni_tr_rlX-QbiRNKcZRrhPKQXeAB85/view?usp=sharing" TargetMode="External"/><Relationship Id="rId81" Type="http://schemas.openxmlformats.org/officeDocument/2006/relationships/hyperlink" Target="https://drive.google.com/file/d/1J7Rtw5jvfQ-vcbQ9SaoLrHKx_hv2efCU/view?usp=sharing" TargetMode="External"/><Relationship Id="rId701" Type="http://schemas.openxmlformats.org/officeDocument/2006/relationships/hyperlink" Target="https://drive.google.com/file/d/10Z0QJAzPfUvyuSHguKYJEnE0lvXZsL66/view?usp=sharing" TargetMode="External"/><Relationship Id="rId943" Type="http://schemas.openxmlformats.org/officeDocument/2006/relationships/hyperlink" Target="https://drive.google.com/file/d/1qsPbwHW2yBX-CxjS_zzMIwagJPHEabqx/view?usp=drive_link" TargetMode="External"/><Relationship Id="rId700" Type="http://schemas.openxmlformats.org/officeDocument/2006/relationships/hyperlink" Target="https://drive.google.com/file/d/1o4JGnsrGBf7IFFviHXWKFzS3iY29oo8J/view?usp=sharing" TargetMode="External"/><Relationship Id="rId942" Type="http://schemas.openxmlformats.org/officeDocument/2006/relationships/hyperlink" Target="https://drive.google.com/file/d/1PFE7vWUrR7Vz1pC_PLw9PJ256nhKghWG/view?usp=sharing" TargetMode="External"/><Relationship Id="rId941" Type="http://schemas.openxmlformats.org/officeDocument/2006/relationships/hyperlink" Target="https://drive.google.com/file/d/14sfXxCEYJ5ZBu9hHiWHINcQvlcljUr91/view?usp=sharing" TargetMode="External"/><Relationship Id="rId940" Type="http://schemas.openxmlformats.org/officeDocument/2006/relationships/hyperlink" Target="https://drive.google.com/file/d/1-zDvWprKy7a-hEfSd33-8IduSFwshY_3/view?usp=sharing" TargetMode="External"/><Relationship Id="rId705" Type="http://schemas.openxmlformats.org/officeDocument/2006/relationships/hyperlink" Target="https://drive.google.com/file/d/1ApqFKNXwppvUIsbbH-j2r7RTeEkieSfE/view?usp=sharing" TargetMode="External"/><Relationship Id="rId947" Type="http://schemas.openxmlformats.org/officeDocument/2006/relationships/hyperlink" Target="https://drive.google.com/file/d/17Z6Ni2yKbQrYVlKJQIGbnpzS0ny75EDB/view?usp=drive_link" TargetMode="External"/><Relationship Id="rId704" Type="http://schemas.openxmlformats.org/officeDocument/2006/relationships/hyperlink" Target="https://drive.google.com/file/d/13h7bSqj1iZaoQTCZyhvFIAUgkPsGIUXz/view?usp=sharing" TargetMode="External"/><Relationship Id="rId946" Type="http://schemas.openxmlformats.org/officeDocument/2006/relationships/hyperlink" Target="https://drive.google.com/file/d/1EnI0BjRBHaBoWZMsS1AATs-WLMhFwbEX/view?usp=drive_link" TargetMode="External"/><Relationship Id="rId703" Type="http://schemas.openxmlformats.org/officeDocument/2006/relationships/hyperlink" Target="https://drive.google.com/file/d/1PYIA0z7V4Gu3Z7M5IK5rLt87_EJ4EL-C/view?usp=sharing" TargetMode="External"/><Relationship Id="rId945" Type="http://schemas.openxmlformats.org/officeDocument/2006/relationships/hyperlink" Target="https://drive.google.com/file/d/17ESi_TO3fSciFE-401drbPF69T0H9WYk/view?usp=drive_link" TargetMode="External"/><Relationship Id="rId702" Type="http://schemas.openxmlformats.org/officeDocument/2006/relationships/hyperlink" Target="https://drive.google.com/file/d/1P2mHmfVTyMwIXLI6inacdwf0P-f5Th5k/view?usp=sharing" TargetMode="External"/><Relationship Id="rId944" Type="http://schemas.openxmlformats.org/officeDocument/2006/relationships/hyperlink" Target="https://drive.google.com/file/d/1aoU3EkduxCDvTPFMkqd9gFdhSwtAEQsN/view?usp=drive_link" TargetMode="External"/><Relationship Id="rId73" Type="http://schemas.openxmlformats.org/officeDocument/2006/relationships/hyperlink" Target="https://drive.google.com/file/d/1y23cTLHcYoOogaO6rlRfXZayKcnbniaU/view?usp=sharing" TargetMode="External"/><Relationship Id="rId72" Type="http://schemas.openxmlformats.org/officeDocument/2006/relationships/hyperlink" Target="https://drive.google.com/file/d/1HsHq7MvLS2e7vyit6-tP0b3BR2ztNQci/view?usp=drive_link" TargetMode="External"/><Relationship Id="rId75" Type="http://schemas.openxmlformats.org/officeDocument/2006/relationships/hyperlink" Target="https://drive.google.com/file/d/1tsMHsfA6ie94-91lST014jGS9UJKRqic/view?usp=sharing" TargetMode="External"/><Relationship Id="rId74" Type="http://schemas.openxmlformats.org/officeDocument/2006/relationships/hyperlink" Target="https://drive.google.com/file/d/11NK3xUvtgIQvBboAnG5oX1sGf2AOa99j/view?usp=sharing" TargetMode="External"/><Relationship Id="rId77" Type="http://schemas.openxmlformats.org/officeDocument/2006/relationships/hyperlink" Target="https://drive.google.com/file/d/12kjhIAenp11mXSnLW47LUWiMjAa-FDBQ/view?usp=sharing" TargetMode="External"/><Relationship Id="rId76" Type="http://schemas.openxmlformats.org/officeDocument/2006/relationships/hyperlink" Target="https://drive.google.com/file/d/13w0Xbn5RsyTHrCpC_tvmDz8q94Z3CMmR/view?usp=sharing" TargetMode="External"/><Relationship Id="rId79" Type="http://schemas.openxmlformats.org/officeDocument/2006/relationships/hyperlink" Target="https://drive.google.com/file/d/1356iemqUm9cycJ2z-teeKN3d5X64gdy-/view?usp=sharing" TargetMode="External"/><Relationship Id="rId78" Type="http://schemas.openxmlformats.org/officeDocument/2006/relationships/hyperlink" Target="https://drive.google.com/file/d/1-UQ_4KZRWMkLbiEspi-a6rWMiQoU0ve6/view?usp=sharing" TargetMode="External"/><Relationship Id="rId939" Type="http://schemas.openxmlformats.org/officeDocument/2006/relationships/hyperlink" Target="https://drive.google.com/file/d/1PMU97Bek-AU4t7bg1YmH-IUUo1EXEeIY/view?usp=sharing" TargetMode="External"/><Relationship Id="rId938" Type="http://schemas.openxmlformats.org/officeDocument/2006/relationships/hyperlink" Target="https://drive.google.com/file/d/1x7WBmlPwKzJHNkgTbTdwZ0-l7-Wg62F5/view?usp=sharing" TargetMode="External"/><Relationship Id="rId937" Type="http://schemas.openxmlformats.org/officeDocument/2006/relationships/hyperlink" Target="https://drive.google.com/file/d/1lHSmiFxWvXFdOjHA4q2XknZZKtDVWUgR/view?usp=sharing" TargetMode="External"/><Relationship Id="rId71" Type="http://schemas.openxmlformats.org/officeDocument/2006/relationships/hyperlink" Target="https://drive.google.com/file/d/1AYYw3aRo5sdlGdaRZmQpKyWdnW28viOA/view?usp=sharing" TargetMode="External"/><Relationship Id="rId70" Type="http://schemas.openxmlformats.org/officeDocument/2006/relationships/hyperlink" Target="https://drive.google.com/file/d/1BMwrrtET2QHccObTJvEhqrWoOzCWlpGY/view?usp=sharing" TargetMode="External"/><Relationship Id="rId932" Type="http://schemas.openxmlformats.org/officeDocument/2006/relationships/hyperlink" Target="https://drive.google.com/file/d/1_oS4JpDrWzutZiUsoZkbgqisoLB1gES4/view?usp=sharing" TargetMode="External"/><Relationship Id="rId931" Type="http://schemas.openxmlformats.org/officeDocument/2006/relationships/hyperlink" Target="https://drive.google.com/file/d/1aiz-v-4srNN-yfVOTbPaBvWPgPYz-3Pf/view?usp=sharing" TargetMode="External"/><Relationship Id="rId930" Type="http://schemas.openxmlformats.org/officeDocument/2006/relationships/hyperlink" Target="https://drive.google.com/file/d/1_UEVHm3Q8KkgQhufOoD1xtMNrGw-tYsn/view?usp=sharing" TargetMode="External"/><Relationship Id="rId936" Type="http://schemas.openxmlformats.org/officeDocument/2006/relationships/hyperlink" Target="https://drive.google.com/file/d/1D-mR8XZIqWS5Wtdn1qIWtpmsfhaITI3K/view?usp=sharing" TargetMode="External"/><Relationship Id="rId935" Type="http://schemas.openxmlformats.org/officeDocument/2006/relationships/hyperlink" Target="https://drive.google.com/file/d/1Lzsok0LSCIrtvrFeqGYKuvS8ihQLLdRv/view?usp=sharing" TargetMode="External"/><Relationship Id="rId934" Type="http://schemas.openxmlformats.org/officeDocument/2006/relationships/hyperlink" Target="https://drive.google.com/file/d/1x1iarmCmLuVjDh3b5fB4UIyByxXRfYxP/view?usp=sharing" TargetMode="External"/><Relationship Id="rId933" Type="http://schemas.openxmlformats.org/officeDocument/2006/relationships/hyperlink" Target="https://drive.google.com/file/d/1qZpAwzeJ4eVP3rIQGGmJlYG_JyOZp92f/view?usp=sharing" TargetMode="External"/><Relationship Id="rId62" Type="http://schemas.openxmlformats.org/officeDocument/2006/relationships/hyperlink" Target="https://drive.google.com/file/d/1PoAJT1t7Kd631cGdtSzzIB2kjuhZfp-M/view?usp=sharing" TargetMode="External"/><Relationship Id="rId61" Type="http://schemas.openxmlformats.org/officeDocument/2006/relationships/hyperlink" Target="https://drive.google.com/file/d/10-wgGkjGd6xmoSkAKn7aPVE7Wa6q4Fdx/view?usp=sharing" TargetMode="External"/><Relationship Id="rId64" Type="http://schemas.openxmlformats.org/officeDocument/2006/relationships/hyperlink" Target="https://drive.google.com/file/d/1rE9gUnFYn-1tJiw4ECVjTJiQUwSSJ0gn/view?usp=sharing" TargetMode="External"/><Relationship Id="rId63" Type="http://schemas.openxmlformats.org/officeDocument/2006/relationships/hyperlink" Target="https://drive.google.com/file/d/1rh44RuT7sBk2bdItpGD13mcYWJS-Q3y8/view?usp=sharing" TargetMode="External"/><Relationship Id="rId66" Type="http://schemas.openxmlformats.org/officeDocument/2006/relationships/hyperlink" Target="https://drive.google.com/file/d/1GBTts0PVzKM1nAmmhItQJ5_IDqERQPVt/view?usp=sharing" TargetMode="External"/><Relationship Id="rId65" Type="http://schemas.openxmlformats.org/officeDocument/2006/relationships/hyperlink" Target="https://drive.google.com/file/d/1s0kiQt3zeE509F09MwOHNX-w-Be_A8FW/view?usp=drive_link" TargetMode="External"/><Relationship Id="rId68" Type="http://schemas.openxmlformats.org/officeDocument/2006/relationships/hyperlink" Target="https://drive.google.com/file/d/1GBAc1-Tb7QcYGypbtAnZDlZF19Ejl5nE/view?usp=sharing" TargetMode="External"/><Relationship Id="rId67" Type="http://schemas.openxmlformats.org/officeDocument/2006/relationships/hyperlink" Target="https://drive.google.com/file/d/1thCBjisneXshdTmglLrDPPuq9ziadfWt/view?usp=sharing" TargetMode="External"/><Relationship Id="rId729" Type="http://schemas.openxmlformats.org/officeDocument/2006/relationships/hyperlink" Target="https://drive.google.com/file/d/1kN4TLty8fha_v6sbzm3BPUCaNY0gB-Yc/view?usp=drive_link" TargetMode="External"/><Relationship Id="rId728" Type="http://schemas.openxmlformats.org/officeDocument/2006/relationships/hyperlink" Target="https://drive.google.com/file/d/1d5yeqeOc7agUiskGxiuh9DM11jzz957d/view?usp=drive_link" TargetMode="External"/><Relationship Id="rId60" Type="http://schemas.openxmlformats.org/officeDocument/2006/relationships/hyperlink" Target="https://drive.google.com/file/d/1T2OUaHb8SoMatc9g5bmsN54lN_dUV0WO/view?usp=sharing" TargetMode="External"/><Relationship Id="rId723" Type="http://schemas.openxmlformats.org/officeDocument/2006/relationships/hyperlink" Target="https://drive.google.com/file/d/1EFOyv9LGfiuvG0pFUfDWCdvLA_pgmv2s/view?usp=sharing" TargetMode="External"/><Relationship Id="rId965" Type="http://schemas.openxmlformats.org/officeDocument/2006/relationships/hyperlink" Target="https://drive.google.com/file/d/1wAwRMIT1kKfCAMtbjpgYtvvfVoFLqbmb/view?usp=sharing" TargetMode="External"/><Relationship Id="rId722" Type="http://schemas.openxmlformats.org/officeDocument/2006/relationships/hyperlink" Target="https://drive.google.com/file/d/1BZRYPoUHSBCYLmnxGK-T0LmBNWQOpUZw/view?usp=sharing" TargetMode="External"/><Relationship Id="rId964" Type="http://schemas.openxmlformats.org/officeDocument/2006/relationships/hyperlink" Target="https://drive.google.com/file/d/1fQt7usgUdY7U0bXSNKDp_eg8ssum2Yuw/view?usp=sharing" TargetMode="External"/><Relationship Id="rId721" Type="http://schemas.openxmlformats.org/officeDocument/2006/relationships/hyperlink" Target="https://drive.google.com/file/d/1t1gqY-2tYdaHDcqXiL7OK2E_zWkqOZaK/view?usp=sharing" TargetMode="External"/><Relationship Id="rId963" Type="http://schemas.openxmlformats.org/officeDocument/2006/relationships/hyperlink" Target="https://drive.google.com/file/d/171CVbfIt0dO8afXS-iV_wHttryQAxEXj/view?usp=sharing" TargetMode="External"/><Relationship Id="rId720" Type="http://schemas.openxmlformats.org/officeDocument/2006/relationships/hyperlink" Target="https://drive.google.com/file/d/1AdQi3q3TGr_l2xZokgKtamOtrnqzCb81/view?usp=drive_link" TargetMode="External"/><Relationship Id="rId962" Type="http://schemas.openxmlformats.org/officeDocument/2006/relationships/hyperlink" Target="https://drive.google.com/file/d/1rgGC2zrgZVP4d4SqZm_ByIT1qXn6wn6I/view?usp=drive_link" TargetMode="External"/><Relationship Id="rId727" Type="http://schemas.openxmlformats.org/officeDocument/2006/relationships/hyperlink" Target="https://drive.google.com/file/d/1Wyzkihq_9r8zZDyeDJJ47ajm-VmtrkUJ/view?usp=sharing" TargetMode="External"/><Relationship Id="rId969" Type="http://schemas.openxmlformats.org/officeDocument/2006/relationships/hyperlink" Target="https://drive.google.com/file/d/1HG7X5fYP2jNjRf6Tid67t1IKWllN3Mli/view?usp=sharing" TargetMode="External"/><Relationship Id="rId726" Type="http://schemas.openxmlformats.org/officeDocument/2006/relationships/hyperlink" Target="https://drive.google.com/file/d/1plPzpPMfBcJOPjKbTZiw8_xo8JwWmpjN/view?usp=sharing" TargetMode="External"/><Relationship Id="rId968" Type="http://schemas.openxmlformats.org/officeDocument/2006/relationships/hyperlink" Target="https://drive.google.com/file/d/16SivcgcmATMCCkNgPrtFFDswrv6fj8AX/view?usp=sharing" TargetMode="External"/><Relationship Id="rId725" Type="http://schemas.openxmlformats.org/officeDocument/2006/relationships/hyperlink" Target="https://drive.google.com/file/d/1_W8C38TIg9dAtppDRpdGLY-mMyaJcQb1/view?usp=sharing" TargetMode="External"/><Relationship Id="rId967" Type="http://schemas.openxmlformats.org/officeDocument/2006/relationships/hyperlink" Target="https://drive.google.com/file/d/1n5sH5vzRwcA4X_ddhVndIFoOOmfkp0ER/view?usp=sharing" TargetMode="External"/><Relationship Id="rId724" Type="http://schemas.openxmlformats.org/officeDocument/2006/relationships/hyperlink" Target="https://drive.google.com/file/d/1f6lz9BvHvWPa1QlKAnVDgVlTjVvJRhCa/view?usp=drive_link" TargetMode="External"/><Relationship Id="rId966" Type="http://schemas.openxmlformats.org/officeDocument/2006/relationships/hyperlink" Target="https://drive.google.com/file/d/1LeT6J_T5AHlwVDjiSV0giClhxLk3w_lT/view?usp=sharing" TargetMode="External"/><Relationship Id="rId69" Type="http://schemas.openxmlformats.org/officeDocument/2006/relationships/hyperlink" Target="https://drive.google.com/file/d/1fGQyNTah97x1kiOXhNPShzhOouo78RG4/view?usp=sharing" TargetMode="External"/><Relationship Id="rId961" Type="http://schemas.openxmlformats.org/officeDocument/2006/relationships/hyperlink" Target="https://drive.google.com/file/d/1el61TLv7D99Qq8S38sUobr1CvugTudu2/view?usp=sharing" TargetMode="External"/><Relationship Id="rId960" Type="http://schemas.openxmlformats.org/officeDocument/2006/relationships/hyperlink" Target="https://drive.google.com/file/d/1uOkekwMnFyax14vwYTflj5V4P5jrMiwI/view?usp=sharing" TargetMode="External"/><Relationship Id="rId51" Type="http://schemas.openxmlformats.org/officeDocument/2006/relationships/hyperlink" Target="https://drive.google.com/file/d/1F6kVe2VDkw4qkfV4DoosmQgbzZHMm9vU/view?usp=sharing" TargetMode="External"/><Relationship Id="rId50" Type="http://schemas.openxmlformats.org/officeDocument/2006/relationships/hyperlink" Target="https://drive.google.com/file/d/1l9nciJ31MCbasuIlrAxoZgmHiGxieKz0/view?usp=sharing" TargetMode="External"/><Relationship Id="rId53" Type="http://schemas.openxmlformats.org/officeDocument/2006/relationships/hyperlink" Target="https://drive.google.com/file/d/18YVdDURcorvxa1ua1CC0Mca4lTnqdqmG/view?usp=sharing" TargetMode="External"/><Relationship Id="rId52" Type="http://schemas.openxmlformats.org/officeDocument/2006/relationships/hyperlink" Target="https://drive.google.com/file/d/1-zQrRHX75QScwT13nsW-AVWr4yeH9yRk/view?usp=sharing" TargetMode="External"/><Relationship Id="rId55" Type="http://schemas.openxmlformats.org/officeDocument/2006/relationships/hyperlink" Target="https://drive.google.com/file/d/1Sfc2SjYug816A9IE7n56bHO2hetJ-9Gs/view?usp=sharing" TargetMode="External"/><Relationship Id="rId54" Type="http://schemas.openxmlformats.org/officeDocument/2006/relationships/hyperlink" Target="https://drive.google.com/file/d/1_F6S-vBsfkUxXE7RMt3yigUSInIlJ6HW/view?usp=sharing" TargetMode="External"/><Relationship Id="rId57" Type="http://schemas.openxmlformats.org/officeDocument/2006/relationships/hyperlink" Target="https://drive.google.com/file/d/1OfBoteCsM3v__PLHt1ws5ACwBV16eVV_/view?usp=sharing" TargetMode="External"/><Relationship Id="rId56" Type="http://schemas.openxmlformats.org/officeDocument/2006/relationships/hyperlink" Target="https://drive.google.com/file/d/1RYXzkwo--fyxVXPidqW0jj2mdMJZ0EAk/view?usp=sharing" TargetMode="External"/><Relationship Id="rId719" Type="http://schemas.openxmlformats.org/officeDocument/2006/relationships/hyperlink" Target="https://drive.google.com/file/d/1EvHvWNmaXqvY0cSAMIExeKI8xLl0c0GR/view?usp=sharing" TargetMode="External"/><Relationship Id="rId718" Type="http://schemas.openxmlformats.org/officeDocument/2006/relationships/hyperlink" Target="https://drive.google.com/file/d/1d9zbb9qu1oOkZG3rs4Pf10yd84B3JBgE/view?usp=sharing" TargetMode="External"/><Relationship Id="rId717" Type="http://schemas.openxmlformats.org/officeDocument/2006/relationships/hyperlink" Target="https://drive.google.com/file/d/1lRSvcEegiISXpAd1GG6Xf5_XRZ0tAPSV/view?usp=drive_link" TargetMode="External"/><Relationship Id="rId959" Type="http://schemas.openxmlformats.org/officeDocument/2006/relationships/hyperlink" Target="https://drive.google.com/file/d/1LDsDpeMHjQQazHa1tEfxElv87k2Zmail/view?usp=sharing" TargetMode="External"/><Relationship Id="rId712" Type="http://schemas.openxmlformats.org/officeDocument/2006/relationships/hyperlink" Target="https://drive.google.com/file/d/1WsdnJdoGziBen7lUJU_GQ3ZM9qJhJrgW/view?usp=sharing" TargetMode="External"/><Relationship Id="rId954" Type="http://schemas.openxmlformats.org/officeDocument/2006/relationships/hyperlink" Target="https://drive.google.com/file/d/14HDJlvYl_ipg267anvDY_zMkAfLIT8iL/view?usp=drive_link" TargetMode="External"/><Relationship Id="rId711" Type="http://schemas.openxmlformats.org/officeDocument/2006/relationships/hyperlink" Target="https://drive.google.com/file/d/16jBg3-_LVwYHHyn9ZeifTfwO-cc5EBAg/view?usp=sharing" TargetMode="External"/><Relationship Id="rId953" Type="http://schemas.openxmlformats.org/officeDocument/2006/relationships/hyperlink" Target="https://drive.google.com/file/d/1fijB1na3HWq0Iga1kTDSYxAH5tVK-ur8/view?usp=drive_link" TargetMode="External"/><Relationship Id="rId710" Type="http://schemas.openxmlformats.org/officeDocument/2006/relationships/hyperlink" Target="https://drive.google.com/file/d/1K-vdUpwTenXjtI2z7THohzdjhlX0p0Vc/view?usp=drive_link" TargetMode="External"/><Relationship Id="rId952" Type="http://schemas.openxmlformats.org/officeDocument/2006/relationships/hyperlink" Target="https://drive.google.com/file/d/1Sg5dy2rjnSz-7nxJ7-aC3KLAPsdAL_Or/view?usp=drive_link" TargetMode="External"/><Relationship Id="rId951" Type="http://schemas.openxmlformats.org/officeDocument/2006/relationships/hyperlink" Target="https://drive.google.com/file/d/1tSIi6XmI-2j5Enp58tb2BEg1P0l_9yru/view?usp=drive_link" TargetMode="External"/><Relationship Id="rId716" Type="http://schemas.openxmlformats.org/officeDocument/2006/relationships/hyperlink" Target="https://drive.google.com/file/d/1AZYf2s2Rh-GJBN6kQYtX1WAC5PfdtVJ0/view?usp=sharing" TargetMode="External"/><Relationship Id="rId958" Type="http://schemas.openxmlformats.org/officeDocument/2006/relationships/hyperlink" Target="https://drive.google.com/file/d/1M5Ukojc8NcwEFMBctp9JYCg0AZESHL3G/view?usp=sharing" TargetMode="External"/><Relationship Id="rId715" Type="http://schemas.openxmlformats.org/officeDocument/2006/relationships/hyperlink" Target="https://drive.google.com/file/d/1yLVocQxN4g-29HiluIeij86tY5_2enQx/view?usp=sharing" TargetMode="External"/><Relationship Id="rId957" Type="http://schemas.openxmlformats.org/officeDocument/2006/relationships/hyperlink" Target="https://drive.google.com/file/d/1KRm1LXGPj7zwXb45co6qee77U3k1_yGD/view?usp=drive_link" TargetMode="External"/><Relationship Id="rId714" Type="http://schemas.openxmlformats.org/officeDocument/2006/relationships/hyperlink" Target="https://drive.google.com/file/d/1yc4upprsGjZdzmX9LGQDCrY2PLOXPbxJ/view?usp=sharing" TargetMode="External"/><Relationship Id="rId956" Type="http://schemas.openxmlformats.org/officeDocument/2006/relationships/hyperlink" Target="https://drive.google.com/file/d/1eFUn5hH5j4BQbulQVzbRTJM-hrIIbcDh/view?usp=drive_link" TargetMode="External"/><Relationship Id="rId713" Type="http://schemas.openxmlformats.org/officeDocument/2006/relationships/hyperlink" Target="https://drive.google.com/file/d/1R0moo-KUap4HpesR2iwQhmfVxOZwQV_Y/view?usp=drive_link" TargetMode="External"/><Relationship Id="rId955" Type="http://schemas.openxmlformats.org/officeDocument/2006/relationships/hyperlink" Target="https://drive.google.com/file/d/1U2OH952gq6OTplX92FwTYHQ6aUes7R14/view?usp=drive_link" TargetMode="External"/><Relationship Id="rId59" Type="http://schemas.openxmlformats.org/officeDocument/2006/relationships/hyperlink" Target="https://drive.google.com/file/d/1oTKydYHHreMkWTbCazQe5hb20-jyspHs/view?usp=sharing" TargetMode="External"/><Relationship Id="rId58" Type="http://schemas.openxmlformats.org/officeDocument/2006/relationships/hyperlink" Target="https://drive.google.com/file/d/1WO0SZFZg_bReLu3-4c-gdZCCk4uYFKQA/view?usp=sharing" TargetMode="External"/><Relationship Id="rId950" Type="http://schemas.openxmlformats.org/officeDocument/2006/relationships/hyperlink" Target="https://drive.google.com/file/d/1uXezX3PhxANdU16OtnxGbuI2mB_XUs4e/view?usp=drive_link" TargetMode="External"/><Relationship Id="rId590" Type="http://schemas.openxmlformats.org/officeDocument/2006/relationships/hyperlink" Target="https://drive.google.com/file/d/1J9Ip3zxI0yKvyIBZGDm1Unutcck_Tnom/view?usp=sharing" TargetMode="External"/><Relationship Id="rId107" Type="http://schemas.openxmlformats.org/officeDocument/2006/relationships/hyperlink" Target="https://drive.google.com/file/d/1-eVw8TPNz8EyWr07nhJrpBmdO1o6rYXc/view?usp=sharing" TargetMode="External"/><Relationship Id="rId349" Type="http://schemas.openxmlformats.org/officeDocument/2006/relationships/hyperlink" Target="https://drive.google.com/file/d/1m5IAkBBsZMpGHoj4tmQx3PyUza3Q7tFa/view?usp=sharing" TargetMode="External"/><Relationship Id="rId106" Type="http://schemas.openxmlformats.org/officeDocument/2006/relationships/hyperlink" Target="https://drive.google.com/file/d/1uBkcdNrspmkJ78P3IqtM1sxz8YDdhGA_/view?usp=drive_link" TargetMode="External"/><Relationship Id="rId348" Type="http://schemas.openxmlformats.org/officeDocument/2006/relationships/hyperlink" Target="https://drive.google.com/file/d/16uyovPaJ1YySmZ-NHya-f8XkP6-2zgqI/view?usp=sharing" TargetMode="External"/><Relationship Id="rId105" Type="http://schemas.openxmlformats.org/officeDocument/2006/relationships/hyperlink" Target="https://drive.google.com/file/d/1TIP6qzyQ19J_NWWmQC2WaPOvUhXZfv_6/view?usp=drive_link" TargetMode="External"/><Relationship Id="rId347" Type="http://schemas.openxmlformats.org/officeDocument/2006/relationships/hyperlink" Target="https://drive.google.com/file/d/1Nk1qmoGUKZjPpENDSkZuFxVfuabQJ7g9/view?usp=sharing" TargetMode="External"/><Relationship Id="rId589" Type="http://schemas.openxmlformats.org/officeDocument/2006/relationships/hyperlink" Target="https://drive.google.com/file/d/1iLl_j7qS3mGePHiCaz0HjMDcQAr3tj4O/view?usp=sharing" TargetMode="External"/><Relationship Id="rId104" Type="http://schemas.openxmlformats.org/officeDocument/2006/relationships/hyperlink" Target="https://drive.google.com/file/d/1grfW7IPR3VIpRCd3dXi6SiogL7ng88vi/view?usp=sharing" TargetMode="External"/><Relationship Id="rId346" Type="http://schemas.openxmlformats.org/officeDocument/2006/relationships/hyperlink" Target="https://drive.google.com/file/d/1ihEJ4JKHVYlcDY9PRVzS-FUkM_4wQ5BR/view?usp=sharing" TargetMode="External"/><Relationship Id="rId588" Type="http://schemas.openxmlformats.org/officeDocument/2006/relationships/hyperlink" Target="https://drive.google.com/file/d/135qX98AW-TiO8Bwzto-9DjdNG0raW0MU/view?usp=sharing" TargetMode="External"/><Relationship Id="rId109" Type="http://schemas.openxmlformats.org/officeDocument/2006/relationships/hyperlink" Target="https://drive.google.com/file/d/1Fzt6bKJo7IMK82H188hzBlOeB6TMeLV4/view?usp=sharing" TargetMode="External"/><Relationship Id="rId108" Type="http://schemas.openxmlformats.org/officeDocument/2006/relationships/hyperlink" Target="https://drive.google.com/file/d/1YwclKwFKjrhVOT0nzr81k5NlG6Uob9u2/view?usp=sharing" TargetMode="External"/><Relationship Id="rId341" Type="http://schemas.openxmlformats.org/officeDocument/2006/relationships/hyperlink" Target="https://drive.google.com/file/d/1PeSPmbQWt5whBTtwHtZDAiOTmbAPMIjr/view?usp=sharing" TargetMode="External"/><Relationship Id="rId583" Type="http://schemas.openxmlformats.org/officeDocument/2006/relationships/hyperlink" Target="https://drive.google.com/file/d/1qi_JNZRx76dtJeIAYonvvPIOuLpBq29U/view?usp=sharing" TargetMode="External"/><Relationship Id="rId340" Type="http://schemas.openxmlformats.org/officeDocument/2006/relationships/hyperlink" Target="https://drive.google.com/file/d/16hyu4gKLJk8irVg5Yju87vPZ7qSi4lD8/view?usp=sharing" TargetMode="External"/><Relationship Id="rId582" Type="http://schemas.openxmlformats.org/officeDocument/2006/relationships/hyperlink" Target="https://drive.google.com/file/d/1wfZflc8HCTF-GwCtCJVUD3NpsOlmEKVF/view?usp=sharing" TargetMode="External"/><Relationship Id="rId581" Type="http://schemas.openxmlformats.org/officeDocument/2006/relationships/hyperlink" Target="https://drive.google.com/file/d/1ZiE-xBVGcJncAgZRGyF3j4oQsIlutsbg/view?usp=sharing" TargetMode="External"/><Relationship Id="rId580" Type="http://schemas.openxmlformats.org/officeDocument/2006/relationships/hyperlink" Target="https://drive.google.com/file/d/1uRNplgeBUXtN7Luid9avtk2v2P0484NA/view?usp=sharing" TargetMode="External"/><Relationship Id="rId103" Type="http://schemas.openxmlformats.org/officeDocument/2006/relationships/hyperlink" Target="https://drive.google.com/file/d/1jPQk3Esy3c6dGZ60Wz0ughEkpeMh6e8k/view?usp=sharing" TargetMode="External"/><Relationship Id="rId345" Type="http://schemas.openxmlformats.org/officeDocument/2006/relationships/hyperlink" Target="https://drive.google.com/file/d/1alEUYQFfm_S1_5xaeZlB_KsOG0Y6JWb4/view?usp=sharing" TargetMode="External"/><Relationship Id="rId587" Type="http://schemas.openxmlformats.org/officeDocument/2006/relationships/hyperlink" Target="https://drive.google.com/file/d/1MHWc54MsGUyznTh8zzI2gQiEpb-2bHSM/view?usp=sharing" TargetMode="External"/><Relationship Id="rId102" Type="http://schemas.openxmlformats.org/officeDocument/2006/relationships/hyperlink" Target="https://drive.google.com/file/d/1-vDLMZxbL_8BPUSHifhMjHMzXbAf40e-/view?usp=sharing" TargetMode="External"/><Relationship Id="rId344" Type="http://schemas.openxmlformats.org/officeDocument/2006/relationships/hyperlink" Target="https://drive.google.com/file/d/1KmZLkHLMv0L0cD2GE8LxDg3LViqaIRwH/view?usp=sharing" TargetMode="External"/><Relationship Id="rId586" Type="http://schemas.openxmlformats.org/officeDocument/2006/relationships/hyperlink" Target="https://drive.google.com/file/d/1GL0dmD5TCeEBbqcrMkB71OwlPASjK1cl/view?usp=sharing" TargetMode="External"/><Relationship Id="rId101" Type="http://schemas.openxmlformats.org/officeDocument/2006/relationships/hyperlink" Target="https://drive.google.com/file/d/1-ojurV4ZUSpBM5hHuLBs0x05H4VEDlgX/view?usp=sharing" TargetMode="External"/><Relationship Id="rId343" Type="http://schemas.openxmlformats.org/officeDocument/2006/relationships/hyperlink" Target="https://drive.google.com/file/d/15DXcfyvcCHrWmD-Uwenre5jIKRVOES8v/view?usp=sharing" TargetMode="External"/><Relationship Id="rId585" Type="http://schemas.openxmlformats.org/officeDocument/2006/relationships/hyperlink" Target="https://drive.google.com/file/d/1RCZEL4xV1zzwL0lVVdfblwioCRFtcpNq/view?usp=sharing" TargetMode="External"/><Relationship Id="rId100" Type="http://schemas.openxmlformats.org/officeDocument/2006/relationships/hyperlink" Target="https://drive.google.com/file/d/1nq3w6YrP9yE65KcLdyu_PW2oplu60zg1/view?usp=sharing" TargetMode="External"/><Relationship Id="rId342" Type="http://schemas.openxmlformats.org/officeDocument/2006/relationships/hyperlink" Target="https://drive.google.com/file/d/1pw5VXY0KKDKLkOkldWmuGuwuh7gL4NtE/view?usp=sharing" TargetMode="External"/><Relationship Id="rId584" Type="http://schemas.openxmlformats.org/officeDocument/2006/relationships/hyperlink" Target="https://drive.google.com/file/d/1irJtVymfZXGJOEoc_mWZn8XhuHOD3G11/view?usp=sharing" TargetMode="External"/><Relationship Id="rId338" Type="http://schemas.openxmlformats.org/officeDocument/2006/relationships/hyperlink" Target="https://drive.google.com/file/d/1L6LrFaqJBiYfB5D6d6AtMqgwITBf5Ief/view?usp=sharing" TargetMode="External"/><Relationship Id="rId337" Type="http://schemas.openxmlformats.org/officeDocument/2006/relationships/hyperlink" Target="https://drive.google.com/file/d/1VQRsLotpNPPibVbwbtvMdeKsoEoR_cv6/view?usp=sharing" TargetMode="External"/><Relationship Id="rId579" Type="http://schemas.openxmlformats.org/officeDocument/2006/relationships/hyperlink" Target="https://drive.google.com/file/d/1M8AbFEP5mwG1SGBR93RJTd9v6-ATS7O0/view?usp=sharing" TargetMode="External"/><Relationship Id="rId336" Type="http://schemas.openxmlformats.org/officeDocument/2006/relationships/hyperlink" Target="https://drive.google.com/file/d/14ARxbqc5lPg9GoXeq6vULVQk89Picwlo/view?usp=sharing" TargetMode="External"/><Relationship Id="rId578" Type="http://schemas.openxmlformats.org/officeDocument/2006/relationships/hyperlink" Target="https://drive.google.com/file/d/1ep7WkWA3bL1xo10rUqsBMmkoDVg6EVbP/view?usp=sharing" TargetMode="External"/><Relationship Id="rId335" Type="http://schemas.openxmlformats.org/officeDocument/2006/relationships/hyperlink" Target="https://drive.google.com/file/d/1u65A3z4Mk4ky_yDiEJ2qTBoU0_eHLdjT/view?usp=sharing" TargetMode="External"/><Relationship Id="rId577" Type="http://schemas.openxmlformats.org/officeDocument/2006/relationships/hyperlink" Target="https://drive.google.com/file/d/1i-_6FngJJvCZSShwtUFe5bvKcyoQHHA0/view?usp=sharing" TargetMode="External"/><Relationship Id="rId339" Type="http://schemas.openxmlformats.org/officeDocument/2006/relationships/hyperlink" Target="https://drive.google.com/file/d/1XuiuHjdCIojRoyi0QE6-DqCFEiPDH8cL/view?usp=sharing" TargetMode="External"/><Relationship Id="rId1160" Type="http://schemas.openxmlformats.org/officeDocument/2006/relationships/hyperlink" Target="https://drive.google.com/file/d/1vMvgwziEUIdvauuaFWxYz9cAnE3HtFHj/view?usp=sharing" TargetMode="External"/><Relationship Id="rId330" Type="http://schemas.openxmlformats.org/officeDocument/2006/relationships/hyperlink" Target="https://drive.google.com/file/d/1QDN9aMXoR_fgSK9se1c07T5szzlGO3i7/view?usp=sharing" TargetMode="External"/><Relationship Id="rId572" Type="http://schemas.openxmlformats.org/officeDocument/2006/relationships/hyperlink" Target="https://drive.google.com/file/d/1pg69UWWGrYHaIWi2puXnxVBPkAVJ_zaD/view?usp=sharing" TargetMode="External"/><Relationship Id="rId1161" Type="http://schemas.openxmlformats.org/officeDocument/2006/relationships/hyperlink" Target="https://drive.google.com/file/d/12TAv48lU_C2V9B38yw2l4j1t06Iq5bIh/view?usp=sharing" TargetMode="External"/><Relationship Id="rId571" Type="http://schemas.openxmlformats.org/officeDocument/2006/relationships/hyperlink" Target="https://drive.google.com/file/d/1moK4iJ5jWPaSJen0jksSLGsXthmJfBJ8/view?usp=sharing" TargetMode="External"/><Relationship Id="rId1162" Type="http://schemas.openxmlformats.org/officeDocument/2006/relationships/hyperlink" Target="https://drive.google.com/file/d/1S1VDuAuZdDEIs4IyxbNQHvSFHGJiQFFK/view?usp=sharing" TargetMode="External"/><Relationship Id="rId570" Type="http://schemas.openxmlformats.org/officeDocument/2006/relationships/hyperlink" Target="https://drive.google.com/file/d/1oQgYSLGTg6iR6aNabHnAeOYY6aJKyJZ3/view?usp=drive_link" TargetMode="External"/><Relationship Id="rId1163" Type="http://schemas.openxmlformats.org/officeDocument/2006/relationships/hyperlink" Target="https://drive.google.com/file/d/1pYvaN8VAYkobqPgQ2734U8W6MX27jTza/view?usp=sharing" TargetMode="External"/><Relationship Id="rId1164" Type="http://schemas.openxmlformats.org/officeDocument/2006/relationships/hyperlink" Target="https://drive.google.com/file/d/18rUyrxUORsQVRjepQ-qvW1f1clU1-W7-/view?usp=sharing" TargetMode="External"/><Relationship Id="rId334" Type="http://schemas.openxmlformats.org/officeDocument/2006/relationships/hyperlink" Target="http://s.si/" TargetMode="External"/><Relationship Id="rId576" Type="http://schemas.openxmlformats.org/officeDocument/2006/relationships/hyperlink" Target="https://drive.google.com/file/d/1wFLhuV1Rmmv6wztClRJEDdHkz2xD9Pi9/view?usp=sharing" TargetMode="External"/><Relationship Id="rId1165" Type="http://schemas.openxmlformats.org/officeDocument/2006/relationships/hyperlink" Target="https://drive.google.com/file/d/1B9kqmjpamZexVx4g6B8V1U9XpN4JTPof/view?usp=sharing" TargetMode="External"/><Relationship Id="rId333" Type="http://schemas.openxmlformats.org/officeDocument/2006/relationships/hyperlink" Target="https://drive.google.com/file/d/1mDEuiztfzsg2opvM_O9UNwVHvvVfuH5B/view?usp=sharing" TargetMode="External"/><Relationship Id="rId575" Type="http://schemas.openxmlformats.org/officeDocument/2006/relationships/hyperlink" Target="https://drive.google.com/file/d/1H3lD_SoRvNfZ4Fyh1pmDGD6S5C4M4pI3/view?usp=sharing" TargetMode="External"/><Relationship Id="rId1166" Type="http://schemas.openxmlformats.org/officeDocument/2006/relationships/drawing" Target="../drawings/drawing1.xml"/><Relationship Id="rId332" Type="http://schemas.openxmlformats.org/officeDocument/2006/relationships/hyperlink" Target="https://drive.google.com/file/d/1rZw9-a1mgvgBAwPEc24qBwWh0ANNz3lN/view?usp=sharing" TargetMode="External"/><Relationship Id="rId574" Type="http://schemas.openxmlformats.org/officeDocument/2006/relationships/hyperlink" Target="https://drive.google.com/file/d/1t59_-rylXEqnEX1yKiXXyg5pkcXLJGu8/view?usp=sharing" TargetMode="External"/><Relationship Id="rId1167" Type="http://schemas.openxmlformats.org/officeDocument/2006/relationships/vmlDrawing" Target="../drawings/vmlDrawing1.vml"/><Relationship Id="rId331" Type="http://schemas.openxmlformats.org/officeDocument/2006/relationships/hyperlink" Target="https://drive.google.com/file/d/1CTN7ubib7PFeU93srrcktTW_Gzyuxvt-/view?usp=sharing" TargetMode="External"/><Relationship Id="rId573" Type="http://schemas.openxmlformats.org/officeDocument/2006/relationships/hyperlink" Target="https://drive.google.com/file/d/1jvjermJQQI0dnIFmQRR71eZTMbg-OAa-/view?usp=sharing" TargetMode="External"/><Relationship Id="rId370" Type="http://schemas.openxmlformats.org/officeDocument/2006/relationships/hyperlink" Target="https://drive.google.com/file/d/1iYQ__-S2UGgM3hPrjXWuwlHVk7--FiNz/view?usp=sharing" TargetMode="External"/><Relationship Id="rId129" Type="http://schemas.openxmlformats.org/officeDocument/2006/relationships/hyperlink" Target="https://drive.google.com/file/d/1mJRAw8Mb4zWgs9knBNpAIeutG_v2I4DJ/view?usp=sharing" TargetMode="External"/><Relationship Id="rId128" Type="http://schemas.openxmlformats.org/officeDocument/2006/relationships/hyperlink" Target="https://drive.google.com/file/d/1Shi9qWUVUCCaelb-SNBvDOdRLum78tf7/view?usp=sharing" TargetMode="External"/><Relationship Id="rId127" Type="http://schemas.openxmlformats.org/officeDocument/2006/relationships/hyperlink" Target="https://drive.google.com/file/d/1px-72wi88CzAl5ICRqO2l-Wb2fubAyDh/view?usp=sharing" TargetMode="External"/><Relationship Id="rId369" Type="http://schemas.openxmlformats.org/officeDocument/2006/relationships/hyperlink" Target="https://drive.google.com/file/d/1rY_SyEMFP5IgFcoTgasR0wPfl0lfKU_o/view?usp=sharing" TargetMode="External"/><Relationship Id="rId126" Type="http://schemas.openxmlformats.org/officeDocument/2006/relationships/hyperlink" Target="https://drive.google.com/file/d/1r_Igy2FfDQUMwrAFqZDyIa8r2YI6AqzX/view?usp=sharing" TargetMode="External"/><Relationship Id="rId368" Type="http://schemas.openxmlformats.org/officeDocument/2006/relationships/hyperlink" Target="https://drive.google.com/file/d/1kOjw8C7lBuiVEE_XvWs-YaIGZv0BrjPt/view?usp=sharing" TargetMode="External"/><Relationship Id="rId121" Type="http://schemas.openxmlformats.org/officeDocument/2006/relationships/hyperlink" Target="https://drive.google.com/file/d/125MJK5d2S4g0Yw0nujqlnRGcWuh4EouE/view?usp=sharing" TargetMode="External"/><Relationship Id="rId363" Type="http://schemas.openxmlformats.org/officeDocument/2006/relationships/hyperlink" Target="https://drive.google.com/file/d/1Gmd0Ee8wW7-PQwq_mBCWXgSDGw16FVu-/view?usp=sharing" TargetMode="External"/><Relationship Id="rId120" Type="http://schemas.openxmlformats.org/officeDocument/2006/relationships/hyperlink" Target="https://drive.google.com/file/d/1eBp9zfDcnwrpVIWLo-LRtQuFYRjC5vIP/view?usp=sharing" TargetMode="External"/><Relationship Id="rId362" Type="http://schemas.openxmlformats.org/officeDocument/2006/relationships/hyperlink" Target="https://drive.google.com/file/d/1wsR5WqQ1B2ECg3vktbRsaR0rUixfbwMs/view?usp=sharing" TargetMode="External"/><Relationship Id="rId361" Type="http://schemas.openxmlformats.org/officeDocument/2006/relationships/hyperlink" Target="https://drive.google.com/file/d/1zGITIQfSkJQzeelsKCfCVx1Bc500id5j/view?usp=drive_link" TargetMode="External"/><Relationship Id="rId360" Type="http://schemas.openxmlformats.org/officeDocument/2006/relationships/hyperlink" Target="https://drive.google.com/file/d/16NY8MWK4U87DWUcBs2SjEUn5mCOZzo7s/view?usp=sharing" TargetMode="External"/><Relationship Id="rId125" Type="http://schemas.openxmlformats.org/officeDocument/2006/relationships/hyperlink" Target="https://drive.google.com/file/d/1rFHLXSEqPekBZCOWXtXZCed38mvk0LDl/view?usp=sharing" TargetMode="External"/><Relationship Id="rId367" Type="http://schemas.openxmlformats.org/officeDocument/2006/relationships/hyperlink" Target="https://drive.google.com/file/d/1N5rs1j-ztOkKnZ5qpr5tHri-y_S-se68/view?usp=sharing" TargetMode="External"/><Relationship Id="rId124" Type="http://schemas.openxmlformats.org/officeDocument/2006/relationships/hyperlink" Target="https://drive.google.com/file/d/1aKZZJbC3QD0gfb1_Jwnk7DFYusadg4jv/view?usp=sharing" TargetMode="External"/><Relationship Id="rId366" Type="http://schemas.openxmlformats.org/officeDocument/2006/relationships/hyperlink" Target="https://drive.google.com/file/d/1w_SYj68bB8pVw9Q3J6XgZnCpQxPxTtus/view?usp=sharing" TargetMode="External"/><Relationship Id="rId123" Type="http://schemas.openxmlformats.org/officeDocument/2006/relationships/hyperlink" Target="https://drive.google.com/file/d/1jZibcWhl9uBZ0rf2YWTzm-Fj476pkRlh/view?usp=sharing" TargetMode="External"/><Relationship Id="rId365" Type="http://schemas.openxmlformats.org/officeDocument/2006/relationships/hyperlink" Target="https://drive.google.com/file/d/1oDUlWiMTTQdRAQowQ47_VF2YRRgJZ6Ke/view?usp=sharing" TargetMode="External"/><Relationship Id="rId122" Type="http://schemas.openxmlformats.org/officeDocument/2006/relationships/hyperlink" Target="https://drive.google.com/file/d/1O1WiNv7Q7hCvBjr6GU3PbAQd0F3Kb2Hm/view?usp=sharing" TargetMode="External"/><Relationship Id="rId364" Type="http://schemas.openxmlformats.org/officeDocument/2006/relationships/hyperlink" Target="https://drive.google.com/file/d/1-Z3E0jgQt1fmNrsfJRy7gMjVFG8tVO5n/view?usp=sharing" TargetMode="External"/><Relationship Id="rId95" Type="http://schemas.openxmlformats.org/officeDocument/2006/relationships/hyperlink" Target="https://drive.google.com/file/d/1KkY3OO7nbQAVAHZsdZ8vD-H9cw66QUF9/view?usp=sharing" TargetMode="External"/><Relationship Id="rId94" Type="http://schemas.openxmlformats.org/officeDocument/2006/relationships/hyperlink" Target="https://drive.google.com/file/d/1tGd3C7LnjMZkKSdP209e1hKj9NESkn28/view?usp=sharing" TargetMode="External"/><Relationship Id="rId97" Type="http://schemas.openxmlformats.org/officeDocument/2006/relationships/hyperlink" Target="https://drive.google.com/file/d/1t50wg5jGNHaZyaWcck1MkhbTED0L9G8U/view?usp=sharing" TargetMode="External"/><Relationship Id="rId96" Type="http://schemas.openxmlformats.org/officeDocument/2006/relationships/hyperlink" Target="https://drive.google.com/file/d/1kDVRD_iboBOkt8MCbzJEpwzFyW2j-OUV/view?usp=sharing" TargetMode="External"/><Relationship Id="rId99" Type="http://schemas.openxmlformats.org/officeDocument/2006/relationships/hyperlink" Target="https://drive.google.com/file/d/13rkOUpktKPRVJq7pxTLeM8zVTWz-MgwT/view?usp=sharing" TargetMode="External"/><Relationship Id="rId98" Type="http://schemas.openxmlformats.org/officeDocument/2006/relationships/hyperlink" Target="https://drive.google.com/file/d/1BvnOSg4j6q_NdEHYURHv42WIQWp4hHY9/view?usp=sharing" TargetMode="External"/><Relationship Id="rId91" Type="http://schemas.openxmlformats.org/officeDocument/2006/relationships/hyperlink" Target="https://drive.google.com/file/d/1z5D9A__Sf-fGIbDPwwX4oCzQTDKVyMmJ/view?usp=sharing" TargetMode="External"/><Relationship Id="rId90" Type="http://schemas.openxmlformats.org/officeDocument/2006/relationships/hyperlink" Target="https://drive.google.com/file/d/1zA-dro63BCRK_QTEXBfi9UnGGsk_cF0T/view?usp=sharing" TargetMode="External"/><Relationship Id="rId93" Type="http://schemas.openxmlformats.org/officeDocument/2006/relationships/hyperlink" Target="https://drive.google.com/file/d/1-_UGdN52VLL6MSrChza85mtIMxslKlN5/view?usp=sharing" TargetMode="External"/><Relationship Id="rId92" Type="http://schemas.openxmlformats.org/officeDocument/2006/relationships/hyperlink" Target="https://drive.google.com/file/d/1dcpP4zyZrGfGTUfz_Y9kqQksjenX3xVw/view?usp=sharing" TargetMode="External"/><Relationship Id="rId118" Type="http://schemas.openxmlformats.org/officeDocument/2006/relationships/hyperlink" Target="https://drive.google.com/file/d/1IKwF_fIWyafBiBTcadKipfUFvLkk72WQ/view?usp=sharing" TargetMode="External"/><Relationship Id="rId117" Type="http://schemas.openxmlformats.org/officeDocument/2006/relationships/hyperlink" Target="https://drive.google.com/file/d/1rPbom6QVF35ZQd6EUszXwfdm0t_q8esT/view?usp=sharing" TargetMode="External"/><Relationship Id="rId359" Type="http://schemas.openxmlformats.org/officeDocument/2006/relationships/hyperlink" Target="https://drive.google.com/file/d/1MwQ_L7SA7KmyCm3-iQHDBBblYw1GLzrL/view?usp=sharing" TargetMode="External"/><Relationship Id="rId116" Type="http://schemas.openxmlformats.org/officeDocument/2006/relationships/hyperlink" Target="https://drive.google.com/file/d/1Cx73cviRU2NcNuceIx-RPCv9X-V6brsI/view?usp=sharing" TargetMode="External"/><Relationship Id="rId358" Type="http://schemas.openxmlformats.org/officeDocument/2006/relationships/hyperlink" Target="https://drive.google.com/file/d/13_92Ah4ckcNmmMrvTswkFgPgmnoXDDEw/view?usp=sharing" TargetMode="External"/><Relationship Id="rId115" Type="http://schemas.openxmlformats.org/officeDocument/2006/relationships/hyperlink" Target="https://drive.google.com/file/d/1fyzUo2eEOsapvzn9r08UXDVjHwE6QW3h/view?usp=sharing" TargetMode="External"/><Relationship Id="rId357" Type="http://schemas.openxmlformats.org/officeDocument/2006/relationships/hyperlink" Target="https://drive.google.com/file/d/1KCNDMwzwOh7E2RrmaNWMBaZv8-zjailS/view?usp=sharing" TargetMode="External"/><Relationship Id="rId599" Type="http://schemas.openxmlformats.org/officeDocument/2006/relationships/hyperlink" Target="https://drive.google.com/file/d/1mw780B97U0zbVFp-DozZqDU9FdnNFBSF/view?usp=sharing" TargetMode="External"/><Relationship Id="rId119" Type="http://schemas.openxmlformats.org/officeDocument/2006/relationships/hyperlink" Target="https://drive.google.com/file/d/1R_qGH0RSVFp1F0BSfdTtuGWi2RC6J_ZW/view?usp=sharing" TargetMode="External"/><Relationship Id="rId110" Type="http://schemas.openxmlformats.org/officeDocument/2006/relationships/hyperlink" Target="https://drive.google.com/file/d/1vWcCx9VxLyBPvYEY69g2B1nvsmKySRP8/view?usp=sharing" TargetMode="External"/><Relationship Id="rId352" Type="http://schemas.openxmlformats.org/officeDocument/2006/relationships/hyperlink" Target="https://drive.google.com/file/d/1DeSjyT-D2d5yHfzQblVKE89rEFr-jz7n/view?usp=sharing" TargetMode="External"/><Relationship Id="rId594" Type="http://schemas.openxmlformats.org/officeDocument/2006/relationships/hyperlink" Target="https://drive.google.com/file/d/1CQuN96IF5wpc8eSYyHQF17kruOVtROYS/view?usp=sharing" TargetMode="External"/><Relationship Id="rId351" Type="http://schemas.openxmlformats.org/officeDocument/2006/relationships/hyperlink" Target="https://drive.google.com/file/d/1hy8_LpFDw3VPxcqNWmumozWUe0CoADG1/view?usp=sharing" TargetMode="External"/><Relationship Id="rId593" Type="http://schemas.openxmlformats.org/officeDocument/2006/relationships/hyperlink" Target="https://drive.google.com/file/d/1tqxUpyu9SDdFNeJofXwXvr4eNTXiDTv1/view?usp=sharing" TargetMode="External"/><Relationship Id="rId350" Type="http://schemas.openxmlformats.org/officeDocument/2006/relationships/hyperlink" Target="https://drive.google.com/file/d/1jJrh4X6rYnCKHyZE-9_J558kgupnIx_b/view?usp=sharing" TargetMode="External"/><Relationship Id="rId592" Type="http://schemas.openxmlformats.org/officeDocument/2006/relationships/hyperlink" Target="https://drive.google.com/file/d/1C3xdBZ2I5L4caaDXPskAuXQZInv14Cnt/view?usp=sharing" TargetMode="External"/><Relationship Id="rId591" Type="http://schemas.openxmlformats.org/officeDocument/2006/relationships/hyperlink" Target="https://drive.google.com/file/d/16LAxjEpqRYkJByIMdHhkHl39Je2t46kS/view?usp=sharing" TargetMode="External"/><Relationship Id="rId114" Type="http://schemas.openxmlformats.org/officeDocument/2006/relationships/hyperlink" Target="https://drive.google.com/file/d/1mhaAsTxlNnbZTt8lWjdQuPiW6sWhG7uX/view?usp=sharing" TargetMode="External"/><Relationship Id="rId356" Type="http://schemas.openxmlformats.org/officeDocument/2006/relationships/hyperlink" Target="https://drive.google.com/file/d/1F8h3TeAUi0o_Mu3fkriH05-c1qj7zQQc/view?usp=sharing" TargetMode="External"/><Relationship Id="rId598" Type="http://schemas.openxmlformats.org/officeDocument/2006/relationships/hyperlink" Target="https://drive.google.com/file/d/1eVDu5wjtX8PgpcAFGHEGXfVO7OJRIzf2/view?usp=sharing" TargetMode="External"/><Relationship Id="rId113" Type="http://schemas.openxmlformats.org/officeDocument/2006/relationships/hyperlink" Target="https://drive.google.com/file/d/1Qy4anVwO-o0GQwn61Rb-ajG6gO02xhSx/view?usp=sharing" TargetMode="External"/><Relationship Id="rId355" Type="http://schemas.openxmlformats.org/officeDocument/2006/relationships/hyperlink" Target="https://drive.google.com/file/d/1i53VjOlSbA9bPQekOUNP1dpG3f5xisKk/view?usp=sharing" TargetMode="External"/><Relationship Id="rId597" Type="http://schemas.openxmlformats.org/officeDocument/2006/relationships/hyperlink" Target="https://drive.google.com/file/d/1Njwl4uu8Muenokrx9DetDzzsYx7VNj8U/view?usp=sharing" TargetMode="External"/><Relationship Id="rId112" Type="http://schemas.openxmlformats.org/officeDocument/2006/relationships/hyperlink" Target="https://drive.google.com/file/d/1aQzVWV9IC1gZu4C_5YR-lynOb2NcBzWu/view?usp=sharing" TargetMode="External"/><Relationship Id="rId354" Type="http://schemas.openxmlformats.org/officeDocument/2006/relationships/hyperlink" Target="https://drive.google.com/file/d/19JXhzvKbgZwWlCcgKY9YqrBo26pjcrYy/view?usp=sharing" TargetMode="External"/><Relationship Id="rId596" Type="http://schemas.openxmlformats.org/officeDocument/2006/relationships/hyperlink" Target="https://drive.google.com/file/d/1EMF2uHgWZ7QKav37n_k-Tpqi1YF5ozd1/view?usp=sharing" TargetMode="External"/><Relationship Id="rId111" Type="http://schemas.openxmlformats.org/officeDocument/2006/relationships/hyperlink" Target="https://drive.google.com/file/d/1Tmw7IXP5o6pjqsTOs1s4IJzaHf_ouESo/view?usp=sharing" TargetMode="External"/><Relationship Id="rId353" Type="http://schemas.openxmlformats.org/officeDocument/2006/relationships/hyperlink" Target="https://drive.google.com/file/d/1W_McMMIfzxjfOJJueRXZUvDZvQAoUkqY/view?usp=sharing" TargetMode="External"/><Relationship Id="rId595" Type="http://schemas.openxmlformats.org/officeDocument/2006/relationships/hyperlink" Target="https://drive.google.com/file/d/1s9rSbnrhTDmSvvq1HjlJNYBkIHtSPLPu/view?usp=drive_link" TargetMode="External"/><Relationship Id="rId1136" Type="http://schemas.openxmlformats.org/officeDocument/2006/relationships/hyperlink" Target="https://drive.google.com/file/d/1OX3Hl7WzQe7Hjqb6j5kHZxJ2bnSYTO2u/view?usp=sharing" TargetMode="External"/><Relationship Id="rId1137" Type="http://schemas.openxmlformats.org/officeDocument/2006/relationships/hyperlink" Target="https://drive.google.com/file/d/1EKXkT14yhcyzLlYpaGwJ_znKLvJhKz46/view?usp=sharing" TargetMode="External"/><Relationship Id="rId1138" Type="http://schemas.openxmlformats.org/officeDocument/2006/relationships/hyperlink" Target="https://drive.google.com/file/d/1zNP0hExaxr6jg2sMU4GMQ6RuSP5ETUaV/view?usp=sharing" TargetMode="External"/><Relationship Id="rId1139" Type="http://schemas.openxmlformats.org/officeDocument/2006/relationships/hyperlink" Target="https://drive.google.com/file/d/18mLZlUYP9ROqqFIAKE4tDMUVfHS0q_ZE/view?usp=sharing" TargetMode="External"/><Relationship Id="rId305" Type="http://schemas.openxmlformats.org/officeDocument/2006/relationships/hyperlink" Target="https://drive.google.com/file/d/1UnuuhDEDMsYD31qBKMiRfZZgjsB9Mv28/view?usp=sharing" TargetMode="External"/><Relationship Id="rId547" Type="http://schemas.openxmlformats.org/officeDocument/2006/relationships/hyperlink" Target="https://drive.google.com/file/d/1tMRvMjhEJgmptMCcLkR5kFSdu06UQgEH/view?usp=sharing" TargetMode="External"/><Relationship Id="rId789" Type="http://schemas.openxmlformats.org/officeDocument/2006/relationships/hyperlink" Target="https://drive.google.com/file/d/1rSjSmHowNQImvuMNhReLtvVOjbO7zGnY/view?usp=drive_link" TargetMode="External"/><Relationship Id="rId304" Type="http://schemas.openxmlformats.org/officeDocument/2006/relationships/hyperlink" Target="https://drive.google.com/file/d/11gcLnSBmwGMCJMhMhUceWHCfcKKVE7gH/view?usp=sharing" TargetMode="External"/><Relationship Id="rId546" Type="http://schemas.openxmlformats.org/officeDocument/2006/relationships/hyperlink" Target="https://drive.google.com/file/d/1GdbEuNWpI9iC9teOtX-gW3zngsAZI-Ys/view?usp=sharing" TargetMode="External"/><Relationship Id="rId788" Type="http://schemas.openxmlformats.org/officeDocument/2006/relationships/hyperlink" Target="https://drive.google.com/file/d/1P6YvIxU2rOFNzExANu-oe8ZBAdsm0Ibn/view?usp=sharing" TargetMode="External"/><Relationship Id="rId303" Type="http://schemas.openxmlformats.org/officeDocument/2006/relationships/hyperlink" Target="https://drive.google.com/file/d/1ta_WfOxWNw9ithwc_55cdR1CE4ey0tc2/view?usp=sharing" TargetMode="External"/><Relationship Id="rId545" Type="http://schemas.openxmlformats.org/officeDocument/2006/relationships/hyperlink" Target="https://drive.google.com/file/d/1o7RJ_e9uR7flY2wV0_BPs8ReuN25crVN/view?usp=sharing" TargetMode="External"/><Relationship Id="rId787" Type="http://schemas.openxmlformats.org/officeDocument/2006/relationships/hyperlink" Target="https://drive.google.com/file/d/14AgSqSfdyrat3_4adnFzkgmRlva18cpw/view?usp=sharing" TargetMode="External"/><Relationship Id="rId302" Type="http://schemas.openxmlformats.org/officeDocument/2006/relationships/hyperlink" Target="https://drive.google.com/file/d/1VubqSyVZUa9L54EQKOnSK_b-SQkfqL7c/view?usp=sharing" TargetMode="External"/><Relationship Id="rId544" Type="http://schemas.openxmlformats.org/officeDocument/2006/relationships/hyperlink" Target="https://drive.google.com/file/d/1iEMpAhEJZpREVbQQJue1-05M4Szv8myt/view?usp=sharing" TargetMode="External"/><Relationship Id="rId786" Type="http://schemas.openxmlformats.org/officeDocument/2006/relationships/hyperlink" Target="https://drive.google.com/file/d/1IhByRmSnYHQO6mWefU9XuAL0GpmsWmMs/view?usp=sharing" TargetMode="External"/><Relationship Id="rId309" Type="http://schemas.openxmlformats.org/officeDocument/2006/relationships/hyperlink" Target="https://drive.google.com/file/d/1-gfd_Es0lXX8Rw2BEsN1X7HTZVMIQNix/view?usp=sharing" TargetMode="External"/><Relationship Id="rId308" Type="http://schemas.openxmlformats.org/officeDocument/2006/relationships/hyperlink" Target="https://drive.google.com/file/d/11JUtafmu4jrSWxI1cEDOL1KjHAKXjWTo/view?usp=sharing" TargetMode="External"/><Relationship Id="rId307" Type="http://schemas.openxmlformats.org/officeDocument/2006/relationships/hyperlink" Target="https://drive.google.com/file/d/14FhthJX5dxQAa_1C7_ai-L70VK3Pq1-Q/view?usp=sharing" TargetMode="External"/><Relationship Id="rId549" Type="http://schemas.openxmlformats.org/officeDocument/2006/relationships/hyperlink" Target="https://drive.google.com/file/d/1rnWZiNq49kN4RKOoYaPGj9-n9m3f3O0G/view?usp=sharing" TargetMode="External"/><Relationship Id="rId306" Type="http://schemas.openxmlformats.org/officeDocument/2006/relationships/hyperlink" Target="https://drive.google.com/file/d/17yjccIdFX_sOSKMmLp-W8FpPdeAEhuZO/view?usp=sharing" TargetMode="External"/><Relationship Id="rId548" Type="http://schemas.openxmlformats.org/officeDocument/2006/relationships/hyperlink" Target="https://drive.google.com/file/d/1XhjyIhQWrYzYoaPQt1nA-2Bh3l_gaKkd/view?usp=sharing" TargetMode="External"/><Relationship Id="rId781" Type="http://schemas.openxmlformats.org/officeDocument/2006/relationships/hyperlink" Target="https://drive.google.com/file/d/1ZU8dSUuyAUaw9IJRvOwbwk5ulQ8HogcM/view?usp=sharing" TargetMode="External"/><Relationship Id="rId780" Type="http://schemas.openxmlformats.org/officeDocument/2006/relationships/hyperlink" Target="https://drive.google.com/file/d/1eg_Yg32pwlkr8qcupHi5bMKqoIPT_rvB/view?usp=sharing" TargetMode="External"/><Relationship Id="rId1130" Type="http://schemas.openxmlformats.org/officeDocument/2006/relationships/hyperlink" Target="https://drive.google.com/file/d/1RjwF2JNwMEYhNVxKrJVqW7Kq7FBt75mF/view?usp=sharing" TargetMode="External"/><Relationship Id="rId1131" Type="http://schemas.openxmlformats.org/officeDocument/2006/relationships/hyperlink" Target="https://drive.google.com/file/d/1nBMSDrpJAr0XuTxMdkQLCbc33KkCZAGC/view?usp=sharing" TargetMode="External"/><Relationship Id="rId301" Type="http://schemas.openxmlformats.org/officeDocument/2006/relationships/hyperlink" Target="https://drive.google.com/file/d/1fEDcdn1DquOZ9a1lzrp3G1Qovu4G94e8/view?usp=sharing" TargetMode="External"/><Relationship Id="rId543" Type="http://schemas.openxmlformats.org/officeDocument/2006/relationships/hyperlink" Target="https://drive.google.com/file/d/1BlSGQezqYpHeZfxp9jJ0qoHLKxuVBvwZ/view?usp=sharing" TargetMode="External"/><Relationship Id="rId785" Type="http://schemas.openxmlformats.org/officeDocument/2006/relationships/hyperlink" Target="https://drive.google.com/file/d/1Q-MEdtoAudf5B279XHP87moLSnk7zd44/view?usp=sharing" TargetMode="External"/><Relationship Id="rId1132" Type="http://schemas.openxmlformats.org/officeDocument/2006/relationships/hyperlink" Target="https://drive.google.com/file/d/1cTmMxSpvgOVY9ZGqF51x4ZbTfcKTs8Kc/view?usp=sharing" TargetMode="External"/><Relationship Id="rId300" Type="http://schemas.openxmlformats.org/officeDocument/2006/relationships/hyperlink" Target="https://drive.google.com/file/d/1NX4AdoL7fhjOR_9JkqyVVjegDzJIHnFW/view?usp=sharing" TargetMode="External"/><Relationship Id="rId542" Type="http://schemas.openxmlformats.org/officeDocument/2006/relationships/hyperlink" Target="https://drive.google.com/file/d/17YHHRergh6AYGmMm8H1BY3GZEeNlPhHe/view?usp=sharing" TargetMode="External"/><Relationship Id="rId784" Type="http://schemas.openxmlformats.org/officeDocument/2006/relationships/hyperlink" Target="https://drive.google.com/file/d/1wKXghc6dza4ci5g9Qi4zkOYhe-eeO3GI/view?usp=sharing" TargetMode="External"/><Relationship Id="rId1133" Type="http://schemas.openxmlformats.org/officeDocument/2006/relationships/hyperlink" Target="https://drive.google.com/file/d/1B59UNR8bdT9jh5y3q3ta2bE7ZJCAwo2X/view?usp=sharing" TargetMode="External"/><Relationship Id="rId541" Type="http://schemas.openxmlformats.org/officeDocument/2006/relationships/hyperlink" Target="https://drive.google.com/file/d/1uJX1deD6w7wSlUyj-nnwcIIfuTcsGcly/view?usp=sharing" TargetMode="External"/><Relationship Id="rId783" Type="http://schemas.openxmlformats.org/officeDocument/2006/relationships/hyperlink" Target="https://drive.google.com/file/d/1o_zXAI8AG3zcpwEusjxwMoguAzEvvdvX/view?usp=sharing" TargetMode="External"/><Relationship Id="rId1134" Type="http://schemas.openxmlformats.org/officeDocument/2006/relationships/hyperlink" Target="https://drive.google.com/file/d/1jfzI1sZWBvVCnhmZsoPaVreNgdy4Zv5w/view?usp=sharing" TargetMode="External"/><Relationship Id="rId540" Type="http://schemas.openxmlformats.org/officeDocument/2006/relationships/hyperlink" Target="https://drive.google.com/file/d/1Hp-rEHP-64N1wxZ0sUQMFPYQjKJih4h0/view?usp=sharing" TargetMode="External"/><Relationship Id="rId782" Type="http://schemas.openxmlformats.org/officeDocument/2006/relationships/hyperlink" Target="https://drive.google.com/file/d/14XzoWK9C69eKujklvQP161QaTG6SABGY/view?usp=sharing" TargetMode="External"/><Relationship Id="rId1135" Type="http://schemas.openxmlformats.org/officeDocument/2006/relationships/hyperlink" Target="https://drive.google.com/file/d/1tjngDFkCZPwGJFF8EU31XgGeT2PXSkq3/view?usp=sharing" TargetMode="External"/><Relationship Id="rId1125" Type="http://schemas.openxmlformats.org/officeDocument/2006/relationships/hyperlink" Target="https://drive.google.com/file/d/1w1PUN42g-qm3yfkl6XFFJGRtDfA_MPu8/view?usp=sharing" TargetMode="External"/><Relationship Id="rId1126" Type="http://schemas.openxmlformats.org/officeDocument/2006/relationships/hyperlink" Target="https://drive.google.com/file/d/1mF5gR5ohcbEi6NcZkkocOaYMqOjgMe9q/view?usp=sharing" TargetMode="External"/><Relationship Id="rId1127" Type="http://schemas.openxmlformats.org/officeDocument/2006/relationships/hyperlink" Target="https://drive.google.com/file/d/1uqku-3IjfgpwBmA_rNDiEh2IPS_lBost/view?usp=sharing" TargetMode="External"/><Relationship Id="rId1128" Type="http://schemas.openxmlformats.org/officeDocument/2006/relationships/hyperlink" Target="https://drive.google.com/file/d/1GVrQZbzopbDywVIUOE26_Ddrj3I2LfA5/view?usp=sharing" TargetMode="External"/><Relationship Id="rId1129" Type="http://schemas.openxmlformats.org/officeDocument/2006/relationships/hyperlink" Target="https://drive.google.com/file/d/1hGblEgr-8ndQvRTbzZv5xoJ-JQJXJB8V/view?usp=sharing" TargetMode="External"/><Relationship Id="rId536" Type="http://schemas.openxmlformats.org/officeDocument/2006/relationships/hyperlink" Target="https://drive.google.com/file/d/15fr9UgpsQijEV4L09Md6QdaI1hx0q2Df/view?usp=sharing" TargetMode="External"/><Relationship Id="rId778" Type="http://schemas.openxmlformats.org/officeDocument/2006/relationships/hyperlink" Target="https://drive.google.com/file/d/1MdboK5Nm1OqCRgQysTzNIZr-rIb3vmM8/view?usp=drive_link" TargetMode="External"/><Relationship Id="rId535" Type="http://schemas.openxmlformats.org/officeDocument/2006/relationships/hyperlink" Target="https://drive.google.com/file/d/19ELcnCPm4eQkKxeyQFunijc4sFlYYgl6/view?usp=sharing" TargetMode="External"/><Relationship Id="rId777" Type="http://schemas.openxmlformats.org/officeDocument/2006/relationships/hyperlink" Target="https://drive.google.com/file/d/1QcqdmPhQ1-1gl1wh0h7jTKEDLdnm1qlA/view?usp=sharing" TargetMode="External"/><Relationship Id="rId534" Type="http://schemas.openxmlformats.org/officeDocument/2006/relationships/hyperlink" Target="https://drive.google.com/file/d/116ubhMKDFNwT1DXM9EHA-ALfWuWEvVL-/view?usp=sharing" TargetMode="External"/><Relationship Id="rId776" Type="http://schemas.openxmlformats.org/officeDocument/2006/relationships/hyperlink" Target="https://drive.google.com/file/d/1xJmFYgXJA-tZ8QyEnEK_xe3VrzAgzC8C/view?usp=sharing" TargetMode="External"/><Relationship Id="rId533" Type="http://schemas.openxmlformats.org/officeDocument/2006/relationships/hyperlink" Target="https://drive.google.com/file/d/1tWgchus8RKIq5oZk7kH5nSLz1wFOd06i/view?usp=sharing" TargetMode="External"/><Relationship Id="rId775" Type="http://schemas.openxmlformats.org/officeDocument/2006/relationships/hyperlink" Target="https://drive.google.com/file/d/1rHH3tFaTZg2CHT_v5LQKl-dSeBXt4jvb/view?usp=sharing" TargetMode="External"/><Relationship Id="rId539" Type="http://schemas.openxmlformats.org/officeDocument/2006/relationships/hyperlink" Target="https://drive.google.com/file/d/1uw9R1CBIQiPS4C--7u_h3D4ydbB1xL-n/view?usp=sharing" TargetMode="External"/><Relationship Id="rId538" Type="http://schemas.openxmlformats.org/officeDocument/2006/relationships/hyperlink" Target="https://drive.google.com/file/d/1Jm2S-JjvDlr5r8hBRWFUOdCi2Q3CJBUo/view?usp=sharing" TargetMode="External"/><Relationship Id="rId537" Type="http://schemas.openxmlformats.org/officeDocument/2006/relationships/hyperlink" Target="https://drive.google.com/file/d/12ixWQLXD7R8RFGAQQc5fSiUjND6JyX2o/view?usp=sharing" TargetMode="External"/><Relationship Id="rId779" Type="http://schemas.openxmlformats.org/officeDocument/2006/relationships/hyperlink" Target="https://drive.google.com/file/d/1mzPXybIfGk9eVZzQw4Lp24ZteptZIXpn/view?usp=sharing" TargetMode="External"/><Relationship Id="rId770" Type="http://schemas.openxmlformats.org/officeDocument/2006/relationships/hyperlink" Target="https://drive.google.com/file/d/1BH-DbvhNPltheBQq6XEOhYJTFyUozvFM/view?usp=sharing" TargetMode="External"/><Relationship Id="rId1120" Type="http://schemas.openxmlformats.org/officeDocument/2006/relationships/hyperlink" Target="https://drive.google.com/file/d/1gPfd-Q_z9fALaRIhEWqAVIsfsWeez76s/view?usp=sharing" TargetMode="External"/><Relationship Id="rId532" Type="http://schemas.openxmlformats.org/officeDocument/2006/relationships/hyperlink" Target="https://drive.google.com/file/d/1BOtuLvRmXcfqqEvXaJtiXrpAIOPpHJVG/view?usp=sharing" TargetMode="External"/><Relationship Id="rId774" Type="http://schemas.openxmlformats.org/officeDocument/2006/relationships/hyperlink" Target="https://drive.google.com/file/d/1XQwAZ3Dd8DLwCF_hSx3T-jU5G926_qdU/view?usp=sharing" TargetMode="External"/><Relationship Id="rId1121" Type="http://schemas.openxmlformats.org/officeDocument/2006/relationships/hyperlink" Target="https://drive.google.com/file/d/1596zvl2CSDvB0YdE3ggRizkthMDJfKPc/view?usp=sharing" TargetMode="External"/><Relationship Id="rId531" Type="http://schemas.openxmlformats.org/officeDocument/2006/relationships/hyperlink" Target="https://drive.google.com/file/d/1QjLevzJELhQEokVsjRXJZnwiIHNP_QRS/view?usp=sharing" TargetMode="External"/><Relationship Id="rId773" Type="http://schemas.openxmlformats.org/officeDocument/2006/relationships/hyperlink" Target="https://drive.google.com/file/d/1ldmNw_CtcXhRZHLY0M8X_AdHLxhkroYu/view?usp=sharing" TargetMode="External"/><Relationship Id="rId1122" Type="http://schemas.openxmlformats.org/officeDocument/2006/relationships/hyperlink" Target="https://drive.google.com/file/d/1wNL1-wmJDqVuuuH-wERgz0zOvh59xRy-/view?usp=sharing" TargetMode="External"/><Relationship Id="rId530" Type="http://schemas.openxmlformats.org/officeDocument/2006/relationships/hyperlink" Target="https://drive.google.com/file/d/1JY5PPRRdQdtrRKVX46yOcnGDO11d2YlA/view?usp=sharing" TargetMode="External"/><Relationship Id="rId772" Type="http://schemas.openxmlformats.org/officeDocument/2006/relationships/hyperlink" Target="https://drive.google.com/file/d/1htwOE2PZabQZ-M0bjJvUXwNh-3xrWDUV/view?usp=sharing" TargetMode="External"/><Relationship Id="rId1123" Type="http://schemas.openxmlformats.org/officeDocument/2006/relationships/hyperlink" Target="https://drive.google.com/file/d/1_8HzheCvDeDPAv0aFctATefxhPlkePlQ/view?usp=sharing" TargetMode="External"/><Relationship Id="rId771" Type="http://schemas.openxmlformats.org/officeDocument/2006/relationships/hyperlink" Target="https://drive.google.com/file/d/1cQFPQ9IjyV_j-01KfyrhA2KeKeGLIrvN/view?usp=drive_link" TargetMode="External"/><Relationship Id="rId1124" Type="http://schemas.openxmlformats.org/officeDocument/2006/relationships/hyperlink" Target="https://drive.google.com/file/d/1mCXpPdpO6Hh1kb79xRu6IIPySAbmOT42/view?usp=sharing" TargetMode="External"/><Relationship Id="rId1158" Type="http://schemas.openxmlformats.org/officeDocument/2006/relationships/hyperlink" Target="https://drive.google.com/file/d/1uHuXC4BJKfoIr4brgwQ-RUNcwOLfOTUK/view?usp=sharing" TargetMode="External"/><Relationship Id="rId1159" Type="http://schemas.openxmlformats.org/officeDocument/2006/relationships/hyperlink" Target="https://drive.google.com/file/d/1jm1VrLFEp7zrtgb_G0qTd9pKERWiqkrw/view?usp=sharing" TargetMode="External"/><Relationship Id="rId327" Type="http://schemas.openxmlformats.org/officeDocument/2006/relationships/hyperlink" Target="https://drive.google.com/file/d/1XPHoro2WdCRf2bD16SCEdcbOVOR98dby/view?usp=sharing" TargetMode="External"/><Relationship Id="rId569" Type="http://schemas.openxmlformats.org/officeDocument/2006/relationships/hyperlink" Target="https://drive.google.com/file/d/1t5FGhsMPKrzRfIhsqwLLWuri3amhtdLh/view?usp=sharing" TargetMode="External"/><Relationship Id="rId326" Type="http://schemas.openxmlformats.org/officeDocument/2006/relationships/hyperlink" Target="https://drive.google.com/file/d/1FT2RO_zpxy8PNwqfhWNPU8eGWizYT-WW/view?usp=sharing" TargetMode="External"/><Relationship Id="rId568" Type="http://schemas.openxmlformats.org/officeDocument/2006/relationships/hyperlink" Target="https://drive.google.com/file/d/1YRtISNvARWlkoIc3sI1sdhhgn_f5ujpj/view?usp=sharing" TargetMode="External"/><Relationship Id="rId325" Type="http://schemas.openxmlformats.org/officeDocument/2006/relationships/hyperlink" Target="https://drive.google.com/file/d/1yjaGHYt-9W_eliqpUiSc3JLJHOk1iqCG/view?usp=sharing" TargetMode="External"/><Relationship Id="rId567" Type="http://schemas.openxmlformats.org/officeDocument/2006/relationships/hyperlink" Target="https://drive.google.com/file/d/1dqP_FlYsT-5i2KaYkb1f_dvGEc436Kuu/view?usp=sharing" TargetMode="External"/><Relationship Id="rId324" Type="http://schemas.openxmlformats.org/officeDocument/2006/relationships/hyperlink" Target="https://drive.google.com/file/d/1rZtGTmmaIflc6Y-dh9-ltHqg2923u6YM/view?usp=sharing" TargetMode="External"/><Relationship Id="rId566" Type="http://schemas.openxmlformats.org/officeDocument/2006/relationships/hyperlink" Target="https://drive.google.com/file/d/1d7gskjTuohT6SaGuaG_O8jNwpqO_CD0K/view?usp=sharing" TargetMode="External"/><Relationship Id="rId329" Type="http://schemas.openxmlformats.org/officeDocument/2006/relationships/hyperlink" Target="https://drive.google.com/file/d/1qK_1rJ9s-HydH3wHNuzpHrLpLpIUlVqS/view?usp=sharing" TargetMode="External"/><Relationship Id="rId328" Type="http://schemas.openxmlformats.org/officeDocument/2006/relationships/hyperlink" Target="https://drive.google.com/file/d/165knehCMIg1BNQWMjwOWxA1RPoPzGnSe/view?usp=sharing" TargetMode="External"/><Relationship Id="rId561" Type="http://schemas.openxmlformats.org/officeDocument/2006/relationships/hyperlink" Target="https://drive.google.com/file/d/1OLJah0ruhqksQ237-GODwY8ugu3Fel4B/view?usp=sharing" TargetMode="External"/><Relationship Id="rId1150" Type="http://schemas.openxmlformats.org/officeDocument/2006/relationships/hyperlink" Target="https://drive.google.com/file/d/1OcRoSlz69_mu09lb3ginnpppUB12h1mf/view?usp=sharing" TargetMode="External"/><Relationship Id="rId560" Type="http://schemas.openxmlformats.org/officeDocument/2006/relationships/hyperlink" Target="https://drive.google.com/file/d/1hFR6K_zXaIA1TXLKsSHZ8MdRMHYnqJ-7/view?usp=sharing" TargetMode="External"/><Relationship Id="rId1151" Type="http://schemas.openxmlformats.org/officeDocument/2006/relationships/hyperlink" Target="https://drive.google.com/file/d/14W_68YXSUTDvgh8AxCgCCTLSXSD_qB8M/view?usp=sharing" TargetMode="External"/><Relationship Id="rId1152" Type="http://schemas.openxmlformats.org/officeDocument/2006/relationships/hyperlink" Target="https://drive.google.com/file/d/1TOuA5i6sVy3gmT0L7QC0-I0biVc5AIa8/view?usp=sharing" TargetMode="External"/><Relationship Id="rId1153" Type="http://schemas.openxmlformats.org/officeDocument/2006/relationships/hyperlink" Target="https://drive.google.com/file/d/1tRAXaZjrzD5Wy86uiPMGWNES1Q4-5XfL/view?usp=sharing" TargetMode="External"/><Relationship Id="rId323" Type="http://schemas.openxmlformats.org/officeDocument/2006/relationships/hyperlink" Target="https://drive.google.com/file/d/1ODZZDQg8MFZfkmoPH2mfTeSun2JcV5JP/view?usp=sharing" TargetMode="External"/><Relationship Id="rId565" Type="http://schemas.openxmlformats.org/officeDocument/2006/relationships/hyperlink" Target="https://drive.google.com/file/d/17mjFAlpU3VSXxj7d5VWrzjH3bVG4fX5k/view?usp=sharing" TargetMode="External"/><Relationship Id="rId1154" Type="http://schemas.openxmlformats.org/officeDocument/2006/relationships/hyperlink" Target="https://drive.google.com/file/d/1jqekXV_Y19iYOOnDvTvNqtd1IErKIH9S/view?usp=sharing" TargetMode="External"/><Relationship Id="rId322" Type="http://schemas.openxmlformats.org/officeDocument/2006/relationships/hyperlink" Target="https://drive.google.com/file/d/1mkou9gGP41MhrOSRCb1fLZY_x2QBpGW9/view?usp=sharing" TargetMode="External"/><Relationship Id="rId564" Type="http://schemas.openxmlformats.org/officeDocument/2006/relationships/hyperlink" Target="https://drive.google.com/file/d/1GsnACVEGBpinUT56s_vUJkylW9LZFO7c/view?usp=sharing" TargetMode="External"/><Relationship Id="rId1155" Type="http://schemas.openxmlformats.org/officeDocument/2006/relationships/hyperlink" Target="https://drive.google.com/file/d/19CK02lqDuebsDojzXLaR2UcOmveUkSs4/view?usp=sharing" TargetMode="External"/><Relationship Id="rId321" Type="http://schemas.openxmlformats.org/officeDocument/2006/relationships/hyperlink" Target="https://drive.google.com/file/d/1-pV0VShG6ckWXglqWuAGbw3DE599Y1-O/view?usp=sharing" TargetMode="External"/><Relationship Id="rId563" Type="http://schemas.openxmlformats.org/officeDocument/2006/relationships/hyperlink" Target="https://drive.google.com/file/d/1WMg9uR93n8ayi7NlJk6egkfns85Jf6gq/view?usp=sharing" TargetMode="External"/><Relationship Id="rId1156" Type="http://schemas.openxmlformats.org/officeDocument/2006/relationships/hyperlink" Target="https://drive.google.com/file/d/1XX5eCFspv1b6kcZ5g4NyLNNoL-KaEKlv/view?usp=sharing" TargetMode="External"/><Relationship Id="rId320" Type="http://schemas.openxmlformats.org/officeDocument/2006/relationships/hyperlink" Target="https://drive.google.com/file/d/1H33ux3T6ACMxJyw-XmTjy5PCyNcWHdys/view?usp=sharing" TargetMode="External"/><Relationship Id="rId562" Type="http://schemas.openxmlformats.org/officeDocument/2006/relationships/hyperlink" Target="https://drive.google.com/file/d/1FMWqXQ5MJt9bT6ExQhXD-bhQbXxKmbJP/view?usp=sharing" TargetMode="External"/><Relationship Id="rId1157" Type="http://schemas.openxmlformats.org/officeDocument/2006/relationships/hyperlink" Target="https://drive.google.com/file/d/1yAFlC-NJM0YZCf3JPowT6UTN-rEjB4Xd/view?usp=sharing" TargetMode="External"/><Relationship Id="rId1147" Type="http://schemas.openxmlformats.org/officeDocument/2006/relationships/hyperlink" Target="https://drive.google.com/file/d/1_YM_Ras7xw_B6KoyNILqtslBhZ6Heet9/view?usp=sharing" TargetMode="External"/><Relationship Id="rId1148" Type="http://schemas.openxmlformats.org/officeDocument/2006/relationships/hyperlink" Target="https://drive.google.com/file/d/1A7EA07_e2kZq8mFad26PKum8H25Qod1M/view?usp=sharing" TargetMode="External"/><Relationship Id="rId1149" Type="http://schemas.openxmlformats.org/officeDocument/2006/relationships/hyperlink" Target="https://drive.google.com/file/d/1RF_7PZHEJUGS2pxOJvt8XpzlrpO76GSv/view?usp=sharing" TargetMode="External"/><Relationship Id="rId316" Type="http://schemas.openxmlformats.org/officeDocument/2006/relationships/hyperlink" Target="https://drive.google.com/file/d/1qIyRcGICyrG4iSXjvcJpCGh8pFLY87OE/view?usp=sharing" TargetMode="External"/><Relationship Id="rId558" Type="http://schemas.openxmlformats.org/officeDocument/2006/relationships/hyperlink" Target="https://drive.google.com/file/d/1GXl5lmaHXlzOtRZ7BlPTDORCtWHciJaL/view?usp=sharing" TargetMode="External"/><Relationship Id="rId315" Type="http://schemas.openxmlformats.org/officeDocument/2006/relationships/hyperlink" Target="https://drive.google.com/file/d/10b_AMl7lZrX_4pbxOeFvgmZH5ghsjxd5/view?usp=sharing" TargetMode="External"/><Relationship Id="rId557" Type="http://schemas.openxmlformats.org/officeDocument/2006/relationships/hyperlink" Target="https://drive.google.com/file/d/12Bo4MIDBgwAe6fUe9X7iekgbB7vF_9Uc/view?usp=sharing" TargetMode="External"/><Relationship Id="rId799" Type="http://schemas.openxmlformats.org/officeDocument/2006/relationships/hyperlink" Target="https://drive.google.com/file/d/1VaonSDmJAQg1aZlsT6yKr9hvO7IjS6wB/view?usp=sharing" TargetMode="External"/><Relationship Id="rId314" Type="http://schemas.openxmlformats.org/officeDocument/2006/relationships/hyperlink" Target="https://drive.google.com/file/d/1IChSdjZgPGusaz3PpwAt-meENOcdDuxc/view?usp=sharing" TargetMode="External"/><Relationship Id="rId556" Type="http://schemas.openxmlformats.org/officeDocument/2006/relationships/hyperlink" Target="https://drive.google.com/file/d/1HvHKQk5bdR7wbZvKxVEk3NIzIpHUeT5f/view?usp=sharing" TargetMode="External"/><Relationship Id="rId798" Type="http://schemas.openxmlformats.org/officeDocument/2006/relationships/hyperlink" Target="https://drive.google.com/file/d/17XwBsgujIF1LFekeXMIjB6xDvV7dSG9J/view?usp=drive_link" TargetMode="External"/><Relationship Id="rId313" Type="http://schemas.openxmlformats.org/officeDocument/2006/relationships/hyperlink" Target="https://drive.google.com/file/d/14mab7lrIoo6nAhkpJS0Tc8bcqP3joWSv/view?usp=sharing" TargetMode="External"/><Relationship Id="rId555" Type="http://schemas.openxmlformats.org/officeDocument/2006/relationships/hyperlink" Target="https://drive.google.com/file/d/12PeynDF6T-5_3uxu81mKUcYpmyMgfBS4/view?usp=sharing" TargetMode="External"/><Relationship Id="rId797" Type="http://schemas.openxmlformats.org/officeDocument/2006/relationships/hyperlink" Target="https://drive.google.com/file/d/17EYBIZZG0CgGLcTywonsUUiZKaKOF_sm/view?usp=sharing" TargetMode="External"/><Relationship Id="rId319" Type="http://schemas.openxmlformats.org/officeDocument/2006/relationships/hyperlink" Target="https://drive.google.com/file/d/17uFBvlTMizH5ox8w9SBGrPmpPD_f9fsF/view?usp=sharing" TargetMode="External"/><Relationship Id="rId318" Type="http://schemas.openxmlformats.org/officeDocument/2006/relationships/hyperlink" Target="https://drive.google.com/file/d/17HtB7Uzmhd8Spgk-rLIkGqA1-YbnnjZ3/view?usp=sharing" TargetMode="External"/><Relationship Id="rId317" Type="http://schemas.openxmlformats.org/officeDocument/2006/relationships/hyperlink" Target="https://drive.google.com/file/d/1SDWTfLcZbsO1chV3ULJrroNfp1PvvySh/view?usp=drive_link" TargetMode="External"/><Relationship Id="rId559" Type="http://schemas.openxmlformats.org/officeDocument/2006/relationships/hyperlink" Target="https://drive.google.com/file/d/1F8uTZLM9qc-ARawxWAx99G9rFtCb58jU/view?usp=sharing" TargetMode="External"/><Relationship Id="rId550" Type="http://schemas.openxmlformats.org/officeDocument/2006/relationships/hyperlink" Target="https://drive.google.com/file/d/1SBcHt1w1RkzXsmvvgXWHOj75tQGYv5eT/view?usp=sharing" TargetMode="External"/><Relationship Id="rId792" Type="http://schemas.openxmlformats.org/officeDocument/2006/relationships/hyperlink" Target="https://drive.google.com/file/d/14u_K4kApsU-Ml3Qx_pGsHn5bdt4OMv-i/view?usp=sharing" TargetMode="External"/><Relationship Id="rId791" Type="http://schemas.openxmlformats.org/officeDocument/2006/relationships/hyperlink" Target="https://drive.google.com/file/d/1MiIqb7IyEJMDb9sfrVH6-5CeaTJ0xVAt/view?usp=sharing" TargetMode="External"/><Relationship Id="rId1140" Type="http://schemas.openxmlformats.org/officeDocument/2006/relationships/hyperlink" Target="https://drive.google.com/file/d/1nazAGVEtoUJSS5r9q0dW0sA83sZVOgwn/view?usp=sharing" TargetMode="External"/><Relationship Id="rId790" Type="http://schemas.openxmlformats.org/officeDocument/2006/relationships/hyperlink" Target="https://drive.google.com/file/d/1vjYdgKscOpqU6Aj3t8jwblkUjqlVKIJs/view?usp=sharing" TargetMode="External"/><Relationship Id="rId1141" Type="http://schemas.openxmlformats.org/officeDocument/2006/relationships/hyperlink" Target="https://drive.google.com/file/d/1fte9LWrtRkCNsygMy-cbtIvZlhlYyNv2/view?usp=sharing" TargetMode="External"/><Relationship Id="rId1142" Type="http://schemas.openxmlformats.org/officeDocument/2006/relationships/hyperlink" Target="https://drive.google.com/file/d/1j3vg8k6CkVejsCDI2FmfblaESf4Erh53/view?usp=sharing" TargetMode="External"/><Relationship Id="rId312" Type="http://schemas.openxmlformats.org/officeDocument/2006/relationships/hyperlink" Target="https://drive.google.com/file/d/1Wl_rgZKZtAIcYqyKH4E8J9k-lEyJysM2/view?usp=sharing" TargetMode="External"/><Relationship Id="rId554" Type="http://schemas.openxmlformats.org/officeDocument/2006/relationships/hyperlink" Target="https://drive.google.com/file/d/1oq_p8Ark1Gnr3EzqPGwQpt_0t--9jtUz/view?usp=sharing" TargetMode="External"/><Relationship Id="rId796" Type="http://schemas.openxmlformats.org/officeDocument/2006/relationships/hyperlink" Target="https://drive.google.com/file/d/1c5_IizGCVes_fMns5tUn_De020438vDE/view?usp=sharing" TargetMode="External"/><Relationship Id="rId1143" Type="http://schemas.openxmlformats.org/officeDocument/2006/relationships/hyperlink" Target="https://drive.google.com/file/d/1OqLJW7gIPgUdLGyJVt91fF_FwzNM2pVH/view?usp=sharing" TargetMode="External"/><Relationship Id="rId311" Type="http://schemas.openxmlformats.org/officeDocument/2006/relationships/hyperlink" Target="https://drive.google.com/file/d/1KQHSszzLLQTF4L73kKhmEfk0v3w2W08F/view?usp=sharing" TargetMode="External"/><Relationship Id="rId553" Type="http://schemas.openxmlformats.org/officeDocument/2006/relationships/hyperlink" Target="https://drive.google.com/file/d/1Rm8GqkYCGoVOVCYmdsWfECVqWLzRvX2a/view?usp=sharing" TargetMode="External"/><Relationship Id="rId795" Type="http://schemas.openxmlformats.org/officeDocument/2006/relationships/hyperlink" Target="https://drive.google.com/file/d/1Z37ZNNNJzZw1_K2SzzSJGSvkDkrCsmZo/view?usp=sharing" TargetMode="External"/><Relationship Id="rId1144" Type="http://schemas.openxmlformats.org/officeDocument/2006/relationships/hyperlink" Target="https://drive.google.com/file/d/1J5B8SjMbjvgZAzQwSCmRLEhU_d-XF7kQ/view?usp=sharing" TargetMode="External"/><Relationship Id="rId310" Type="http://schemas.openxmlformats.org/officeDocument/2006/relationships/hyperlink" Target="https://drive.google.com/file/d/1feTvbcPoP39IzTdU6IRIDkZbNZYJbILu/view?usp=sharing" TargetMode="External"/><Relationship Id="rId552" Type="http://schemas.openxmlformats.org/officeDocument/2006/relationships/hyperlink" Target="https://drive.google.com/file/d/16MC8sEbGUfOlI0VuqEA5QNm0GukFaDue/view?usp=sharing" TargetMode="External"/><Relationship Id="rId794" Type="http://schemas.openxmlformats.org/officeDocument/2006/relationships/hyperlink" Target="https://drive.google.com/file/d/1AURQWRQwIeLchAL9WoEr9DZx5vfJteA1/view?usp=sharing" TargetMode="External"/><Relationship Id="rId1145" Type="http://schemas.openxmlformats.org/officeDocument/2006/relationships/hyperlink" Target="https://drive.google.com/file/d/19MDcLrB-zKfVCK8XrerhJ826KQWLiSHU/view?usp=sharing" TargetMode="External"/><Relationship Id="rId551" Type="http://schemas.openxmlformats.org/officeDocument/2006/relationships/hyperlink" Target="https://drive.google.com/file/d/1x4YiFR2W0v2N1e69cAUWyR_NJORHDQ32/view?usp=sharing" TargetMode="External"/><Relationship Id="rId793" Type="http://schemas.openxmlformats.org/officeDocument/2006/relationships/hyperlink" Target="https://drive.google.com/file/d/16ryE7AL-cCljk1_p-a_o1MMQBBBFzsMq/view?usp=sharing" TargetMode="External"/><Relationship Id="rId1146" Type="http://schemas.openxmlformats.org/officeDocument/2006/relationships/hyperlink" Target="https://drive.google.com/file/d/1f1y_8mzCz00Ly3EvHg619D9eswo7zg35/view?usp=sharing" TargetMode="External"/><Relationship Id="rId297" Type="http://schemas.openxmlformats.org/officeDocument/2006/relationships/hyperlink" Target="https://drive.google.com/file/d/1Oy6BjG6m9lMcLusYaLpO4alRzUHIemH4/view?usp=sharing" TargetMode="External"/><Relationship Id="rId296" Type="http://schemas.openxmlformats.org/officeDocument/2006/relationships/hyperlink" Target="https://drive.google.com/file/d/1N8TdgiBN8ZDOl0T5GYJTmd3WtBn17UOM/view?usp=sharing" TargetMode="External"/><Relationship Id="rId295" Type="http://schemas.openxmlformats.org/officeDocument/2006/relationships/hyperlink" Target="https://drive.google.com/file/d/10xtFQM76Fbzzu3Q5stMxnQrDGaU3BZ67/view?usp=sharing" TargetMode="External"/><Relationship Id="rId294" Type="http://schemas.openxmlformats.org/officeDocument/2006/relationships/hyperlink" Target="https://drive.google.com/file/d/1LRlqJShQ86IASH_de-CuClq3zrbqd4bT/view?usp=sharing" TargetMode="External"/><Relationship Id="rId299" Type="http://schemas.openxmlformats.org/officeDocument/2006/relationships/hyperlink" Target="https://drive.google.com/file/d/1Ay2v8d0uwlk6f35W1J9s7wbbkHpk0xd6/view?usp=drive_link" TargetMode="External"/><Relationship Id="rId298" Type="http://schemas.openxmlformats.org/officeDocument/2006/relationships/hyperlink" Target="https://drive.google.com/file/d/1si39JVSS0-ktO5vVPjVxE5SryFnX7C25/view?usp=sharing" TargetMode="External"/><Relationship Id="rId271" Type="http://schemas.openxmlformats.org/officeDocument/2006/relationships/hyperlink" Target="https://drive.google.com/file/d/1qwXuPzxMmKSec3vIf0VOriuqYcBdeGvz/view?usp=sharing" TargetMode="External"/><Relationship Id="rId270" Type="http://schemas.openxmlformats.org/officeDocument/2006/relationships/hyperlink" Target="https://drive.google.com/file/d/1UPG0tEuItQ_mw81agtJ0kw4VI0XQk9Gy/view?usp=sharing" TargetMode="External"/><Relationship Id="rId269" Type="http://schemas.openxmlformats.org/officeDocument/2006/relationships/hyperlink" Target="https://drive.google.com/file/d/1pGDAgOO-8KTV-y3LLw1FWyzFuvp1WKaR/view?usp=sharing" TargetMode="External"/><Relationship Id="rId264" Type="http://schemas.openxmlformats.org/officeDocument/2006/relationships/hyperlink" Target="https://drive.google.com/file/d/17ZNIswt64kccArfxEQ36F0_HTIeaywwM/view?usp=sharing" TargetMode="External"/><Relationship Id="rId263" Type="http://schemas.openxmlformats.org/officeDocument/2006/relationships/hyperlink" Target="https://drive.google.com/file/d/1AG9b1_kTnPRwF4vuu-mEwxTOrITTzP_z/view?usp=sharing" TargetMode="External"/><Relationship Id="rId262" Type="http://schemas.openxmlformats.org/officeDocument/2006/relationships/hyperlink" Target="https://drive.google.com/file/d/1qDzysk8eoRMa_B_XHKcH8Sf7n4suggRY/view?usp=sharing" TargetMode="External"/><Relationship Id="rId261" Type="http://schemas.openxmlformats.org/officeDocument/2006/relationships/hyperlink" Target="https://drive.google.com/file/d/1WKibYXL5CdG8uUdN2kk2cgsJVvU1gawy/view?usp=sharing" TargetMode="External"/><Relationship Id="rId268" Type="http://schemas.openxmlformats.org/officeDocument/2006/relationships/hyperlink" Target="https://drive.google.com/file/d/17MXZ1bNCzqiD52e1VO26rqNRHgWOfofn/view?usp=sharing" TargetMode="External"/><Relationship Id="rId267" Type="http://schemas.openxmlformats.org/officeDocument/2006/relationships/hyperlink" Target="https://drive.google.com/file/d/1cQnLA_ull8d_TLkZzaFHjt2ClyuiN_aC/view?usp=sharing" TargetMode="External"/><Relationship Id="rId266" Type="http://schemas.openxmlformats.org/officeDocument/2006/relationships/hyperlink" Target="https://drive.google.com/file/d/1DuFBozqJq0qbl4bmf3p4YV8TiQAKTF63/view?usp=sharing" TargetMode="External"/><Relationship Id="rId265" Type="http://schemas.openxmlformats.org/officeDocument/2006/relationships/hyperlink" Target="https://drive.google.com/file/d/1o0UcuCzcpKf7OBPxQmTM6alhwC7SVbpp/view?usp=sharing" TargetMode="External"/><Relationship Id="rId260" Type="http://schemas.openxmlformats.org/officeDocument/2006/relationships/hyperlink" Target="https://drive.google.com/file/d/1hBLzpIoin2TrbcvvugNOWDQdB1GW6Q9p/view?usp=sharing" TargetMode="External"/><Relationship Id="rId259" Type="http://schemas.openxmlformats.org/officeDocument/2006/relationships/hyperlink" Target="https://drive.google.com/file/d/1deceqz2wez5DaM6WbCX3_9HH8mUfOS-5/view?usp=sharing" TargetMode="External"/><Relationship Id="rId258" Type="http://schemas.openxmlformats.org/officeDocument/2006/relationships/hyperlink" Target="https://drive.google.com/file/d/1c322MA-nrIegQ1N3bLOBTvuqxem3DeEy/view?usp=sharing" TargetMode="External"/><Relationship Id="rId253" Type="http://schemas.openxmlformats.org/officeDocument/2006/relationships/hyperlink" Target="https://drive.google.com/file/d/1EWYe7NY_kms5WFTwhnSHLbbKiQLiiolw/view?usp=sharing" TargetMode="External"/><Relationship Id="rId495" Type="http://schemas.openxmlformats.org/officeDocument/2006/relationships/hyperlink" Target="https://drive.google.com/file/d/1cWt8rmcV_JOMJ4CLcL52HaowLVjdnXLT/view?usp=sharing" TargetMode="External"/><Relationship Id="rId252" Type="http://schemas.openxmlformats.org/officeDocument/2006/relationships/hyperlink" Target="https://drive.google.com/file/d/1VFX0sYSKx1T4DWd4y0fcPA6kbWkMjft_/view?usp=sharing" TargetMode="External"/><Relationship Id="rId494" Type="http://schemas.openxmlformats.org/officeDocument/2006/relationships/hyperlink" Target="https://drive.google.com/file/d/1Z0d8fHTi_zYiXrTkJtdsFSbRMD7M-BnR/view?usp=sharing" TargetMode="External"/><Relationship Id="rId251" Type="http://schemas.openxmlformats.org/officeDocument/2006/relationships/hyperlink" Target="https://drive.google.com/file/d/1mPk1Gli__LpU5DePY3IMO-59VfeKVjx8/view?usp=sharing" TargetMode="External"/><Relationship Id="rId493" Type="http://schemas.openxmlformats.org/officeDocument/2006/relationships/hyperlink" Target="https://drive.google.com/file/d/1NVXbVv_ejDtMV9xFMr-IPmDYIkY6Xbkr/view?usp=sharing" TargetMode="External"/><Relationship Id="rId250" Type="http://schemas.openxmlformats.org/officeDocument/2006/relationships/hyperlink" Target="https://drive.google.com/file/d/1PGmAUgbAvO03j_tkKfVUsKFdv6BSJ7ja/view?usp=sharing" TargetMode="External"/><Relationship Id="rId492" Type="http://schemas.openxmlformats.org/officeDocument/2006/relationships/hyperlink" Target="https://drive.google.com/file/d/1bKVd6Kb5z0dJG9m7zfzxzu-sYBbht4Xc/view?usp=sharing" TargetMode="External"/><Relationship Id="rId257" Type="http://schemas.openxmlformats.org/officeDocument/2006/relationships/hyperlink" Target="https://drive.google.com/file/d/1B7HFJel5a3NyYymsrFvklZJlJL36-4hp/view?usp=sharing" TargetMode="External"/><Relationship Id="rId499" Type="http://schemas.openxmlformats.org/officeDocument/2006/relationships/hyperlink" Target="https://drive.google.com/file/d/1mlaO2YM9byILS_XW8a1paeUi4ZgLAwy3/view?usp=sharing" TargetMode="External"/><Relationship Id="rId256" Type="http://schemas.openxmlformats.org/officeDocument/2006/relationships/hyperlink" Target="https://drive.google.com/file/d/1F2KRnO6O_SrNahq_O_enxNvQsMThIGog/view?usp=sharing" TargetMode="External"/><Relationship Id="rId498" Type="http://schemas.openxmlformats.org/officeDocument/2006/relationships/hyperlink" Target="https://drive.google.com/file/d/1f1mbilT394mH7IsOHsmDx96z6v5y8lTD/view?usp=sharing" TargetMode="External"/><Relationship Id="rId255" Type="http://schemas.openxmlformats.org/officeDocument/2006/relationships/hyperlink" Target="https://drive.google.com/file/d/1CCKr3QLoxEoWxxHRMzUYWdaLVEB8nLTo/view?usp=sharing" TargetMode="External"/><Relationship Id="rId497" Type="http://schemas.openxmlformats.org/officeDocument/2006/relationships/hyperlink" Target="https://drive.google.com/file/d/1rt0suGbksJtOg36nxnYVRRe3gul26Eij/view?usp=sharing" TargetMode="External"/><Relationship Id="rId254" Type="http://schemas.openxmlformats.org/officeDocument/2006/relationships/hyperlink" Target="https://drive.google.com/file/d/1cnmPgTxveYcnt9kjx8_Ua7QH6NpEcXSe/view?usp=sharing" TargetMode="External"/><Relationship Id="rId496" Type="http://schemas.openxmlformats.org/officeDocument/2006/relationships/hyperlink" Target="https://drive.google.com/file/d/1mpbSpMXTbauMFqZFOlnC4shspPlB0VoO/view?usp=sharing" TargetMode="External"/><Relationship Id="rId293" Type="http://schemas.openxmlformats.org/officeDocument/2006/relationships/hyperlink" Target="https://drive.google.com/file/d/1PwmMWFoxTu-B8s1lqtyeKW5ipzcr54gj/view?usp=sharing" TargetMode="External"/><Relationship Id="rId292" Type="http://schemas.openxmlformats.org/officeDocument/2006/relationships/hyperlink" Target="https://drive.google.com/file/d/12QaFSknRglpul8vWkjRrLtjJmbbZ1tAZ/view?usp=sharing" TargetMode="External"/><Relationship Id="rId291" Type="http://schemas.openxmlformats.org/officeDocument/2006/relationships/hyperlink" Target="https://drive.google.com/file/d/18tEkGTyjbxyvfo3CH0gtJEwb9BPq6K-4/view?usp=sharing" TargetMode="External"/><Relationship Id="rId290" Type="http://schemas.openxmlformats.org/officeDocument/2006/relationships/hyperlink" Target="https://drive.google.com/file/d/1EU0R7oxhI3k75n8P1hy-2A7W0gnBSyb2/view?usp=sharing" TargetMode="External"/><Relationship Id="rId286" Type="http://schemas.openxmlformats.org/officeDocument/2006/relationships/hyperlink" Target="https://drive.google.com/file/d/1uf15E27o_UcoLBH8cksOBrM38EXggfTz/view?usp=sharing" TargetMode="External"/><Relationship Id="rId285" Type="http://schemas.openxmlformats.org/officeDocument/2006/relationships/hyperlink" Target="https://drive.google.com/file/d/1rog0Wgr1slGtaR6NY3Eyetce8ZwTsXYj/view?usp=sharing" TargetMode="External"/><Relationship Id="rId284" Type="http://schemas.openxmlformats.org/officeDocument/2006/relationships/hyperlink" Target="https://drive.google.com/file/d/1Vcm-pGvAtxz2PiYngMCMJ6XdGdOAAX-T/view?usp=sharing" TargetMode="External"/><Relationship Id="rId283" Type="http://schemas.openxmlformats.org/officeDocument/2006/relationships/hyperlink" Target="https://drive.google.com/file/d/15Ji29PPUC9kwbnXmCHgPphOr4C9hLqd3/view?usp=sharing" TargetMode="External"/><Relationship Id="rId289" Type="http://schemas.openxmlformats.org/officeDocument/2006/relationships/hyperlink" Target="https://drive.google.com/file/d/1kxKUebYDbysch7wrpJP04Avp9SCA4lA8/view?usp=sharing" TargetMode="External"/><Relationship Id="rId288" Type="http://schemas.openxmlformats.org/officeDocument/2006/relationships/hyperlink" Target="https://drive.google.com/file/d/1cwJM3H6x7RThAcwqHr9v6V1oMVyh-s-0/view?usp=sharing" TargetMode="External"/><Relationship Id="rId287" Type="http://schemas.openxmlformats.org/officeDocument/2006/relationships/hyperlink" Target="https://drive.google.com/file/d/1tEB-d0Cx5CD1_7OizsiDU7kUznqcDMOa/view?usp=sharing" TargetMode="External"/><Relationship Id="rId282" Type="http://schemas.openxmlformats.org/officeDocument/2006/relationships/hyperlink" Target="https://drive.google.com/file/d/1CH0ZeDfGoJrHiBD8faEjNE1wHonoPKT8/view?usp=sharing" TargetMode="External"/><Relationship Id="rId281" Type="http://schemas.openxmlformats.org/officeDocument/2006/relationships/hyperlink" Target="https://drive.google.com/file/d/1x5owJ6HkvNx1BO_qSKmb1ydRd_gdZ8qG/view?usp=sharing" TargetMode="External"/><Relationship Id="rId280" Type="http://schemas.openxmlformats.org/officeDocument/2006/relationships/hyperlink" Target="https://drive.google.com/file/d/1Y84lukN-_WVZqVLs8ukOV34fSLZeikcu/view?usp=sharing" TargetMode="External"/><Relationship Id="rId275" Type="http://schemas.openxmlformats.org/officeDocument/2006/relationships/hyperlink" Target="https://drive.google.com/file/d/1slX2zHwtZdCMg6UQQ62t7jQbpMqjwGp-/view?usp=sharing" TargetMode="External"/><Relationship Id="rId274" Type="http://schemas.openxmlformats.org/officeDocument/2006/relationships/hyperlink" Target="https://drive.google.com/file/d/1VyHoath6kdn-8JNlTTVVn1ru0zzVzvpN/view?usp=sharing" TargetMode="External"/><Relationship Id="rId273" Type="http://schemas.openxmlformats.org/officeDocument/2006/relationships/hyperlink" Target="https://drive.google.com/file/d/1pudb5NwC9MhzV1RKEKNKd61fLb8Y8yQJ/view?usp=sharing" TargetMode="External"/><Relationship Id="rId272" Type="http://schemas.openxmlformats.org/officeDocument/2006/relationships/hyperlink" Target="https://drive.google.com/file/d/1hYb3gArnN88BpDQEE3mndsJdsawITOde/view?usp=sharing" TargetMode="External"/><Relationship Id="rId279" Type="http://schemas.openxmlformats.org/officeDocument/2006/relationships/hyperlink" Target="https://drive.google.com/file/d/1PwOpyVGMXI8N9PjVoDTiNMtoApsh5y0x/view?usp=sharing" TargetMode="External"/><Relationship Id="rId278" Type="http://schemas.openxmlformats.org/officeDocument/2006/relationships/hyperlink" Target="https://drive.google.com/file/d/1zxaG5MMMfylyxP9PyAxHNRSTuIsJTLUJ/view?usp=sharing" TargetMode="External"/><Relationship Id="rId277" Type="http://schemas.openxmlformats.org/officeDocument/2006/relationships/hyperlink" Target="https://drive.google.com/file/d/1IGegtoOTWhwXbLbdgtIfmLGPyj4sbsDq/view?usp=sharing" TargetMode="External"/><Relationship Id="rId276" Type="http://schemas.openxmlformats.org/officeDocument/2006/relationships/hyperlink" Target="https://drive.google.com/file/d/1lisBhJNEH7fksD0ivSFlzMJ3IEoNycgd/view?usp=sharing" TargetMode="External"/><Relationship Id="rId907" Type="http://schemas.openxmlformats.org/officeDocument/2006/relationships/hyperlink" Target="https://drive.google.com/file/d/18sFE_Updd5PSrBIIKw9Fz7Ei5RKkWbpH/view?usp=sharing" TargetMode="External"/><Relationship Id="rId906" Type="http://schemas.openxmlformats.org/officeDocument/2006/relationships/hyperlink" Target="https://drive.google.com/file/d/1i350r85Vvwe4RaJqxUKplIy_J59GvqKZ/view?usp=sharing" TargetMode="External"/><Relationship Id="rId905" Type="http://schemas.openxmlformats.org/officeDocument/2006/relationships/hyperlink" Target="https://drive.google.com/file/d/1yz3iEXP0iHRvLuZVP-2yC5K5aNu8nhgh/view?usp=sharing" TargetMode="External"/><Relationship Id="rId904" Type="http://schemas.openxmlformats.org/officeDocument/2006/relationships/hyperlink" Target="https://drive.google.com/file/d/1OTdkLAayVZ_zEyOwMH8ggzhgH77ui12t/view?usp=sharing" TargetMode="External"/><Relationship Id="rId909" Type="http://schemas.openxmlformats.org/officeDocument/2006/relationships/hyperlink" Target="https://drive.google.com/file/d/18qx5O0ispjc0q8iSmpDvHG9ePNuqlm4O/view?usp=sharing" TargetMode="External"/><Relationship Id="rId908" Type="http://schemas.openxmlformats.org/officeDocument/2006/relationships/hyperlink" Target="https://drive.google.com/file/d/1RxV4wf3kaMNU6ws_xByrYe7XSJCHA5rX/view?usp=sharing" TargetMode="External"/><Relationship Id="rId903" Type="http://schemas.openxmlformats.org/officeDocument/2006/relationships/hyperlink" Target="https://drive.google.com/file/d/1WYC1ejxtn86vaGikn4OfQlvGU1h_N5l5/view?usp=sharing" TargetMode="External"/><Relationship Id="rId902" Type="http://schemas.openxmlformats.org/officeDocument/2006/relationships/hyperlink" Target="https://drive.google.com/file/d/1lUOSeIRic62x8brpwSx3SMkt_ou4qs3d/view?usp=sharing" TargetMode="External"/><Relationship Id="rId901" Type="http://schemas.openxmlformats.org/officeDocument/2006/relationships/hyperlink" Target="http://www.soeharto.co" TargetMode="External"/><Relationship Id="rId900" Type="http://schemas.openxmlformats.org/officeDocument/2006/relationships/hyperlink" Target="https://drive.google.com/file/d/18O4DM3fh2gpViydVzL6nO3ikRD_avnwa/view?usp=sharing" TargetMode="External"/><Relationship Id="rId929" Type="http://schemas.openxmlformats.org/officeDocument/2006/relationships/hyperlink" Target="https://drive.google.com/file/d/1jnc0CJrcWu2d2258FU4tqgV7mEbH-BFZ/view?usp=sharing" TargetMode="External"/><Relationship Id="rId928" Type="http://schemas.openxmlformats.org/officeDocument/2006/relationships/hyperlink" Target="https://drive.google.com/file/d/1QJ9A_LwbLBHMDaOFpF-_7YNXImliS3jG/view?usp=sharing" TargetMode="External"/><Relationship Id="rId927" Type="http://schemas.openxmlformats.org/officeDocument/2006/relationships/hyperlink" Target="https://drive.google.com/file/d/1CwQ9Mh6uUR_80i8ylBj8qUU0UpxrJvVP/view?usp=sharing" TargetMode="External"/><Relationship Id="rId926" Type="http://schemas.openxmlformats.org/officeDocument/2006/relationships/hyperlink" Target="https://drive.google.com/file/d/1TDu20ihbNuZyrWU7TUbZUjuWWSglcXHX/view?usp=sharing" TargetMode="External"/><Relationship Id="rId921" Type="http://schemas.openxmlformats.org/officeDocument/2006/relationships/hyperlink" Target="https://drive.google.com/file/d/1GKHmqQZOGoNtmM3gH3uYXHEPI3lbIPM3/view?usp=sharing" TargetMode="External"/><Relationship Id="rId920" Type="http://schemas.openxmlformats.org/officeDocument/2006/relationships/hyperlink" Target="https://drive.google.com/file/d/1MSgZMsTWWqWjQJ6GC6nUt65Ecw8iIU66/view?usp=sharing" TargetMode="External"/><Relationship Id="rId925" Type="http://schemas.openxmlformats.org/officeDocument/2006/relationships/hyperlink" Target="https://drive.google.com/file/d/1jODllMUFRiBerzhbBX7aD-c8PJcPfFO7/view?usp=sharing" TargetMode="External"/><Relationship Id="rId924" Type="http://schemas.openxmlformats.org/officeDocument/2006/relationships/hyperlink" Target="https://drive.google.com/file/d/1bXLm4odZu8DSWqlul7ZSkS3605XFA9Lu/view?usp=sharing" TargetMode="External"/><Relationship Id="rId923" Type="http://schemas.openxmlformats.org/officeDocument/2006/relationships/hyperlink" Target="https://drive.google.com/file/d/1J26QrdTZSvDJdlMGiYvawlVfwTHSsvhk/view?usp=sharing" TargetMode="External"/><Relationship Id="rId922" Type="http://schemas.openxmlformats.org/officeDocument/2006/relationships/hyperlink" Target="https://drive.google.com/file/d/1kp33E5PcABrmsmu1aTK9IVorXM6oSsPG/view?usp=sharing" TargetMode="External"/><Relationship Id="rId918" Type="http://schemas.openxmlformats.org/officeDocument/2006/relationships/hyperlink" Target="https://drive.google.com/file/d/1vqLbk0iNuQ_HNvd6AAKjOMHKu93lJpaS/view?usp=sharing" TargetMode="External"/><Relationship Id="rId917" Type="http://schemas.openxmlformats.org/officeDocument/2006/relationships/hyperlink" Target="https://drive.google.com/file/d/1bZIQTTyjVlsSjq2IyrwbxExU5A7hNIRr/view?usp=sharing" TargetMode="External"/><Relationship Id="rId916" Type="http://schemas.openxmlformats.org/officeDocument/2006/relationships/hyperlink" Target="https://drive.google.com/file/d/1uliOpzcTKOb0mluLB2SKUQPbnrYsZFj5/view?usp=sharing" TargetMode="External"/><Relationship Id="rId915" Type="http://schemas.openxmlformats.org/officeDocument/2006/relationships/hyperlink" Target="https://drive.google.com/file/d/1te-kkIhyRXRcXeblzVc4sgoAYB8S9j_h/view?usp=sharing" TargetMode="External"/><Relationship Id="rId919" Type="http://schemas.openxmlformats.org/officeDocument/2006/relationships/hyperlink" Target="https://drive.google.com/file/d/1jjYM9JL-CHRFBSEx4GEY2zkEve1MvMAG/view?usp=sharing" TargetMode="External"/><Relationship Id="rId910" Type="http://schemas.openxmlformats.org/officeDocument/2006/relationships/hyperlink" Target="https://drive.google.com/file/d/1CZvaQKntc7Pyf64zKdvjaSXmk-jOFWgm/view?usp=sharing" TargetMode="External"/><Relationship Id="rId914" Type="http://schemas.openxmlformats.org/officeDocument/2006/relationships/hyperlink" Target="https://drive.google.com/file/d/1PZLLthm3zEFAJIW2-ZXkHgdk8rtK1jFQ/view?usp=sharing" TargetMode="External"/><Relationship Id="rId913" Type="http://schemas.openxmlformats.org/officeDocument/2006/relationships/hyperlink" Target="https://drive.google.com/file/d/1XvQFWavbPqlspuuzPT2kxQILi9NAjbhS/view?usp=sharing" TargetMode="External"/><Relationship Id="rId912" Type="http://schemas.openxmlformats.org/officeDocument/2006/relationships/hyperlink" Target="https://drive.google.com/file/d/1FQMfXmn-KvctwvWMApdxbvI7zZGfyhm3/view?usp=sharing" TargetMode="External"/><Relationship Id="rId911" Type="http://schemas.openxmlformats.org/officeDocument/2006/relationships/hyperlink" Target="https://drive.google.com/file/d/16l9vjSHd88svQc3VXFDuckJiMJG77Dyj/view?usp=sharing" TargetMode="External"/><Relationship Id="rId629" Type="http://schemas.openxmlformats.org/officeDocument/2006/relationships/hyperlink" Target="https://drive.google.com/file/d/1qmoS6zfFw-ktcrQvKAf-SHYT-bzkjbtB/view?usp=sharing" TargetMode="External"/><Relationship Id="rId624" Type="http://schemas.openxmlformats.org/officeDocument/2006/relationships/hyperlink" Target="https://drive.google.com/file/d/1TVW1JpusHoYbn3j1d5V5RWxJoBOXvcNz/view?usp=sharing" TargetMode="External"/><Relationship Id="rId866" Type="http://schemas.openxmlformats.org/officeDocument/2006/relationships/hyperlink" Target="https://drive.google.com/file/d/11eeFArBd6fCH2DygAnysQKWPYSH6P5bN/view?usp=sharing" TargetMode="External"/><Relationship Id="rId623" Type="http://schemas.openxmlformats.org/officeDocument/2006/relationships/hyperlink" Target="https://drive.google.com/file/d/1L3l4lSkpooe3x_4Erz8fG1gWdiGz6Sp6/view?usp=drive_link" TargetMode="External"/><Relationship Id="rId865" Type="http://schemas.openxmlformats.org/officeDocument/2006/relationships/hyperlink" Target="https://drive.google.com/file/d/1PMQxlD9nBgy8tWehVsyW_oVpOOT4fqKv/view?usp=sharing" TargetMode="External"/><Relationship Id="rId622" Type="http://schemas.openxmlformats.org/officeDocument/2006/relationships/hyperlink" Target="https://drive.google.com/file/d/153FG2gcScOVkPo0z44o6al_7qU3DXKLp/view?usp=sharing" TargetMode="External"/><Relationship Id="rId864" Type="http://schemas.openxmlformats.org/officeDocument/2006/relationships/hyperlink" Target="https://drive.google.com/file/d/1x6Cnu7fJ6XHNXU7pTfZx1OWVKjBXfm64/view?usp=sharing" TargetMode="External"/><Relationship Id="rId621" Type="http://schemas.openxmlformats.org/officeDocument/2006/relationships/hyperlink" Target="https://drive.google.com/file/d/1wlcisAyOu-jz8mg1eJc7IU4H9-eJieg8/view?usp=sharing" TargetMode="External"/><Relationship Id="rId863" Type="http://schemas.openxmlformats.org/officeDocument/2006/relationships/hyperlink" Target="https://drive.google.com/file/d/14zTPZ_vyS8RHhKVzK5BkLe-padwYAE15/view?usp=sharing" TargetMode="External"/><Relationship Id="rId628" Type="http://schemas.openxmlformats.org/officeDocument/2006/relationships/hyperlink" Target="https://drive.google.com/file/d/1_8GKkaoj60pDCt3OTTpY--AajEebWVNW/view?usp=sharing" TargetMode="External"/><Relationship Id="rId627" Type="http://schemas.openxmlformats.org/officeDocument/2006/relationships/hyperlink" Target="https://drive.google.com/file/d/1fJ6r2VNPullWNyjHvYSoFahlpdkrD2jL/view?usp=sharing" TargetMode="External"/><Relationship Id="rId869" Type="http://schemas.openxmlformats.org/officeDocument/2006/relationships/hyperlink" Target="https://drive.google.com/file/d/1LNKnzCrhZnFBqs8bEjbY7dFI1dPbKDS6/view?usp=sharing" TargetMode="External"/><Relationship Id="rId626" Type="http://schemas.openxmlformats.org/officeDocument/2006/relationships/hyperlink" Target="https://drive.google.com/file/d/1JTC-YrhwspMWuwzMoaaFSsEfCDGjtEj8/view?usp=drive_link" TargetMode="External"/><Relationship Id="rId868" Type="http://schemas.openxmlformats.org/officeDocument/2006/relationships/hyperlink" Target="https://drive.google.com/file/d/1U0a63XmbMZPuR2iEePw69rwWfJz9yk1x/view?usp=sharing" TargetMode="External"/><Relationship Id="rId625" Type="http://schemas.openxmlformats.org/officeDocument/2006/relationships/hyperlink" Target="https://drive.google.com/file/d/1KqpOnLhBR4kifecp-vx3RSaFVO6cMqc3/view?usp=sharing" TargetMode="External"/><Relationship Id="rId867" Type="http://schemas.openxmlformats.org/officeDocument/2006/relationships/hyperlink" Target="https://drive.google.com/file/d/1kaQqAHDsSPnK3Xa_UDmnYpqjx1jpScU9/view?usp=drive_link" TargetMode="External"/><Relationship Id="rId620" Type="http://schemas.openxmlformats.org/officeDocument/2006/relationships/hyperlink" Target="https://drive.google.com/file/d/12viJR_f0IcNzanasmgG6i6__U9U4v4CS/view?usp=drive_link" TargetMode="External"/><Relationship Id="rId862" Type="http://schemas.openxmlformats.org/officeDocument/2006/relationships/hyperlink" Target="https://drive.google.com/file/d/1zMowz2RsrBvUaHV7vuW0HHzwmIZ2ME0D/view?usp=sharing" TargetMode="External"/><Relationship Id="rId861" Type="http://schemas.openxmlformats.org/officeDocument/2006/relationships/hyperlink" Target="https://drive.google.com/file/d/12hV0tAjdQTBV-6_aRayKwd7-vBIQydDF/view?usp=sharing" TargetMode="External"/><Relationship Id="rId860" Type="http://schemas.openxmlformats.org/officeDocument/2006/relationships/hyperlink" Target="https://drive.google.com/file/d/1tAe6lZxg2JBamuel3nFCY8TQEVLYPBsG/view?usp=sharing" TargetMode="External"/><Relationship Id="rId619" Type="http://schemas.openxmlformats.org/officeDocument/2006/relationships/hyperlink" Target="https://drive.google.com/file/d/1yut4hl9y7sR5S5ip9XRfB-aWadtTwB57/view?usp=sharing" TargetMode="External"/><Relationship Id="rId618" Type="http://schemas.openxmlformats.org/officeDocument/2006/relationships/hyperlink" Target="https://drive.google.com/file/d/1yPRg28gJcI8g0NR_2LSZzf4GAPoB-jLv/view?usp=drive_link" TargetMode="External"/><Relationship Id="rId613" Type="http://schemas.openxmlformats.org/officeDocument/2006/relationships/hyperlink" Target="https://drive.google.com/file/d/1biA3d_076No5uozbCVv70ZkfiQ-JJ0Iy/view?usp=sharing" TargetMode="External"/><Relationship Id="rId855" Type="http://schemas.openxmlformats.org/officeDocument/2006/relationships/hyperlink" Target="https://drive.google.com/file/d/1olE_l8GSxYhvbIkaUhLD6BHCEWQzwgKt/view?usp=sharing" TargetMode="External"/><Relationship Id="rId612" Type="http://schemas.openxmlformats.org/officeDocument/2006/relationships/hyperlink" Target="https://drive.google.com/file/d/1f0yWg-Bw-B5IXyxP1nGZDFc8fKlG3tlC/view?usp=sharing" TargetMode="External"/><Relationship Id="rId854" Type="http://schemas.openxmlformats.org/officeDocument/2006/relationships/hyperlink" Target="https://drive.google.com/file/d/1aGNtbl0EPk-2ehTosn8svP2eD0znwrhl/view?usp=sharing" TargetMode="External"/><Relationship Id="rId611" Type="http://schemas.openxmlformats.org/officeDocument/2006/relationships/hyperlink" Target="https://drive.google.com/file/d/1JHr5F-1ANpUn27oCTY-3REiYt-T5A-W4/view?usp=drive_link" TargetMode="External"/><Relationship Id="rId853" Type="http://schemas.openxmlformats.org/officeDocument/2006/relationships/hyperlink" Target="https://drive.google.com/file/d/1tC669pVvJ12PP-LblOZES_8FjkT_pIwf/view?usp=sharing" TargetMode="External"/><Relationship Id="rId610" Type="http://schemas.openxmlformats.org/officeDocument/2006/relationships/hyperlink" Target="https://drive.google.com/file/d/1Obybk4cH9ECy4luOrdCmxyXy-5ffDg89/view?usp=sharing" TargetMode="External"/><Relationship Id="rId852" Type="http://schemas.openxmlformats.org/officeDocument/2006/relationships/hyperlink" Target="https://drive.google.com/file/d/1kaWt9F9FlB0DzOufG_UHjwv8pqi8C16w/view?usp=sharing" TargetMode="External"/><Relationship Id="rId617" Type="http://schemas.openxmlformats.org/officeDocument/2006/relationships/hyperlink" Target="https://drive.google.com/file/d/11aPVHFfGiJeEsiC0D22W5hPW745Etcy5/view?usp=drive_link" TargetMode="External"/><Relationship Id="rId859" Type="http://schemas.openxmlformats.org/officeDocument/2006/relationships/hyperlink" Target="https://drive.google.com/file/d/1P5J88OWKTmMsUEenGenOWQvP3yftgQOT/view?usp=sharing" TargetMode="External"/><Relationship Id="rId616" Type="http://schemas.openxmlformats.org/officeDocument/2006/relationships/hyperlink" Target="https://drive.google.com/file/d/1iB9rnkxxzU1mO-juwQIiTjDyrjCUpXPU/view?usp=drive_link" TargetMode="External"/><Relationship Id="rId858" Type="http://schemas.openxmlformats.org/officeDocument/2006/relationships/hyperlink" Target="https://drive.google.com/file/d/1vATm0WEWaTeHYOpivKElsJIPSgfN8AKc/view?usp=sharing" TargetMode="External"/><Relationship Id="rId615" Type="http://schemas.openxmlformats.org/officeDocument/2006/relationships/hyperlink" Target="https://drive.google.com/file/d/1pBhemBKUtxxpy4JhUi6kIRX9vXDSy-sl/view?usp=sharing" TargetMode="External"/><Relationship Id="rId857" Type="http://schemas.openxmlformats.org/officeDocument/2006/relationships/hyperlink" Target="https://drive.google.com/file/d/1JsvaYq95179N5oMBmV3-3Js5r1lnQWFz/view?usp=drive_link" TargetMode="External"/><Relationship Id="rId614" Type="http://schemas.openxmlformats.org/officeDocument/2006/relationships/hyperlink" Target="https://drive.google.com/file/d/1PdSwL0S2ofJ7UrEDfWuJ2mGT0Wf1g9jS/view?usp=sharing" TargetMode="External"/><Relationship Id="rId856" Type="http://schemas.openxmlformats.org/officeDocument/2006/relationships/hyperlink" Target="https://drive.google.com/file/d/1XP3JJcWP3HiSr7EUoYZDkNmfFhqJIgsB/view?usp=drive_link" TargetMode="External"/><Relationship Id="rId851" Type="http://schemas.openxmlformats.org/officeDocument/2006/relationships/hyperlink" Target="https://drive.google.com/file/d/18oC6MtWoSZrLl2TPo9fdc_KOsESaJ4oJ/view?usp=sharing" TargetMode="External"/><Relationship Id="rId850" Type="http://schemas.openxmlformats.org/officeDocument/2006/relationships/hyperlink" Target="https://drive.google.com/file/d/1N2DGsr_qbH3QvalBSg_ankjooRnQKPki/view?usp=sharing" TargetMode="External"/><Relationship Id="rId409" Type="http://schemas.openxmlformats.org/officeDocument/2006/relationships/hyperlink" Target="https://drive.google.com/file/d/1iALoavXRggQf3vzd9aKCB5q1dSrb6E_o/view?usp=sharing" TargetMode="External"/><Relationship Id="rId404" Type="http://schemas.openxmlformats.org/officeDocument/2006/relationships/hyperlink" Target="https://drive.google.com/file/d/1G-EnfTy_m-63NkLsulzc-8TxbHh7vICl/view?usp=sharing" TargetMode="External"/><Relationship Id="rId646" Type="http://schemas.openxmlformats.org/officeDocument/2006/relationships/hyperlink" Target="https://drive.google.com/file/d/1MsulTAAZzyKRUu7J41m42TdZhJh3oKuK/view?usp=sharing" TargetMode="External"/><Relationship Id="rId888" Type="http://schemas.openxmlformats.org/officeDocument/2006/relationships/hyperlink" Target="https://drive.google.com/file/d/1Y4bAtj9qh6JZjOc-jixyzG5opylZVOU4/view?usp=sharing" TargetMode="External"/><Relationship Id="rId403" Type="http://schemas.openxmlformats.org/officeDocument/2006/relationships/hyperlink" Target="https://drive.google.com/file/d/1nPTE6HzwnQox2Hc7Hi_zyLotKgg0g9dY/view?usp=sharing" TargetMode="External"/><Relationship Id="rId645" Type="http://schemas.openxmlformats.org/officeDocument/2006/relationships/hyperlink" Target="https://drive.google.com/file/d/1lDUiCzqbvEAHU31xNvNH8ABctbLp3MYm/view?usp=sharing" TargetMode="External"/><Relationship Id="rId887" Type="http://schemas.openxmlformats.org/officeDocument/2006/relationships/hyperlink" Target="https://drive.google.com/file/d/12jfdOIA-a8Sdkclxnb2YZkIfMiuleI7C/view?usp=sharing" TargetMode="External"/><Relationship Id="rId402" Type="http://schemas.openxmlformats.org/officeDocument/2006/relationships/hyperlink" Target="https://drive.google.com/file/d/1SEehQmawrss3jnqfTEmEuXDGc9vy0Pan/view?usp=sharing" TargetMode="External"/><Relationship Id="rId644" Type="http://schemas.openxmlformats.org/officeDocument/2006/relationships/hyperlink" Target="https://drive.google.com/file/d/1G4d35T2zs_ozKTl2yXcZiZuOuZLFwWT-/view?usp=sharing" TargetMode="External"/><Relationship Id="rId886" Type="http://schemas.openxmlformats.org/officeDocument/2006/relationships/hyperlink" Target="https://drive.google.com/file/d/1bDUwA2oME19GdCPSwJkglK-Z-c5mmBS_/view?usp=sharing" TargetMode="External"/><Relationship Id="rId401" Type="http://schemas.openxmlformats.org/officeDocument/2006/relationships/hyperlink" Target="https://drive.google.com/file/d/1X_IJ9t9-PR6kQ9je8bb__CtAV_EoXlqr/view?usp=sharing" TargetMode="External"/><Relationship Id="rId643" Type="http://schemas.openxmlformats.org/officeDocument/2006/relationships/hyperlink" Target="https://drive.google.com/file/d/1UJAcOwwRPnBZ83ICumHdUSIAo2tYOGRJ/view?usp=sharing" TargetMode="External"/><Relationship Id="rId885" Type="http://schemas.openxmlformats.org/officeDocument/2006/relationships/hyperlink" Target="https://drive.google.com/file/d/1fo2u_iZvMGzHDj-rx6unlXo3Wsh8dHet/view?usp=sharing" TargetMode="External"/><Relationship Id="rId408" Type="http://schemas.openxmlformats.org/officeDocument/2006/relationships/hyperlink" Target="https://drive.google.com/file/d/1FTO67INcH-pUqPXYtMzdtTav7Ep8ekJv/view?usp=sharing" TargetMode="External"/><Relationship Id="rId407" Type="http://schemas.openxmlformats.org/officeDocument/2006/relationships/hyperlink" Target="https://drive.google.com/file/d/1WuEG_eepUHfWBWTubzjcVFbWt_ug-AwB/view?usp=sharing" TargetMode="External"/><Relationship Id="rId649" Type="http://schemas.openxmlformats.org/officeDocument/2006/relationships/hyperlink" Target="https://drive.google.com/file/d/1wFEeQ4TT5O1QonqvA3rjDvEmxi5Gjt1i/view?usp=sharing" TargetMode="External"/><Relationship Id="rId406" Type="http://schemas.openxmlformats.org/officeDocument/2006/relationships/hyperlink" Target="https://drive.google.com/file/d/1u7UbUp2LH7jCFBNNfkMO84XGjRvvwtOR/view?usp=sharing" TargetMode="External"/><Relationship Id="rId648" Type="http://schemas.openxmlformats.org/officeDocument/2006/relationships/hyperlink" Target="https://drive.google.com/file/d/1Pyede1EJZtTQS-eHHtZn_DCF2B4M9bPV/view?usp=drive_link" TargetMode="External"/><Relationship Id="rId405" Type="http://schemas.openxmlformats.org/officeDocument/2006/relationships/hyperlink" Target="https://drive.google.com/file/d/1ZWfEIeESWhBbyAW7KF0GZC2IocZ0mtVo/view?usp=sharing" TargetMode="External"/><Relationship Id="rId647" Type="http://schemas.openxmlformats.org/officeDocument/2006/relationships/hyperlink" Target="https://drive.google.com/file/d/1IGRljdgzt8aoTwiVs-612zhdAsnnfgcr/view?usp=drive_link" TargetMode="External"/><Relationship Id="rId889" Type="http://schemas.openxmlformats.org/officeDocument/2006/relationships/hyperlink" Target="https://drive.google.com/file/d/1XP6-cR_R-03Ed2biNTNmFD8sGsZ3zohT/view?usp=sharing" TargetMode="External"/><Relationship Id="rId880" Type="http://schemas.openxmlformats.org/officeDocument/2006/relationships/hyperlink" Target="https://drive.google.com/file/d/1N4ImCJhwUsq43QEsF-tfeX9rfOBacJ_t/view?usp=sharing" TargetMode="External"/><Relationship Id="rId400" Type="http://schemas.openxmlformats.org/officeDocument/2006/relationships/hyperlink" Target="https://drive.google.com/file/d/1agTF_nK1o5efhiMU74su64zIpRrUNW3s/view?usp=sharing" TargetMode="External"/><Relationship Id="rId642" Type="http://schemas.openxmlformats.org/officeDocument/2006/relationships/hyperlink" Target="https://drive.google.com/file/d/1sA9kG816DQcS2PpL8g3zRiZohEiO8KsA/view?usp=sharing" TargetMode="External"/><Relationship Id="rId884" Type="http://schemas.openxmlformats.org/officeDocument/2006/relationships/hyperlink" Target="https://drive.google.com/file/d/17uygWzvJMSehbCUoOb4UwbGKa76hpL9S/view?usp=sharing" TargetMode="External"/><Relationship Id="rId641" Type="http://schemas.openxmlformats.org/officeDocument/2006/relationships/hyperlink" Target="https://drive.google.com/file/d/1GzJMGxip0XzxCifiZNTsH59bvLQMsLly/view?usp=sharing" TargetMode="External"/><Relationship Id="rId883" Type="http://schemas.openxmlformats.org/officeDocument/2006/relationships/hyperlink" Target="https://drive.google.com/file/d/13hx6YvSzx4nxUyuSClBc_C-Jn574O3jZ/view?usp=sharing" TargetMode="External"/><Relationship Id="rId640" Type="http://schemas.openxmlformats.org/officeDocument/2006/relationships/hyperlink" Target="https://drive.google.com/file/d/1SOWsEYQn9edSMmoCukeFsj-OE06OjrHV/view?usp=sharing" TargetMode="External"/><Relationship Id="rId882" Type="http://schemas.openxmlformats.org/officeDocument/2006/relationships/hyperlink" Target="https://drive.google.com/file/d/15pgkC5WDfDN_APcPxtUHlozf-nHwrLPw/view?usp=sharing" TargetMode="External"/><Relationship Id="rId881" Type="http://schemas.openxmlformats.org/officeDocument/2006/relationships/hyperlink" Target="https://drive.google.com/file/d/1e_CX620ti3OO8R4dIpklCRusEUv75Ztx/view?usp=sharing" TargetMode="External"/><Relationship Id="rId635" Type="http://schemas.openxmlformats.org/officeDocument/2006/relationships/hyperlink" Target="https://drive.google.com/file/d/1esvvjkeGVYU4B7P1-wXgG-IrFms-AYc4/view?usp=drive_link" TargetMode="External"/><Relationship Id="rId877" Type="http://schemas.openxmlformats.org/officeDocument/2006/relationships/hyperlink" Target="https://drive.google.com/file/d/1IxGLk0QeQiyytDZToJvntq5mzmwirnLy/view?usp=sharing" TargetMode="External"/><Relationship Id="rId634" Type="http://schemas.openxmlformats.org/officeDocument/2006/relationships/hyperlink" Target="https://drive.google.com/file/d/1kf99Kl9P9uujF_aWgDBZZQSLhBcrP4PU/view?usp=sharing" TargetMode="External"/><Relationship Id="rId876" Type="http://schemas.openxmlformats.org/officeDocument/2006/relationships/hyperlink" Target="https://drive.google.com/file/d/1btHEMUXfV9-I5wMBDu7Rdyox5M25Zb6i/view?usp=sharing" TargetMode="External"/><Relationship Id="rId633" Type="http://schemas.openxmlformats.org/officeDocument/2006/relationships/hyperlink" Target="https://drive.google.com/file/d/1MUu-hk_QXlkox0mQQ4W-TXTe-FIK1dTF/view?usp=drive_link" TargetMode="External"/><Relationship Id="rId875" Type="http://schemas.openxmlformats.org/officeDocument/2006/relationships/hyperlink" Target="https://drive.google.com/file/d/1Uf6qm2TBuZ83wQD9z4jstDd1fjMKohmI/view?usp=sharing" TargetMode="External"/><Relationship Id="rId632" Type="http://schemas.openxmlformats.org/officeDocument/2006/relationships/hyperlink" Target="https://drive.google.com/file/d/1bfKcrzxuZs452SnG8sTd9F4AZ5mpH5Ng/view?usp=drive_link" TargetMode="External"/><Relationship Id="rId874" Type="http://schemas.openxmlformats.org/officeDocument/2006/relationships/hyperlink" Target="https://drive.google.com/file/d/1ufhg3-YJO4loKoaT-vrdyQZ8jMCbOWMr/view?usp=sharing" TargetMode="External"/><Relationship Id="rId639" Type="http://schemas.openxmlformats.org/officeDocument/2006/relationships/hyperlink" Target="https://drive.google.com/file/d/1spFp_sXqKoQo3Phvk0FArESEhB6DINPx/view?usp=drive_link" TargetMode="External"/><Relationship Id="rId638" Type="http://schemas.openxmlformats.org/officeDocument/2006/relationships/hyperlink" Target="https://drive.google.com/file/d/1cugP1ZpEU0NEKODjdjo_gu_orwuoGR1l/view?usp=sharing" TargetMode="External"/><Relationship Id="rId637" Type="http://schemas.openxmlformats.org/officeDocument/2006/relationships/hyperlink" Target="https://drive.google.com/file/d/16wGnEzgmv0I41vqEy4r_u3MRe1Y_Cb8p/view?usp=drive_link" TargetMode="External"/><Relationship Id="rId879" Type="http://schemas.openxmlformats.org/officeDocument/2006/relationships/hyperlink" Target="https://drive.google.com/file/d/1mvBcx0mUjp9NJToBih4XZxM1d5JConf8/view?usp=sharing" TargetMode="External"/><Relationship Id="rId636" Type="http://schemas.openxmlformats.org/officeDocument/2006/relationships/hyperlink" Target="https://drive.google.com/file/d/11vOa4nzXxPT2yixHPFfgZpKQ0xsE3bqw/view?usp=drive_link" TargetMode="External"/><Relationship Id="rId878" Type="http://schemas.openxmlformats.org/officeDocument/2006/relationships/hyperlink" Target="https://drive.google.com/file/d/16o7GSyfYAJovOzz7XzVp08PQL25S4GoK/view?usp=sharing" TargetMode="External"/><Relationship Id="rId631" Type="http://schemas.openxmlformats.org/officeDocument/2006/relationships/hyperlink" Target="https://drive.google.com/file/d/1w_OnFHxT7XEpzdqHj48BZ4wIIpClfcBq/view?usp=sharing" TargetMode="External"/><Relationship Id="rId873" Type="http://schemas.openxmlformats.org/officeDocument/2006/relationships/hyperlink" Target="https://drive.google.com/file/d/15WrjnOc_-TRyuirgJgU5bnVjuSklEd7w/view?usp=sharing" TargetMode="External"/><Relationship Id="rId630" Type="http://schemas.openxmlformats.org/officeDocument/2006/relationships/hyperlink" Target="https://drive.google.com/file/d/1IHaxCJ52uFyjyH9XEcLpO3sUYXXzuoHD/view?usp=drive_link" TargetMode="External"/><Relationship Id="rId872" Type="http://schemas.openxmlformats.org/officeDocument/2006/relationships/hyperlink" Target="https://drive.google.com/file/d/1slG_0mz2I5ieEXUdMVufPgfB1LDD9os2/view?usp=sharing" TargetMode="External"/><Relationship Id="rId871" Type="http://schemas.openxmlformats.org/officeDocument/2006/relationships/hyperlink" Target="https://drive.google.com/file/d/1mzDg8R4x8zKP-6NgHgnsmv_4F1UsPCn5/view?usp=drive_link" TargetMode="External"/><Relationship Id="rId870" Type="http://schemas.openxmlformats.org/officeDocument/2006/relationships/hyperlink" Target="https://drive.google.com/file/d/11_rl_3E88Ix64gx8vIcb-PA_PBbjk9y1/view?usp=sharing" TargetMode="External"/><Relationship Id="rId829" Type="http://schemas.openxmlformats.org/officeDocument/2006/relationships/hyperlink" Target="https://drive.google.com/file/d/1HsQCHeebEaB7E6VsS_SNssZQvBn-HFI2/view?usp=sharing" TargetMode="External"/><Relationship Id="rId828" Type="http://schemas.openxmlformats.org/officeDocument/2006/relationships/hyperlink" Target="https://drive.google.com/file/d/14yORm0pkA6hoj8FAGLrLlztIuDYPogv6/view?usp=sharing" TargetMode="External"/><Relationship Id="rId827" Type="http://schemas.openxmlformats.org/officeDocument/2006/relationships/hyperlink" Target="https://drive.google.com/file/d/15C1Jc47W_T1pthEfuSVD3TYwixpDyeLS/view?usp=sharing" TargetMode="External"/><Relationship Id="rId822" Type="http://schemas.openxmlformats.org/officeDocument/2006/relationships/hyperlink" Target="https://drive.google.com/file/d/1J32YeJmwdYtNgZfTaFUExiL82FRJt4Mo/view?usp=sharing" TargetMode="External"/><Relationship Id="rId821" Type="http://schemas.openxmlformats.org/officeDocument/2006/relationships/hyperlink" Target="https://drive.google.com/file/d/1TyibhPr0llhZlD3G3BHIhpkZbu1qYvVJ/view?usp=drive_link" TargetMode="External"/><Relationship Id="rId820" Type="http://schemas.openxmlformats.org/officeDocument/2006/relationships/hyperlink" Target="https://drive.google.com/file/d/1BOTCkH0nZ36SHnkEysnsV1aRM6mTnmxL/view?usp=drive_link" TargetMode="External"/><Relationship Id="rId826" Type="http://schemas.openxmlformats.org/officeDocument/2006/relationships/hyperlink" Target="https://drive.google.com/file/d/19CKHOlE25BEuxGsW7hRxoaZ9uM1EyWA4/view?usp=sharing" TargetMode="External"/><Relationship Id="rId825" Type="http://schemas.openxmlformats.org/officeDocument/2006/relationships/hyperlink" Target="https://drive.google.com/file/d/1ThmRFae7vGDn9huEmroYjH7xR_yxsvbQ/view?usp=sharing" TargetMode="External"/><Relationship Id="rId824" Type="http://schemas.openxmlformats.org/officeDocument/2006/relationships/hyperlink" Target="https://drive.google.com/file/d/1tfJz7XXtCBIXBtl8KWXxG8sbsE9Cu-FE/view?usp=sharing" TargetMode="External"/><Relationship Id="rId823" Type="http://schemas.openxmlformats.org/officeDocument/2006/relationships/hyperlink" Target="https://drive.google.com/file/d/1oIYN8ukLm5JQDEsLzO18_VGviMR0lq9D/view?usp=sharing" TargetMode="External"/><Relationship Id="rId819" Type="http://schemas.openxmlformats.org/officeDocument/2006/relationships/hyperlink" Target="https://drive.google.com/file/d/1hSvzPIx1yj9rhOyNy26rr0mGXtOdUy8Q/view?usp=sharing" TargetMode="External"/><Relationship Id="rId818" Type="http://schemas.openxmlformats.org/officeDocument/2006/relationships/hyperlink" Target="https://drive.google.com/file/d/1rJVZ-rVxRP7q5zcrlLnqbfyz-X9H7gj-/view?usp=sharing" TargetMode="External"/><Relationship Id="rId817" Type="http://schemas.openxmlformats.org/officeDocument/2006/relationships/hyperlink" Target="https://drive.google.com/file/d/1ASZ0qQGMrNLe32FT0Gj_rFvRfm2Op4TN/view?usp=sharing" TargetMode="External"/><Relationship Id="rId816" Type="http://schemas.openxmlformats.org/officeDocument/2006/relationships/hyperlink" Target="https://drive.google.com/file/d/1FMRng7tCVczGteGC3DxWNHFRzuSEerrk/view?usp=sharing" TargetMode="External"/><Relationship Id="rId811" Type="http://schemas.openxmlformats.org/officeDocument/2006/relationships/hyperlink" Target="https://drive.google.com/file/d/10ZLz5enP1nXZkrD-NYosKSKmkpGIa8ag/view?usp=sharing" TargetMode="External"/><Relationship Id="rId810" Type="http://schemas.openxmlformats.org/officeDocument/2006/relationships/hyperlink" Target="https://drive.google.com/file/d/1Mky4WoxzqYAyA2V3S6H43QQvSyv9mHsf/view?usp=sharing" TargetMode="External"/><Relationship Id="rId815" Type="http://schemas.openxmlformats.org/officeDocument/2006/relationships/hyperlink" Target="https://drive.google.com/file/d/1V8IHsMcIXkNHoTX1f0Ihhw_y0GrGtIVH/view?usp=sharing" TargetMode="External"/><Relationship Id="rId814" Type="http://schemas.openxmlformats.org/officeDocument/2006/relationships/hyperlink" Target="https://drive.google.com/file/d/1m2tXGlvzdIbbmZHj-5qx4mXRmMQ8JaRh/view?usp=sharing" TargetMode="External"/><Relationship Id="rId813" Type="http://schemas.openxmlformats.org/officeDocument/2006/relationships/hyperlink" Target="https://drive.google.com/file/d/1hKcoSoqgIOz3O54kOv0TGJKC9WCLSUVQ/view?usp=sharing" TargetMode="External"/><Relationship Id="rId812" Type="http://schemas.openxmlformats.org/officeDocument/2006/relationships/hyperlink" Target="https://drive.google.com/file/d/1sf_NywOOMTc-YuFzIRnYtgMZbIn-Xkwz/view?usp=sharing" TargetMode="External"/><Relationship Id="rId609" Type="http://schemas.openxmlformats.org/officeDocument/2006/relationships/hyperlink" Target="https://drive.google.com/file/d/1Srq-vhiWE4VTlZBNk4JCMd4DMYVRM4N5/view?usp=sharing" TargetMode="External"/><Relationship Id="rId608" Type="http://schemas.openxmlformats.org/officeDocument/2006/relationships/hyperlink" Target="https://drive.google.com/file/d/1u2cz5xYf0IWVkRwE4OOYbZv8T4YNQB5Z/view?usp=sharing" TargetMode="External"/><Relationship Id="rId607" Type="http://schemas.openxmlformats.org/officeDocument/2006/relationships/hyperlink" Target="https://drive.google.com/file/d/1e7oGtp2lMO6Rp3SbL1tKNyE5_hHhzXkb/view?usp=drive_link" TargetMode="External"/><Relationship Id="rId849" Type="http://schemas.openxmlformats.org/officeDocument/2006/relationships/hyperlink" Target="https://drive.google.com/file/d/14LXhOdRljxjkOwkdkhglkpMM2NlZhyUw/view?usp=sharing" TargetMode="External"/><Relationship Id="rId602" Type="http://schemas.openxmlformats.org/officeDocument/2006/relationships/hyperlink" Target="https://drive.google.com/file/d/1mlJbVWuhdKTfiXOoNDm--Zko5FGhBx7i/view?usp=sharing" TargetMode="External"/><Relationship Id="rId844" Type="http://schemas.openxmlformats.org/officeDocument/2006/relationships/hyperlink" Target="https://drive.google.com/file/d/1LUipzUcjr87BSfej_8ZHHRaWvn7mydwh/view?usp=sharing" TargetMode="External"/><Relationship Id="rId601" Type="http://schemas.openxmlformats.org/officeDocument/2006/relationships/hyperlink" Target="https://drive.google.com/file/d/1uxHHJak0Ent8xgO0bp2FQjIKRXefo4PH/view?usp=sharing" TargetMode="External"/><Relationship Id="rId843" Type="http://schemas.openxmlformats.org/officeDocument/2006/relationships/hyperlink" Target="https://drive.google.com/file/d/1pvapmKkDhMw4u4HYr2pEHr_Gs2K8TgRy/view?usp=drive_link" TargetMode="External"/><Relationship Id="rId600" Type="http://schemas.openxmlformats.org/officeDocument/2006/relationships/hyperlink" Target="https://drive.google.com/file/d/1FGhScfHzqJ8J5Fi8s8BqLGVFwQ0KkCqg/view?usp=sharing" TargetMode="External"/><Relationship Id="rId842" Type="http://schemas.openxmlformats.org/officeDocument/2006/relationships/hyperlink" Target="https://drive.google.com/file/d/1ix4lmBxHEtBbwhEHY51MRgoxvKdllpPL/view?usp=sharing" TargetMode="External"/><Relationship Id="rId841" Type="http://schemas.openxmlformats.org/officeDocument/2006/relationships/hyperlink" Target="https://drive.google.com/file/d/1tjCrUz4SYIoWNHyz-_6Xo0VWmQ1g4OIK/view?usp=sharing" TargetMode="External"/><Relationship Id="rId606" Type="http://schemas.openxmlformats.org/officeDocument/2006/relationships/hyperlink" Target="https://drive.google.com/file/d/1awvk_48kVAipuqd4w4zwX-h26fEhv64y/view?usp=sharing" TargetMode="External"/><Relationship Id="rId848" Type="http://schemas.openxmlformats.org/officeDocument/2006/relationships/hyperlink" Target="https://drive.google.com/file/d/1gy1nnX8bsP94xhO4_u4VnnwH0fR81MUj/view?usp=drive_link" TargetMode="External"/><Relationship Id="rId605" Type="http://schemas.openxmlformats.org/officeDocument/2006/relationships/hyperlink" Target="https://drive.google.com/file/d/1Vyy0FmaJ34sQHUrulPH6CtlOPqb7FWZs/view?usp=drive_link" TargetMode="External"/><Relationship Id="rId847" Type="http://schemas.openxmlformats.org/officeDocument/2006/relationships/hyperlink" Target="https://drive.google.com/file/d/1GDVjBHvFQ3TvBfX4wEdczDZgzEdJe_zh/view?usp=sharing" TargetMode="External"/><Relationship Id="rId604" Type="http://schemas.openxmlformats.org/officeDocument/2006/relationships/hyperlink" Target="https://drive.google.com/file/d/1VfvCM7Ov86Os3RdihrweJ4uisqWK4C8B/view?usp=sharing" TargetMode="External"/><Relationship Id="rId846" Type="http://schemas.openxmlformats.org/officeDocument/2006/relationships/hyperlink" Target="https://drive.google.com/file/d/1UN7WuOyI5DziZHLGjVJOLm-Rti-70_Oc/view?usp=sharing" TargetMode="External"/><Relationship Id="rId603" Type="http://schemas.openxmlformats.org/officeDocument/2006/relationships/hyperlink" Target="https://drive.google.com/file/d/1bDL9hMXupsRri4HsD9naDg3jth6we34R/view?usp=drive_link" TargetMode="External"/><Relationship Id="rId845" Type="http://schemas.openxmlformats.org/officeDocument/2006/relationships/hyperlink" Target="https://drive.google.com/file/d/1Xt76bEMI4D49cbSvUKpTDIu-kkgh_Ft6/view?usp=drive_link" TargetMode="External"/><Relationship Id="rId840" Type="http://schemas.openxmlformats.org/officeDocument/2006/relationships/hyperlink" Target="https://drive.google.com/file/d/1FPFBG3FxYY-uHij_FKCr8yKb7gOtASr-/view?usp=drive_link" TargetMode="External"/><Relationship Id="rId839" Type="http://schemas.openxmlformats.org/officeDocument/2006/relationships/hyperlink" Target="https://drive.google.com/file/d/1BdpK2W98QNiI26wznQSHlwiWiLEg7RQW/view?usp=drive_link" TargetMode="External"/><Relationship Id="rId838" Type="http://schemas.openxmlformats.org/officeDocument/2006/relationships/hyperlink" Target="https://drive.google.com/file/d/1iByDLuAH-cY0YjmZ0VnMhwUTZyiZBVKU/view?usp=drive_link" TargetMode="External"/><Relationship Id="rId833" Type="http://schemas.openxmlformats.org/officeDocument/2006/relationships/hyperlink" Target="https://drive.google.com/file/d/1ado3TgF4kewHgAQa_xDDN2y4tF1jmfh3/view?usp=drive_link" TargetMode="External"/><Relationship Id="rId832" Type="http://schemas.openxmlformats.org/officeDocument/2006/relationships/hyperlink" Target="https://drive.google.com/file/d/1KzSE0UxIGlgorsXNuwM20WEnh6dfbY5P/view?usp=sharing" TargetMode="External"/><Relationship Id="rId831" Type="http://schemas.openxmlformats.org/officeDocument/2006/relationships/hyperlink" Target="https://drive.google.com/file/d/1zXKKNU4u8eoVE88gLQfj37bn-FeR9o9J/view?usp=drive_link" TargetMode="External"/><Relationship Id="rId830" Type="http://schemas.openxmlformats.org/officeDocument/2006/relationships/hyperlink" Target="https://drive.google.com/file/d/1gdhPYUzvwPnMmsUTKS8V_y9ZRPXYTVtb/view?usp=sharing" TargetMode="External"/><Relationship Id="rId837" Type="http://schemas.openxmlformats.org/officeDocument/2006/relationships/hyperlink" Target="https://drive.google.com/file/d/1XBMgc3Y-oUY7fbqe5CymmyCsQ8uRsj1E/view?usp=drive_link" TargetMode="External"/><Relationship Id="rId836" Type="http://schemas.openxmlformats.org/officeDocument/2006/relationships/hyperlink" Target="https://drive.google.com/file/d/1_XCHn4os3UEOS5W02al0eQ9vSJ58l0D_/view?usp=sharing" TargetMode="External"/><Relationship Id="rId835" Type="http://schemas.openxmlformats.org/officeDocument/2006/relationships/hyperlink" Target="https://drive.google.com/file/d/1CqA_St75F4xLf3AMMPgNl7AUxamVOWiv/view?usp=sharing" TargetMode="External"/><Relationship Id="rId834" Type="http://schemas.openxmlformats.org/officeDocument/2006/relationships/hyperlink" Target="https://drive.google.com/file/d/10Y_15zSmHeYo4VwnpXNefXNeoP7sxz0o/view?usp=drive_link" TargetMode="External"/><Relationship Id="rId1059" Type="http://schemas.openxmlformats.org/officeDocument/2006/relationships/hyperlink" Target="https://drive.google.com/file/d/11wi3oXJ1NW2rwYrj-sQvWq3rgYhd9C9q/view?usp=sharing" TargetMode="External"/><Relationship Id="rId228" Type="http://schemas.openxmlformats.org/officeDocument/2006/relationships/hyperlink" Target="https://drive.google.com/file/d/1Dq9Mlq8WFPPRDJWY_rBfMGpM2Gpw7CcO/view?usp=sharing" TargetMode="External"/><Relationship Id="rId227" Type="http://schemas.openxmlformats.org/officeDocument/2006/relationships/hyperlink" Target="https://drive.google.com/file/d/15x_FTQz6oiHFdwZJGx9cyZjzL0hzpyD4/view?usp=sharing" TargetMode="External"/><Relationship Id="rId469" Type="http://schemas.openxmlformats.org/officeDocument/2006/relationships/hyperlink" Target="https://drive.google.com/file/d/1nmVBmKJcMni_b_NYHYvVtV_KzWQ4As76/view?usp=sharing" TargetMode="External"/><Relationship Id="rId226" Type="http://schemas.openxmlformats.org/officeDocument/2006/relationships/hyperlink" Target="https://drive.google.com/file/d/1mXDhbEq0bj5N0C_844NgoQOlabj6VfXy/view?usp=drive_link" TargetMode="External"/><Relationship Id="rId468" Type="http://schemas.openxmlformats.org/officeDocument/2006/relationships/hyperlink" Target="https://drive.google.com/file/d/1WLHCjh04ut9qwK2ad0-XHo_eW45YH1VX/view?usp=sharing" TargetMode="External"/><Relationship Id="rId225" Type="http://schemas.openxmlformats.org/officeDocument/2006/relationships/hyperlink" Target="https://drive.google.com/file/d/1Cuk441rRHWTYBGBPgoVoBB6jkqiGAHkW/view?usp=sharing" TargetMode="External"/><Relationship Id="rId467" Type="http://schemas.openxmlformats.org/officeDocument/2006/relationships/hyperlink" Target="https://drive.google.com/file/d/1vKq_JwsjTI70elSv-LYNerrJ9UIhZCSh/view?usp=sharing" TargetMode="External"/><Relationship Id="rId229" Type="http://schemas.openxmlformats.org/officeDocument/2006/relationships/hyperlink" Target="https://drive.google.com/file/d/1jVN6dhhpH_iP2Rd4P6eDXxv2wvfZPUY4/view?usp=sharing" TargetMode="External"/><Relationship Id="rId1050" Type="http://schemas.openxmlformats.org/officeDocument/2006/relationships/hyperlink" Target="https://drive.google.com/file/d/1_YBzIfChrPXcfmFLtBZy6tQNb_WpF-KG/view?usp=sharing" TargetMode="External"/><Relationship Id="rId220" Type="http://schemas.openxmlformats.org/officeDocument/2006/relationships/hyperlink" Target="https://drive.google.com/file/d/1mo7SEi7fa-Qv8omalwbRiDg7VEqf-pkr/view?usp=sharing" TargetMode="External"/><Relationship Id="rId462" Type="http://schemas.openxmlformats.org/officeDocument/2006/relationships/hyperlink" Target="https://drive.google.com/file/d/1xa3o3ZrKrRC1o6pSFbc9TxDPDYQ8ptA4/view?usp=sharing" TargetMode="External"/><Relationship Id="rId1051" Type="http://schemas.openxmlformats.org/officeDocument/2006/relationships/hyperlink" Target="https://drive.google.com/file/d/1Jir476lWGYRNDBy0uw_g-1-Iw_7TXhPk/view?usp=sharing" TargetMode="External"/><Relationship Id="rId461" Type="http://schemas.openxmlformats.org/officeDocument/2006/relationships/hyperlink" Target="https://drive.google.com/file/d/14kqXDnnb8dPIVjlrBWeWNRIGOrVo3IlQ/view?usp=sharing" TargetMode="External"/><Relationship Id="rId1052" Type="http://schemas.openxmlformats.org/officeDocument/2006/relationships/hyperlink" Target="https://drive.google.com/file/d/1qsAhq0navK6d_cz4cG7hY6nCWxhrLOZH/view?usp=sharing" TargetMode="External"/><Relationship Id="rId460" Type="http://schemas.openxmlformats.org/officeDocument/2006/relationships/hyperlink" Target="https://drive.google.com/file/d/12fNbwKPAZDdsQzY4XyI9-KSEIBllrErq/view?usp=sharing" TargetMode="External"/><Relationship Id="rId1053" Type="http://schemas.openxmlformats.org/officeDocument/2006/relationships/hyperlink" Target="https://drive.google.com/file/d/1mfPWweNvzC6EaLXVSGfncCr-Ghj_mvFc/view?usp=sharing" TargetMode="External"/><Relationship Id="rId1054" Type="http://schemas.openxmlformats.org/officeDocument/2006/relationships/hyperlink" Target="https://drive.google.com/file/d/1KB7eJ4xh7Ir1SVGe9oA34tkNlzb20Aio/view?usp=sharing" TargetMode="External"/><Relationship Id="rId224" Type="http://schemas.openxmlformats.org/officeDocument/2006/relationships/hyperlink" Target="https://drive.google.com/file/d/1VIANNPTTnQ9GdxPcDaQ-OS6fJeW7cygF/view?usp=sharing" TargetMode="External"/><Relationship Id="rId466" Type="http://schemas.openxmlformats.org/officeDocument/2006/relationships/hyperlink" Target="https://drive.google.com/file/d/1a4Z60ogu9ZWUp8lKL1YnimTTqolnq8BP/view?usp=sharing" TargetMode="External"/><Relationship Id="rId1055" Type="http://schemas.openxmlformats.org/officeDocument/2006/relationships/hyperlink" Target="https://drive.google.com/file/d/19kgmGPxrs_b4qgloeqYUkcx2HSdTZ6LF/view?usp=sharing" TargetMode="External"/><Relationship Id="rId223" Type="http://schemas.openxmlformats.org/officeDocument/2006/relationships/hyperlink" Target="https://drive.google.com/file/d/1G1An4F1H4ns8ACbY-woFuAq3s8Hnr-uT/view?usp=sharing" TargetMode="External"/><Relationship Id="rId465" Type="http://schemas.openxmlformats.org/officeDocument/2006/relationships/hyperlink" Target="https://drive.google.com/file/d/1x5N9jYx6PgH6ZKk8h__ym8emPhebf8wv/view?usp=sharing" TargetMode="External"/><Relationship Id="rId1056" Type="http://schemas.openxmlformats.org/officeDocument/2006/relationships/hyperlink" Target="https://drive.google.com/file/d/1V4Gv-Xggbb-QLTiSrg8BwRTGeTO11krv/view?usp=sharing" TargetMode="External"/><Relationship Id="rId222" Type="http://schemas.openxmlformats.org/officeDocument/2006/relationships/hyperlink" Target="https://drive.google.com/file/d/1KfuUtVqWxEXvCqwIOTyKigsy2D9XwUGT/view?usp=sharing" TargetMode="External"/><Relationship Id="rId464" Type="http://schemas.openxmlformats.org/officeDocument/2006/relationships/hyperlink" Target="https://drive.google.com/file/d/1vOAOUbJF78e9og-ywSMjRwAqFSTcjx7q/view?usp=sharing" TargetMode="External"/><Relationship Id="rId1057" Type="http://schemas.openxmlformats.org/officeDocument/2006/relationships/hyperlink" Target="https://drive.google.com/file/d/1S-qjdPQq_n6VPf7gHKf-z29DizUDd5l9/view?usp=sharing" TargetMode="External"/><Relationship Id="rId221" Type="http://schemas.openxmlformats.org/officeDocument/2006/relationships/hyperlink" Target="https://drive.google.com/file/d/16jmfFuNEIXll_XaQwSerHlQe02lV6kiH/view?usp=sharing" TargetMode="External"/><Relationship Id="rId463" Type="http://schemas.openxmlformats.org/officeDocument/2006/relationships/hyperlink" Target="https://drive.google.com/file/d/1Brgigg-nDJsELe7ZpvhtWY4Bc7gX-LpU/view?usp=sharing" TargetMode="External"/><Relationship Id="rId1058" Type="http://schemas.openxmlformats.org/officeDocument/2006/relationships/hyperlink" Target="https://drive.google.com/file/d/1fZchy7z3PFJKJ1J6pM3ybWdVFCthscd9/view?usp=sharing" TargetMode="External"/><Relationship Id="rId1048" Type="http://schemas.openxmlformats.org/officeDocument/2006/relationships/hyperlink" Target="https://drive.google.com/file/d/1DmnDJTE97sG1tUA4RnemzfeMf-ZQzZ4n/view?usp=sharing" TargetMode="External"/><Relationship Id="rId1049" Type="http://schemas.openxmlformats.org/officeDocument/2006/relationships/hyperlink" Target="https://drive.google.com/file/d/1TL1c3Vuni1J69Bqhj1-3Ld8W90__5H92/view?usp=sharing" TargetMode="External"/><Relationship Id="rId217" Type="http://schemas.openxmlformats.org/officeDocument/2006/relationships/hyperlink" Target="https://drive.google.com/file/d/1mAIDA2E6OFkacP_Iq3jt2lWUWef1k3R5/view?usp=sharing" TargetMode="External"/><Relationship Id="rId459" Type="http://schemas.openxmlformats.org/officeDocument/2006/relationships/hyperlink" Target="https://drive.google.com/file/d/16YhBlhqottHZSj99g1jPC4bGewLuJ2Ib/view?usp=sharing" TargetMode="External"/><Relationship Id="rId216" Type="http://schemas.openxmlformats.org/officeDocument/2006/relationships/hyperlink" Target="https://drive.google.com/file/d/1z2OIzJokMYgE8CP5_PT4ZWIjnLuDQp7d/view?usp=sharing" TargetMode="External"/><Relationship Id="rId458" Type="http://schemas.openxmlformats.org/officeDocument/2006/relationships/hyperlink" Target="https://drive.google.com/file/d/1urzJl-R2RelDPs2iHTRw1ZjGKxAZOaj0/view?usp=sharing" TargetMode="External"/><Relationship Id="rId215" Type="http://schemas.openxmlformats.org/officeDocument/2006/relationships/hyperlink" Target="https://drive.google.com/file/d/1nUClMmNYmxNVss_9nj5uxIizxCB3DG8K/view?usp=sharing" TargetMode="External"/><Relationship Id="rId457" Type="http://schemas.openxmlformats.org/officeDocument/2006/relationships/hyperlink" Target="https://drive.google.com/file/d/1g8xGn6ENlLRFRxMt9IAK8HnAF8XFGtwQ/view?usp=sharing" TargetMode="External"/><Relationship Id="rId699" Type="http://schemas.openxmlformats.org/officeDocument/2006/relationships/hyperlink" Target="https://drive.google.com/file/d/15IMqPoC_57hI6nlbgVxmbOvBqmm2zsKf/view?usp=sharing" TargetMode="External"/><Relationship Id="rId214" Type="http://schemas.openxmlformats.org/officeDocument/2006/relationships/hyperlink" Target="https://drive.google.com/file/d/1t9XIIyJNgCPjbeZM3WD_2edMXcdeGAh5/view?usp=sharing" TargetMode="External"/><Relationship Id="rId456" Type="http://schemas.openxmlformats.org/officeDocument/2006/relationships/hyperlink" Target="https://drive.google.com/file/d/1gST07_PrzHuHV3jPyxl85HUFcELKRbPq/view?usp=sharing" TargetMode="External"/><Relationship Id="rId698" Type="http://schemas.openxmlformats.org/officeDocument/2006/relationships/hyperlink" Target="https://drive.google.com/file/d/1EUhF67b2oZsJwKDgw5QgIoYnfz7MdRUr/view?usp=drive_link" TargetMode="External"/><Relationship Id="rId219" Type="http://schemas.openxmlformats.org/officeDocument/2006/relationships/hyperlink" Target="https://drive.google.com/file/d/1GHwMrVPl_pDZnHOA8cp86PXXrddEsmD-/view?usp=sharing" TargetMode="External"/><Relationship Id="rId218" Type="http://schemas.openxmlformats.org/officeDocument/2006/relationships/hyperlink" Target="https://drive.google.com/file/d/1fRG1qVuPpz2zc0oiiYXKWe-tC2JH8NLH/view?usp=sharing" TargetMode="External"/><Relationship Id="rId451" Type="http://schemas.openxmlformats.org/officeDocument/2006/relationships/hyperlink" Target="https://drive.google.com/file/d/1IE-KCpv-4AHP2ecWCNPxZlqWGO0BEAfT/view?usp=sharing" TargetMode="External"/><Relationship Id="rId693" Type="http://schemas.openxmlformats.org/officeDocument/2006/relationships/hyperlink" Target="https://drive.google.com/file/d/1x4RDcDoZUno-gXV3HHBHwFtmw6dUwsg-/view?usp=sharing" TargetMode="External"/><Relationship Id="rId1040" Type="http://schemas.openxmlformats.org/officeDocument/2006/relationships/hyperlink" Target="https://drive.google.com/file/d/1QQ5wOpoknYWNaRSoJc0ERWIEr5h4CB_h/view?usp=sharing" TargetMode="External"/><Relationship Id="rId450" Type="http://schemas.openxmlformats.org/officeDocument/2006/relationships/hyperlink" Target="https://drive.google.com/file/d/1VtZwSko9mVmv5E4WGH09f7uiKebeSTfK/view?usp=sharing" TargetMode="External"/><Relationship Id="rId692" Type="http://schemas.openxmlformats.org/officeDocument/2006/relationships/hyperlink" Target="https://drive.google.com/file/d/1JqRggqMotn1u4sJ3XJEWo_XFrLMBJTeP/view?usp=sharing" TargetMode="External"/><Relationship Id="rId1041" Type="http://schemas.openxmlformats.org/officeDocument/2006/relationships/hyperlink" Target="https://drive.google.com/file/d/1iJh3WIlHu00by5wAtuWWQMieqeW20vVc/view?usp=sharing" TargetMode="External"/><Relationship Id="rId691" Type="http://schemas.openxmlformats.org/officeDocument/2006/relationships/hyperlink" Target="https://drive.google.com/file/d/1JEXGxL0x9hiNl4QZkrQNDCX_Y3xfMhjV/view?usp=sharing" TargetMode="External"/><Relationship Id="rId1042" Type="http://schemas.openxmlformats.org/officeDocument/2006/relationships/hyperlink" Target="https://drive.google.com/file/d/1PZYq995qVxzj8Uit8REmt0_u9fDT2J7L/view?usp=sharing" TargetMode="External"/><Relationship Id="rId690" Type="http://schemas.openxmlformats.org/officeDocument/2006/relationships/hyperlink" Target="https://drive.google.com/file/d/1v79Wq8eyTR6n5KWYMqy5w0OeKkeWFZyu/view?usp=drive_link" TargetMode="External"/><Relationship Id="rId1043" Type="http://schemas.openxmlformats.org/officeDocument/2006/relationships/hyperlink" Target="https://drive.google.com/file/d/1IZVenOIspxrmmUbmGter2A8vuDRfGVfY/view?usp=sharing" TargetMode="External"/><Relationship Id="rId213" Type="http://schemas.openxmlformats.org/officeDocument/2006/relationships/hyperlink" Target="https://drive.google.com/file/d/1kqz4qOSVshEGOeNd1pYE9_N7-fs3TGDA/view?usp=sharing" TargetMode="External"/><Relationship Id="rId455" Type="http://schemas.openxmlformats.org/officeDocument/2006/relationships/hyperlink" Target="https://drive.google.com/file/d/1UjnHWFnx6uWkcu2taxCDXg9JN6PTD5Kd/view?usp=sharing" TargetMode="External"/><Relationship Id="rId697" Type="http://schemas.openxmlformats.org/officeDocument/2006/relationships/hyperlink" Target="https://drive.google.com/file/d/1PRFI9RPByVnyZwIdbvlrH7ynZlMnYQSG/view?usp=sharing" TargetMode="External"/><Relationship Id="rId1044" Type="http://schemas.openxmlformats.org/officeDocument/2006/relationships/hyperlink" Target="https://drive.google.com/file/d/1uYBz3WlaBlaBo738QiT1bQYyr1TSvLpe/view?usp=sharing" TargetMode="External"/><Relationship Id="rId212" Type="http://schemas.openxmlformats.org/officeDocument/2006/relationships/hyperlink" Target="https://drive.google.com/file/d/1QPF2U2j9xLh_2XQSsefH2IyVGDxHr8d-/view?usp=drive_link" TargetMode="External"/><Relationship Id="rId454" Type="http://schemas.openxmlformats.org/officeDocument/2006/relationships/hyperlink" Target="https://drive.google.com/file/d/1rDV8Dpi-5lxyDsJ0P-2sn1eo_vC1TC-R/view?usp=sharing" TargetMode="External"/><Relationship Id="rId696" Type="http://schemas.openxmlformats.org/officeDocument/2006/relationships/hyperlink" Target="https://drive.google.com/file/d/1PegDtptT-COWNdaiQ12bsGKEPjY1l_OL/view?usp=drive_link" TargetMode="External"/><Relationship Id="rId1045" Type="http://schemas.openxmlformats.org/officeDocument/2006/relationships/hyperlink" Target="https://drive.google.com/file/d/1x4T6fmp86jQbmV9JyW2m42eSisbrYU70/view?usp=sharing" TargetMode="External"/><Relationship Id="rId211" Type="http://schemas.openxmlformats.org/officeDocument/2006/relationships/hyperlink" Target="https://drive.google.com/file/d/16534rJT5LhStTFUy4WbpEUOaeEgRU4_N/view?usp=sharing" TargetMode="External"/><Relationship Id="rId453" Type="http://schemas.openxmlformats.org/officeDocument/2006/relationships/hyperlink" Target="https://drive.google.com/file/d/1SUQKo7LFc2TUkVfYhiy5FL-XEDX7Xbi3/view?usp=sharing" TargetMode="External"/><Relationship Id="rId695" Type="http://schemas.openxmlformats.org/officeDocument/2006/relationships/hyperlink" Target="https://drive.google.com/file/d/1hUUIrdcM0eVM0y-cl_M69c7CSkKQol3i/view?usp=sharing" TargetMode="External"/><Relationship Id="rId1046" Type="http://schemas.openxmlformats.org/officeDocument/2006/relationships/hyperlink" Target="https://drive.google.com/file/d/1uCmBAZBXkheNwRXGZ8TMf13UVlhcZV9c/view?usp=sharing" TargetMode="External"/><Relationship Id="rId210" Type="http://schemas.openxmlformats.org/officeDocument/2006/relationships/hyperlink" Target="https://drive.google.com/file/d/1zez4fldSQ0dTdNn5rFuai39ZVfXgCb9O/view?usp=sharing" TargetMode="External"/><Relationship Id="rId452" Type="http://schemas.openxmlformats.org/officeDocument/2006/relationships/hyperlink" Target="https://drive.google.com/file/d/1pgi9uWt-TbcFu6ziSb2-EeWcQHeXnEK_/view?usp=sharing" TargetMode="External"/><Relationship Id="rId694" Type="http://schemas.openxmlformats.org/officeDocument/2006/relationships/hyperlink" Target="https://drive.google.com/file/d/1n62pMEgKWG0ztURYpfMcZA2KxqilWOAP/view?usp=drive_link" TargetMode="External"/><Relationship Id="rId1047" Type="http://schemas.openxmlformats.org/officeDocument/2006/relationships/hyperlink" Target="https://drive.google.com/file/d/1lOf3RbWS5RRJ3pGpZlx3yXPRg-UX_5KB/view?usp=sharing" TargetMode="External"/><Relationship Id="rId491" Type="http://schemas.openxmlformats.org/officeDocument/2006/relationships/hyperlink" Target="https://drive.google.com/file/d/1FThYjU8_TR8x1fTCLBZgRhsssheB_MxB/view?usp=sharing" TargetMode="External"/><Relationship Id="rId490" Type="http://schemas.openxmlformats.org/officeDocument/2006/relationships/hyperlink" Target="https://drive.google.com/file/d/1yHaqNgfedSpProOvj9nPfJ6rNs1gbejL/view?usp=sharing" TargetMode="External"/><Relationship Id="rId249" Type="http://schemas.openxmlformats.org/officeDocument/2006/relationships/hyperlink" Target="https://drive.google.com/file/d/1R755WRF-j3WxPMTMp5mbVWLkYXG1juDy/view?usp=sharing" TargetMode="External"/><Relationship Id="rId248" Type="http://schemas.openxmlformats.org/officeDocument/2006/relationships/hyperlink" Target="https://drive.google.com/file/d/1aKcW0WUe_LtkEBzhXEQ6xr6y0Ouy3T6v/view?usp=sharing" TargetMode="External"/><Relationship Id="rId247" Type="http://schemas.openxmlformats.org/officeDocument/2006/relationships/hyperlink" Target="https://drive.google.com/file/d/1VpZ1C4W1t-hQCb-y4dYdONw2hbfs5AoS/view?usp=sharing" TargetMode="External"/><Relationship Id="rId489" Type="http://schemas.openxmlformats.org/officeDocument/2006/relationships/hyperlink" Target="https://drive.google.com/file/d/1T7EvC7BK5cbqC2QiJ0NZM1DxucEvVO5y/view?usp=sharing" TargetMode="External"/><Relationship Id="rId1070" Type="http://schemas.openxmlformats.org/officeDocument/2006/relationships/hyperlink" Target="https://drive.google.com/file/d/1bv3TQz72fGp-TqQdHIAfbC1Wk99JX_HB/view?usp=sharing" TargetMode="External"/><Relationship Id="rId1071" Type="http://schemas.openxmlformats.org/officeDocument/2006/relationships/hyperlink" Target="https://drive.google.com/file/d/1JrnD8PB4fhEnfbRnFEGXH2KHP6oobvAL/view?usp=sharing" TargetMode="External"/><Relationship Id="rId1072" Type="http://schemas.openxmlformats.org/officeDocument/2006/relationships/hyperlink" Target="https://drive.google.com/file/d/1SFfjApk14Yxv4nV8O3FnT_R5EMlvQ0fz/view?usp=sharing" TargetMode="External"/><Relationship Id="rId242" Type="http://schemas.openxmlformats.org/officeDocument/2006/relationships/hyperlink" Target="https://drive.google.com/file/d/1gTLTaMC4gaue02zBtnaEqCkUgravuQVV/view?usp=sharing" TargetMode="External"/><Relationship Id="rId484" Type="http://schemas.openxmlformats.org/officeDocument/2006/relationships/hyperlink" Target="https://drive.google.com/file/d/1-eaEYn7eOtRFukYbepHy89ugf4Z8xm3S/view?usp=sharing" TargetMode="External"/><Relationship Id="rId1073" Type="http://schemas.openxmlformats.org/officeDocument/2006/relationships/hyperlink" Target="https://drive.google.com/file/d/1VY-CiTyP0vxfkV5nsL2nXDf41dz-0MfE/view?usp=sharing" TargetMode="External"/><Relationship Id="rId241" Type="http://schemas.openxmlformats.org/officeDocument/2006/relationships/hyperlink" Target="https://drive.google.com/file/d/1YRq_DnyPRNE_W3WzQ17UxnAqa4M7L96X/view?usp=sharing" TargetMode="External"/><Relationship Id="rId483" Type="http://schemas.openxmlformats.org/officeDocument/2006/relationships/hyperlink" Target="https://drive.google.com/file/d/1Hd4k03hh6FXQvf4C_ANJUrHKuI7v1t-i/view?usp=sharing" TargetMode="External"/><Relationship Id="rId1074" Type="http://schemas.openxmlformats.org/officeDocument/2006/relationships/hyperlink" Target="https://drive.google.com/file/d/1v2TtA9pRnArljcMRUlq1ki_2_ms1GmPg/view?usp=sharing" TargetMode="External"/><Relationship Id="rId240" Type="http://schemas.openxmlformats.org/officeDocument/2006/relationships/hyperlink" Target="https://drive.google.com/file/d/1duMBFCduc8YqM2UAIejO5DIK_DtMeTgy/view?usp=sharing" TargetMode="External"/><Relationship Id="rId482" Type="http://schemas.openxmlformats.org/officeDocument/2006/relationships/hyperlink" Target="https://drive.google.com/file/d/1rJCJHfvMvHyYLhgVD-aKFmGoDwRjoN3J/view?usp=sharing" TargetMode="External"/><Relationship Id="rId1075" Type="http://schemas.openxmlformats.org/officeDocument/2006/relationships/hyperlink" Target="https://drive.google.com/file/d/1Zx4ZvD8mmz3ifC55-FNCdscxImPr12_c/view?usp=sharing" TargetMode="External"/><Relationship Id="rId481" Type="http://schemas.openxmlformats.org/officeDocument/2006/relationships/hyperlink" Target="https://drive.google.com/file/d/15pj_Ye-iyMtFSnuAQEO5jAfEGk4NZ5mX/view?usp=sharing" TargetMode="External"/><Relationship Id="rId1076" Type="http://schemas.openxmlformats.org/officeDocument/2006/relationships/hyperlink" Target="https://drive.google.com/file/d/1DbHg5QG97Z68bUSXDuRnFP3J_gQZbZWp/view?usp=sharing" TargetMode="External"/><Relationship Id="rId246" Type="http://schemas.openxmlformats.org/officeDocument/2006/relationships/hyperlink" Target="https://drive.google.com/file/d/1q9l0TPA9vspHTM14hMzljZQ93Ckr7qBm/view?usp=sharing" TargetMode="External"/><Relationship Id="rId488" Type="http://schemas.openxmlformats.org/officeDocument/2006/relationships/hyperlink" Target="https://drive.google.com/file/d/1T69xoBOIsdVkcSueVyM7OIUQSAdD38ai/view?usp=sharing" TargetMode="External"/><Relationship Id="rId1077" Type="http://schemas.openxmlformats.org/officeDocument/2006/relationships/hyperlink" Target="https://drive.google.com/file/d/1t4I14TjahTEdFkiamjf58HOz9AHy0p_i/view?usp=sharing" TargetMode="External"/><Relationship Id="rId245" Type="http://schemas.openxmlformats.org/officeDocument/2006/relationships/hyperlink" Target="https://drive.google.com/file/d/19nbgd_v_Wp9rhxcA2kW3IWSi0HENY6J8/view?usp=sharing" TargetMode="External"/><Relationship Id="rId487" Type="http://schemas.openxmlformats.org/officeDocument/2006/relationships/hyperlink" Target="https://drive.google.com/file/d/1QTZMIXTE6W4wctb8EUVqpwpC2St_rh6K/view?usp=sharing" TargetMode="External"/><Relationship Id="rId1078" Type="http://schemas.openxmlformats.org/officeDocument/2006/relationships/hyperlink" Target="https://drive.google.com/file/d/1_Mu75kWtbzQrgOVk5cg6gCyf2HosaD4Q/view?usp=sharing" TargetMode="External"/><Relationship Id="rId244" Type="http://schemas.openxmlformats.org/officeDocument/2006/relationships/hyperlink" Target="https://drive.google.com/file/d/1WXYxWzPIMr_zJX1zK1AwzxuOd__jR8Vj/view?usp=sharing" TargetMode="External"/><Relationship Id="rId486" Type="http://schemas.openxmlformats.org/officeDocument/2006/relationships/hyperlink" Target="https://drive.google.com/file/d/1ycQMTv4xKZBtctJgDTNA22TeSLnopjgX/view?usp=sharing" TargetMode="External"/><Relationship Id="rId1079" Type="http://schemas.openxmlformats.org/officeDocument/2006/relationships/hyperlink" Target="https://drive.google.com/file/d/1mTrrhp-AVchPzazwAwkeIJbOigODQjV9/view?usp=sharing" TargetMode="External"/><Relationship Id="rId243" Type="http://schemas.openxmlformats.org/officeDocument/2006/relationships/hyperlink" Target="https://drive.google.com/file/d/1DMMFfazSrSTcSAICvqoKIBBaxhpbXFE8/view?usp=sharing" TargetMode="External"/><Relationship Id="rId485" Type="http://schemas.openxmlformats.org/officeDocument/2006/relationships/hyperlink" Target="https://drive.google.com/file/d/1T0xNrwcyIytqQdrfadvH5BPGH78wJnYh/view?usp=sharing" TargetMode="External"/><Relationship Id="rId480" Type="http://schemas.openxmlformats.org/officeDocument/2006/relationships/hyperlink" Target="https://drive.google.com/file/d/1Q0Bbv2IP63d_R1m7WIY8o0T0ZtGWYUQ-/view?usp=sharing" TargetMode="External"/><Relationship Id="rId239" Type="http://schemas.openxmlformats.org/officeDocument/2006/relationships/hyperlink" Target="https://drive.google.com/file/d/1k88kb-3vv0j4oITBR9aB2c0QTSo4WNPF/view?usp=sharing" TargetMode="External"/><Relationship Id="rId238" Type="http://schemas.openxmlformats.org/officeDocument/2006/relationships/hyperlink" Target="https://drive.google.com/file/d/1bWSAzqtIT32P6N0dJGz_bsHmVz_EsgWE/view?usp=drive_link" TargetMode="External"/><Relationship Id="rId237" Type="http://schemas.openxmlformats.org/officeDocument/2006/relationships/hyperlink" Target="https://drive.google.com/file/d/1y9Q0RVdb4DfRVPBn6woV0vxMZMis9MU8/view?usp=sharing" TargetMode="External"/><Relationship Id="rId479" Type="http://schemas.openxmlformats.org/officeDocument/2006/relationships/hyperlink" Target="https://drive.google.com/file/d/1N42eGMRmWzjYPYwyEF3AcDVsgOCPkG6O/view?usp=sharing" TargetMode="External"/><Relationship Id="rId236" Type="http://schemas.openxmlformats.org/officeDocument/2006/relationships/hyperlink" Target="https://drive.google.com/file/d/1oHY3g34GOrXGbxM2DQNh66kZ1_vHmaCE/view?usp=sharing" TargetMode="External"/><Relationship Id="rId478" Type="http://schemas.openxmlformats.org/officeDocument/2006/relationships/hyperlink" Target="https://drive.google.com/file/d/1rueRCKlQXkrljytwYywpQKaNUR4zDs_4/view?usp=sharing" TargetMode="External"/><Relationship Id="rId1060" Type="http://schemas.openxmlformats.org/officeDocument/2006/relationships/hyperlink" Target="https://drive.google.com/file/d/1o0qKKT8Hr05ByVaN8UP9y5AdgNv8e7Yh/view?usp=sharing" TargetMode="External"/><Relationship Id="rId1061" Type="http://schemas.openxmlformats.org/officeDocument/2006/relationships/hyperlink" Target="https://drive.google.com/file/d/1QtivF-xxm4doWJvDJKYMFFrYyokcTELU/view?usp=sharing" TargetMode="External"/><Relationship Id="rId231" Type="http://schemas.openxmlformats.org/officeDocument/2006/relationships/hyperlink" Target="https://drive.google.com/file/d/14wVZBUSRY-UWLw1VPcbnB7pqMWN5cDDP/view?usp=sharing" TargetMode="External"/><Relationship Id="rId473" Type="http://schemas.openxmlformats.org/officeDocument/2006/relationships/hyperlink" Target="https://drive.google.com/file/d/1DfcW4Z-vYGDWTkWfojb0njcVCNjFdMvB/view?usp=sharing" TargetMode="External"/><Relationship Id="rId1062" Type="http://schemas.openxmlformats.org/officeDocument/2006/relationships/hyperlink" Target="https://drive.google.com/file/d/1ud_jfuk__EpRK_oCbvheWCcCRtCj-iKE/view?usp=sharing" TargetMode="External"/><Relationship Id="rId230" Type="http://schemas.openxmlformats.org/officeDocument/2006/relationships/hyperlink" Target="https://drive.google.com/file/d/1Iie3lv81SsPuz75Gjj7E7HZ7rkoOL_MO/view?usp=sharing" TargetMode="External"/><Relationship Id="rId472" Type="http://schemas.openxmlformats.org/officeDocument/2006/relationships/hyperlink" Target="https://drive.google.com/file/d/1dknOtXV3yU6FlSnD_iTSKte8dv8O1y6C/view?usp=sharing" TargetMode="External"/><Relationship Id="rId1063" Type="http://schemas.openxmlformats.org/officeDocument/2006/relationships/hyperlink" Target="https://drive.google.com/file/d/11kBLgwLw6NKnG5G4F4n0KLVntUDX7Rx3/view?usp=sharing" TargetMode="External"/><Relationship Id="rId471" Type="http://schemas.openxmlformats.org/officeDocument/2006/relationships/hyperlink" Target="https://drive.google.com/file/d/1KXI3LYOqc5Weg-5P3XKwT9k-cEK-sXhu/view?usp=sharing" TargetMode="External"/><Relationship Id="rId1064" Type="http://schemas.openxmlformats.org/officeDocument/2006/relationships/hyperlink" Target="https://drive.google.com/file/d/1GhfA81Qn7eMTm3QdLNqTPWmFMYg8aQGG/view?usp=sharing" TargetMode="External"/><Relationship Id="rId470" Type="http://schemas.openxmlformats.org/officeDocument/2006/relationships/hyperlink" Target="https://drive.google.com/file/d/1HeKz4Jz41ErT_AOE8zh_YGXGh1UoIMGO/view?usp=sharing" TargetMode="External"/><Relationship Id="rId1065" Type="http://schemas.openxmlformats.org/officeDocument/2006/relationships/hyperlink" Target="https://drive.google.com/file/d/1-jvwgvChZxJ11BxQwZlrAs9iY5Dc2Nas/view?usp=sharing" TargetMode="External"/><Relationship Id="rId235" Type="http://schemas.openxmlformats.org/officeDocument/2006/relationships/hyperlink" Target="https://drive.google.com/file/d/1CBj0EX6_rxTHVVw8UnjKaSagZV0lehLh/view?usp=sharing" TargetMode="External"/><Relationship Id="rId477" Type="http://schemas.openxmlformats.org/officeDocument/2006/relationships/hyperlink" Target="https://drive.google.com/file/d/1USCAYcZ3VChJ_v1diWlzR-Mj3VFTqD2B/view?usp=sharing" TargetMode="External"/><Relationship Id="rId1066" Type="http://schemas.openxmlformats.org/officeDocument/2006/relationships/hyperlink" Target="https://drive.google.com/file/d/1MPfqQ3tAFq90rD3aRVrmMLS5EFEOwNJu/view?usp=sharing" TargetMode="External"/><Relationship Id="rId234" Type="http://schemas.openxmlformats.org/officeDocument/2006/relationships/hyperlink" Target="https://drive.google.com/file/d/169JI_CPYU1WI_zZIMviIPh1KKj5IQMO-/view?usp=sharing" TargetMode="External"/><Relationship Id="rId476" Type="http://schemas.openxmlformats.org/officeDocument/2006/relationships/hyperlink" Target="https://drive.google.com/file/d/1D6slaoNEdq2-Ph9HNNU-iR3rdBgRFdLd/view?usp=sharing" TargetMode="External"/><Relationship Id="rId1067" Type="http://schemas.openxmlformats.org/officeDocument/2006/relationships/hyperlink" Target="https://drive.google.com/file/d/1cI2Ld6SyQvJldLJ8jwmyf6yXim5XgeP-/view?usp=sharing" TargetMode="External"/><Relationship Id="rId233" Type="http://schemas.openxmlformats.org/officeDocument/2006/relationships/hyperlink" Target="https://drive.google.com/file/d/1kF0eX1IE-7GBUwTtK0yUmZ9GBFVDi4Ly/view?usp=sharing" TargetMode="External"/><Relationship Id="rId475" Type="http://schemas.openxmlformats.org/officeDocument/2006/relationships/hyperlink" Target="https://drive.google.com/file/d/1blaXBNyx7G4B6TKx_eP2YPGeKqb59s4g/view?usp=sharing" TargetMode="External"/><Relationship Id="rId1068" Type="http://schemas.openxmlformats.org/officeDocument/2006/relationships/hyperlink" Target="https://drive.google.com/file/d/1OBzrxOSHfCVuUpngnT-H_OFr2b4gyUad/view?usp=sharing" TargetMode="External"/><Relationship Id="rId232" Type="http://schemas.openxmlformats.org/officeDocument/2006/relationships/hyperlink" Target="https://drive.google.com/file/d/13nrZQJ7b5FVjKGIawn_pkZCRtndPWd9J/view?usp=sharing" TargetMode="External"/><Relationship Id="rId474" Type="http://schemas.openxmlformats.org/officeDocument/2006/relationships/hyperlink" Target="https://drive.google.com/file/d/1fKM9Fqr7_186Fbg-tRbConOEh3bWqhGM/view?usp=sharing" TargetMode="External"/><Relationship Id="rId1069" Type="http://schemas.openxmlformats.org/officeDocument/2006/relationships/hyperlink" Target="https://drive.google.com/file/d/1BO06Hf4aeEaTDPkf38din0W4GkqsrKNH/view?usp=sharing" TargetMode="External"/><Relationship Id="rId1015" Type="http://schemas.openxmlformats.org/officeDocument/2006/relationships/hyperlink" Target="https://drive.google.com/file/d/1VojxVGTOYs9MNdnkzhtXJBYkyASd2uJY/view?usp=sharing" TargetMode="External"/><Relationship Id="rId1016" Type="http://schemas.openxmlformats.org/officeDocument/2006/relationships/hyperlink" Target="https://drive.google.com/file/d/11IXaZ-frnDvnlRWxoXP81mwqC2qMCd3B/view?usp=sharing" TargetMode="External"/><Relationship Id="rId1017" Type="http://schemas.openxmlformats.org/officeDocument/2006/relationships/hyperlink" Target="https://drive.google.com/file/d/1U7k8QcD3jCnVa6W-Z44PhpXki3YweAGo/view?usp=sharing" TargetMode="External"/><Relationship Id="rId1018" Type="http://schemas.openxmlformats.org/officeDocument/2006/relationships/hyperlink" Target="https://drive.google.com/file/d/1d3Ud0t1ySPDZzTrWnGjNr9odjU-up7KY/view?usp=sharing" TargetMode="External"/><Relationship Id="rId1019" Type="http://schemas.openxmlformats.org/officeDocument/2006/relationships/hyperlink" Target="https://drive.google.com/file/d/1kbbr_e05b0LuLzSaIbS8pHcX8lN_sBiL/view?usp=sharing" TargetMode="External"/><Relationship Id="rId426" Type="http://schemas.openxmlformats.org/officeDocument/2006/relationships/hyperlink" Target="https://drive.google.com/file/d/14LPpNgyH5g9UGaZz4QF9abKJ_d3rTYYl/view?usp=sharing" TargetMode="External"/><Relationship Id="rId668" Type="http://schemas.openxmlformats.org/officeDocument/2006/relationships/hyperlink" Target="https://drive.google.com/file/d/1RxWIHYzpdSy-xM1HXfy_8Q6PbNBDkSds/view?usp=drive_link" TargetMode="External"/><Relationship Id="rId425" Type="http://schemas.openxmlformats.org/officeDocument/2006/relationships/hyperlink" Target="https://drive.google.com/file/d/1APYHKDPp2P-G3iodiJ5QrlIuFGuWMP9S/view?usp=sharing" TargetMode="External"/><Relationship Id="rId667" Type="http://schemas.openxmlformats.org/officeDocument/2006/relationships/hyperlink" Target="https://drive.google.com/file/d/1qt1Aviwajyf8tVlg-KENYFQ5p6pVpXfL/view?usp=sharing" TargetMode="External"/><Relationship Id="rId424" Type="http://schemas.openxmlformats.org/officeDocument/2006/relationships/hyperlink" Target="https://drive.google.com/file/d/1Lh04f6sXHH4tS_1rf_XzKoUQRAxl27Mz/view?usp=sharing" TargetMode="External"/><Relationship Id="rId666" Type="http://schemas.openxmlformats.org/officeDocument/2006/relationships/hyperlink" Target="https://drive.google.com/file/d/1_gdMckJHuc6ImeK6rfez_JQXulc-eeEx/view?usp=sharing" TargetMode="External"/><Relationship Id="rId423" Type="http://schemas.openxmlformats.org/officeDocument/2006/relationships/hyperlink" Target="https://drive.google.com/file/d/152pZYJzzoBTkJ5aBAuwHvZKxDIlRwrT8/view?usp=sharing" TargetMode="External"/><Relationship Id="rId665" Type="http://schemas.openxmlformats.org/officeDocument/2006/relationships/hyperlink" Target="https://drive.google.com/file/d/1XFURHRXmNbco7yDesXqb8lvlkfPUkbvt/view?usp=drive_link" TargetMode="External"/><Relationship Id="rId429" Type="http://schemas.openxmlformats.org/officeDocument/2006/relationships/hyperlink" Target="https://drive.google.com/file/d/1OWkYeQJlffhSnMbr05ZUiyGuNNkhtA1B/view?usp=sharing" TargetMode="External"/><Relationship Id="rId428" Type="http://schemas.openxmlformats.org/officeDocument/2006/relationships/hyperlink" Target="https://drive.google.com/file/d/1eFrtdDe3l28Qsaksk1dvE5o7i1HSwmxX/view?usp=sharing" TargetMode="External"/><Relationship Id="rId427" Type="http://schemas.openxmlformats.org/officeDocument/2006/relationships/hyperlink" Target="https://drive.google.com/file/d/14BXR7PY6O-29ONe2W3-iVBj1Pt8dSNMT/view?usp=sharing" TargetMode="External"/><Relationship Id="rId669" Type="http://schemas.openxmlformats.org/officeDocument/2006/relationships/hyperlink" Target="https://drive.google.com/file/d/1e3g6X7P3K0uYgoMIq7ZbGx6rfK6hzj6x/view?usp=sharing" TargetMode="External"/><Relationship Id="rId660" Type="http://schemas.openxmlformats.org/officeDocument/2006/relationships/hyperlink" Target="https://drive.google.com/file/d/1iSmR3w357SfdxIu0XJOzdZjfPlXXbGDP/view?usp=sharing" TargetMode="External"/><Relationship Id="rId1010" Type="http://schemas.openxmlformats.org/officeDocument/2006/relationships/hyperlink" Target="https://drive.google.com/file/d/1VcklfJW91CUyD00kkHf62mrntmaEYdN5/view?usp=sharing" TargetMode="External"/><Relationship Id="rId422" Type="http://schemas.openxmlformats.org/officeDocument/2006/relationships/hyperlink" Target="https://drive.google.com/file/d/10FmQx--zbHgo8aLB5wcFqaSYK4cvmDzc/view?usp=drive_link" TargetMode="External"/><Relationship Id="rId664" Type="http://schemas.openxmlformats.org/officeDocument/2006/relationships/hyperlink" Target="https://drive.google.com/file/d/11sdHCHroaN4ejuRjwK22VbOMYeDR093T/view?usp=sharing" TargetMode="External"/><Relationship Id="rId1011" Type="http://schemas.openxmlformats.org/officeDocument/2006/relationships/hyperlink" Target="https://drive.google.com/file/d/1M8P-Hpp3CqEsHpCeJWaccmAnIIh2SyXQ/view?usp=sharing" TargetMode="External"/><Relationship Id="rId421" Type="http://schemas.openxmlformats.org/officeDocument/2006/relationships/hyperlink" Target="https://drive.google.com/file/d/1ZRZ2fXidiLJgMmYUWfpE_96FU6RDNLZ7/view?usp=sharing" TargetMode="External"/><Relationship Id="rId663" Type="http://schemas.openxmlformats.org/officeDocument/2006/relationships/hyperlink" Target="https://drive.google.com/file/d/19p63hczW7pqtzcXLouAXwgPG8V0iXsLj/view?usp=sharing" TargetMode="External"/><Relationship Id="rId1012" Type="http://schemas.openxmlformats.org/officeDocument/2006/relationships/hyperlink" Target="https://drive.google.com/file/d/1bl0tFJ1VLHelD-hcjL7QulofEkjpbn0b/view?usp=sharing" TargetMode="External"/><Relationship Id="rId420" Type="http://schemas.openxmlformats.org/officeDocument/2006/relationships/hyperlink" Target="https://drive.google.com/file/d/16s_CxBpZC9uPqW_ifX23OtVCXz31GMLn/view?usp=sharing" TargetMode="External"/><Relationship Id="rId662" Type="http://schemas.openxmlformats.org/officeDocument/2006/relationships/hyperlink" Target="https://drive.google.com/file/d/1IXJAkyS_GUQlcdP25I4SoZnELGoqcvYP/view?usp=drive_link" TargetMode="External"/><Relationship Id="rId1013" Type="http://schemas.openxmlformats.org/officeDocument/2006/relationships/hyperlink" Target="https://drive.google.com/file/d/1gsqI8CYYaYTKf_KrzGozBUFBvpd6YDkW/view?usp=sharing" TargetMode="External"/><Relationship Id="rId661" Type="http://schemas.openxmlformats.org/officeDocument/2006/relationships/hyperlink" Target="https://drive.google.com/file/d/1Utv9BABWsUhVVtbly-DOiZ5ZxmobBThU/view?usp=sharing" TargetMode="External"/><Relationship Id="rId1014" Type="http://schemas.openxmlformats.org/officeDocument/2006/relationships/hyperlink" Target="https://drive.google.com/file/d/1VfxIifqwhgOt7PL0vrBNdAtkbadhkrky/view?usp=sharing" TargetMode="External"/><Relationship Id="rId1004" Type="http://schemas.openxmlformats.org/officeDocument/2006/relationships/hyperlink" Target="https://drive.google.com/file/d/1KwRSTpUYt3Po2mQd0-y6C_B49CK5Ra7X/view?usp=sharing" TargetMode="External"/><Relationship Id="rId1005" Type="http://schemas.openxmlformats.org/officeDocument/2006/relationships/hyperlink" Target="https://drive.google.com/file/d/1OQN3lvYoT0_6mhTXlah_ZKBqQciLhKT2/view?usp=sharing" TargetMode="External"/><Relationship Id="rId1006" Type="http://schemas.openxmlformats.org/officeDocument/2006/relationships/hyperlink" Target="https://drive.google.com/file/d/1er4xIAyU2KKLm4Ytpm85yJgg6Lf9zGRG/view?usp=sharing" TargetMode="External"/><Relationship Id="rId1007" Type="http://schemas.openxmlformats.org/officeDocument/2006/relationships/hyperlink" Target="https://drive.google.com/file/d/1DQ5IxvyOeW5l_jJQisQJP48LGSee2JAg/view?usp=sharing" TargetMode="External"/><Relationship Id="rId1008" Type="http://schemas.openxmlformats.org/officeDocument/2006/relationships/hyperlink" Target="https://drive.google.com/file/d/1NG6aOgxpiZSJL195SAUYBEi7v6Vkd4lN/view?usp=sharing" TargetMode="External"/><Relationship Id="rId1009" Type="http://schemas.openxmlformats.org/officeDocument/2006/relationships/hyperlink" Target="https://drive.google.com/file/d/1wlQ_Xx8uHBbOqrIBnJXbzrM_QbyLJqyp/view?usp=sharing" TargetMode="External"/><Relationship Id="rId415" Type="http://schemas.openxmlformats.org/officeDocument/2006/relationships/hyperlink" Target="https://drive.google.com/file/d/1lTQU_tXv-zzZ6MzvvjeOBGDdZRqn9480/view?usp=sharing" TargetMode="External"/><Relationship Id="rId657" Type="http://schemas.openxmlformats.org/officeDocument/2006/relationships/hyperlink" Target="https://drive.google.com/file/d/1CBj9O_N7sGBpq3DFJTIDuGpeDkwzuoal/view?usp=sharing" TargetMode="External"/><Relationship Id="rId899" Type="http://schemas.openxmlformats.org/officeDocument/2006/relationships/hyperlink" Target="https://drive.google.com/file/d/1FqM1ieKTUarYgdWiU_3OLOwTp2UDocTa/view?usp=sharing" TargetMode="External"/><Relationship Id="rId414" Type="http://schemas.openxmlformats.org/officeDocument/2006/relationships/hyperlink" Target="https://drive.google.com/file/d/1op1xDFgx2PSKUl4y9RSirgcoINbE5OXB/view?usp=sharing" TargetMode="External"/><Relationship Id="rId656" Type="http://schemas.openxmlformats.org/officeDocument/2006/relationships/hyperlink" Target="https://drive.google.com/file/d/1vFIjyCfcy44wvS6vrwSbv0mFdc0b-TaK/view?usp=sharing" TargetMode="External"/><Relationship Id="rId898" Type="http://schemas.openxmlformats.org/officeDocument/2006/relationships/hyperlink" Target="https://drive.google.com/file/d/1MHK54Hjej61DmGDJYqEFQljCaFLax9vT/view?usp=sharing" TargetMode="External"/><Relationship Id="rId413" Type="http://schemas.openxmlformats.org/officeDocument/2006/relationships/hyperlink" Target="https://drive.google.com/file/d/1t4mpdYSDWpVADIhy3RbsTw66apH3HHmI/view?usp=drive_link" TargetMode="External"/><Relationship Id="rId655" Type="http://schemas.openxmlformats.org/officeDocument/2006/relationships/hyperlink" Target="https://drive.google.com/file/d/1wIxMdXMmYNqYZiYwXm_S5B_xBlEL18Od/view?usp=sharing" TargetMode="External"/><Relationship Id="rId897" Type="http://schemas.openxmlformats.org/officeDocument/2006/relationships/hyperlink" Target="https://drive.google.com/file/d/1U7Ci2KxkBqKG_bWvjMTPJSZnIhghRE7K/view?usp=sharing" TargetMode="External"/><Relationship Id="rId412" Type="http://schemas.openxmlformats.org/officeDocument/2006/relationships/hyperlink" Target="https://drive.google.com/file/d/1FC8vW2WzZMUqWWO0CbK9Y6frZlet_QMg/view?usp=sharing" TargetMode="External"/><Relationship Id="rId654" Type="http://schemas.openxmlformats.org/officeDocument/2006/relationships/hyperlink" Target="https://drive.google.com/file/d/1geXjsQlMwilE3lQw9ggYqqifWeI7refG/view?usp=drive_link" TargetMode="External"/><Relationship Id="rId896" Type="http://schemas.openxmlformats.org/officeDocument/2006/relationships/hyperlink" Target="https://drive.google.com/file/d/17ieF4C8HrwICsQmcpuOsjgQV0PbjaALq/view?usp=sharing" TargetMode="External"/><Relationship Id="rId419" Type="http://schemas.openxmlformats.org/officeDocument/2006/relationships/hyperlink" Target="https://drive.google.com/file/d/126EXeTDvNKxirkvlMI7WNwhkXOFUk5ho/view?usp=sharing" TargetMode="External"/><Relationship Id="rId418" Type="http://schemas.openxmlformats.org/officeDocument/2006/relationships/hyperlink" Target="https://drive.google.com/file/d/1V2drqG-irdbgllZ6u-Ct8T7xHhYMDGZr/view?usp=sharing" TargetMode="External"/><Relationship Id="rId417" Type="http://schemas.openxmlformats.org/officeDocument/2006/relationships/hyperlink" Target="https://drive.google.com/file/d/1Hpw2slNzdqYH5l-PnH1XL3v-q6YJd3tx/view?usp=sharing" TargetMode="External"/><Relationship Id="rId659" Type="http://schemas.openxmlformats.org/officeDocument/2006/relationships/hyperlink" Target="https://drive.google.com/file/d/1DYWndo9ErsqOlNBRX3aLyDITui_Mi3dK/view?usp=sharing" TargetMode="External"/><Relationship Id="rId416" Type="http://schemas.openxmlformats.org/officeDocument/2006/relationships/hyperlink" Target="https://drive.google.com/file/d/1jYFcNDxkObX-19SmnxciNqYXxxbuWeAh/view?usp=sharing" TargetMode="External"/><Relationship Id="rId658" Type="http://schemas.openxmlformats.org/officeDocument/2006/relationships/hyperlink" Target="https://drive.google.com/file/d/11uv-naMLe-gFvpgy4zYV_EYXitFmoYKd/view?usp=drive_link" TargetMode="External"/><Relationship Id="rId891" Type="http://schemas.openxmlformats.org/officeDocument/2006/relationships/hyperlink" Target="https://drive.google.com/file/d/1xxO4pctd-jWZnDxyt6gyFkVd-6FlHF65/view?usp=sharing" TargetMode="External"/><Relationship Id="rId890" Type="http://schemas.openxmlformats.org/officeDocument/2006/relationships/hyperlink" Target="https://drive.google.com/file/d/1uG_WFTayqQB_ReS_FVeYz8QAOvQMqRi3/view?usp=sharing" TargetMode="External"/><Relationship Id="rId411" Type="http://schemas.openxmlformats.org/officeDocument/2006/relationships/hyperlink" Target="https://drive.google.com/file/d/1mKiUTmDbOC91D1Tpc71fRU_xY0YFg4D9/view?usp=sharing" TargetMode="External"/><Relationship Id="rId653" Type="http://schemas.openxmlformats.org/officeDocument/2006/relationships/hyperlink" Target="https://drive.google.com/file/d/1pP4d8Oo6BSQCXXj29tg-O_7YfFVAMIXg/view?usp=sharing" TargetMode="External"/><Relationship Id="rId895" Type="http://schemas.openxmlformats.org/officeDocument/2006/relationships/hyperlink" Target="https://drive.google.com/file/d/1y0UBxCbEFDrx6YA1YmkP3CjAJEn1uaME/view?usp=sharing" TargetMode="External"/><Relationship Id="rId1000" Type="http://schemas.openxmlformats.org/officeDocument/2006/relationships/hyperlink" Target="https://drive.google.com/file/d/1bA56mkcg2UlsjFuZJ29h1zMUwkWyWfHq/view?usp=sharing" TargetMode="External"/><Relationship Id="rId410" Type="http://schemas.openxmlformats.org/officeDocument/2006/relationships/hyperlink" Target="https://drive.google.com/file/d/1t6Yko0ydHdqjukoa1okSU7f15rtuf9MY/view?usp=sharing" TargetMode="External"/><Relationship Id="rId652" Type="http://schemas.openxmlformats.org/officeDocument/2006/relationships/hyperlink" Target="https://drive.google.com/file/d/175iEDihdTJ4MR-kvGnJcPcyI83GvS0u5/view?usp=drive_link" TargetMode="External"/><Relationship Id="rId894" Type="http://schemas.openxmlformats.org/officeDocument/2006/relationships/hyperlink" Target="https://drive.google.com/file/d/1w9UjTz_fctswk6acsHehoJ3YsY_BKzs9/view?usp=sharing" TargetMode="External"/><Relationship Id="rId1001" Type="http://schemas.openxmlformats.org/officeDocument/2006/relationships/hyperlink" Target="https://drive.google.com/file/d/1tCP54_wM4TPWfB2xu7S-Oe4aMz_4nYCX/view?usp=sharing" TargetMode="External"/><Relationship Id="rId651" Type="http://schemas.openxmlformats.org/officeDocument/2006/relationships/hyperlink" Target="https://drive.google.com/file/d/1T0gULWspxTAY9zf1Ob1J6V7zyqOjlnHG/view?usp=sharing" TargetMode="External"/><Relationship Id="rId893" Type="http://schemas.openxmlformats.org/officeDocument/2006/relationships/hyperlink" Target="https://drive.google.com/file/d/1bezE4h88ztR38-kATT1ouXP3CtqAj9Nt/view?usp=sharing" TargetMode="External"/><Relationship Id="rId1002" Type="http://schemas.openxmlformats.org/officeDocument/2006/relationships/hyperlink" Target="https://drive.google.com/file/d/1Sq4ZU7NrmSUfiAMfRosINUZ9g0Jag4lL/view?usp=sharing" TargetMode="External"/><Relationship Id="rId650" Type="http://schemas.openxmlformats.org/officeDocument/2006/relationships/hyperlink" Target="https://drive.google.com/file/d/1QUMqkhUslDE0w_6ur0fHfBvIhyxEcthv/view?usp=sharing" TargetMode="External"/><Relationship Id="rId892" Type="http://schemas.openxmlformats.org/officeDocument/2006/relationships/hyperlink" Target="https://drive.google.com/file/d/15zd7c4BjsW_7lCnpIw0S7jae5Op3kCh-/view?usp=sharing" TargetMode="External"/><Relationship Id="rId1003" Type="http://schemas.openxmlformats.org/officeDocument/2006/relationships/hyperlink" Target="https://drive.google.com/file/d/131AebbayJfdwNewKmvTfSMFbPAO8fte9/view?usp=sharing" TargetMode="External"/><Relationship Id="rId1037" Type="http://schemas.openxmlformats.org/officeDocument/2006/relationships/hyperlink" Target="https://drive.google.com/file/d/1-zQejUVQ9fmwPX4A0NCPyYtS4mey6Bff/view?usp=sharing" TargetMode="External"/><Relationship Id="rId1038" Type="http://schemas.openxmlformats.org/officeDocument/2006/relationships/hyperlink" Target="https://drive.google.com/file/d/1zl2oxvXkqrjrJ5NRc3ijNwBqwPZP_ST2/view?usp=sharing" TargetMode="External"/><Relationship Id="rId1039" Type="http://schemas.openxmlformats.org/officeDocument/2006/relationships/hyperlink" Target="https://drive.google.com/file/d/1dAO9jXWfAxYNAkBw5h_SEMtuGzN42Sjc/view?usp=sharing" TargetMode="External"/><Relationship Id="rId206" Type="http://schemas.openxmlformats.org/officeDocument/2006/relationships/hyperlink" Target="https://drive.google.com/file/d/1Ie2epOZS6BMVNUwElwPiFNW6nROMmZzu/view?usp=drive_link" TargetMode="External"/><Relationship Id="rId448" Type="http://schemas.openxmlformats.org/officeDocument/2006/relationships/hyperlink" Target="https://drive.google.com/file/d/16HWWwZZnbmLL7cWg6Sh7XkhydjgS0Cmk/view?usp=sharing" TargetMode="External"/><Relationship Id="rId205" Type="http://schemas.openxmlformats.org/officeDocument/2006/relationships/hyperlink" Target="https://drive.google.com/file/d/1xl3N5RwMGi8Wku9l565sUdGf5HYyab2k/view?usp=sharing" TargetMode="External"/><Relationship Id="rId447" Type="http://schemas.openxmlformats.org/officeDocument/2006/relationships/hyperlink" Target="https://drive.google.com/file/d/1FUQcfjxJ8FIeBK5b8Zd_uQHnfhQ-oG-2/view?usp=drive_link" TargetMode="External"/><Relationship Id="rId689" Type="http://schemas.openxmlformats.org/officeDocument/2006/relationships/hyperlink" Target="https://drive.google.com/file/d/1CdvGBqDN-wNjSnjIjNANBzqMrZYYiw24/view?usp=sharing" TargetMode="External"/><Relationship Id="rId204" Type="http://schemas.openxmlformats.org/officeDocument/2006/relationships/hyperlink" Target="https://drive.google.com/file/d/1P9n4rbDPMF-TC-CoiwrqyUcmhPdegdix/view?usp=sharing" TargetMode="External"/><Relationship Id="rId446" Type="http://schemas.openxmlformats.org/officeDocument/2006/relationships/hyperlink" Target="https://drive.google.com/file/d/1cTFAwUAi-aZdjuEw5nF8oH3YD47CtP_g/view?usp=sharing" TargetMode="External"/><Relationship Id="rId688" Type="http://schemas.openxmlformats.org/officeDocument/2006/relationships/hyperlink" Target="https://drive.google.com/file/d/1bklNNVlOURMP7PW29JVulnFB3ADPz4u1/view?usp=drive_link" TargetMode="External"/><Relationship Id="rId203" Type="http://schemas.openxmlformats.org/officeDocument/2006/relationships/hyperlink" Target="https://drive.google.com/file/d/1k1Dl-KHx-Qf05cQllfrTFzHdcbAti4Lk/view?usp=sharing" TargetMode="External"/><Relationship Id="rId445" Type="http://schemas.openxmlformats.org/officeDocument/2006/relationships/hyperlink" Target="https://drive.google.com/file/d/1K4mFWfXCrSyvpSAc2w6y0FnOBVxcEESE/view?usp=sharing" TargetMode="External"/><Relationship Id="rId687" Type="http://schemas.openxmlformats.org/officeDocument/2006/relationships/hyperlink" Target="https://drive.google.com/file/d/1uR1x9M5R3R19jL5z_UsiYj-edxTyuS_F/view?usp=drive_link" TargetMode="External"/><Relationship Id="rId209" Type="http://schemas.openxmlformats.org/officeDocument/2006/relationships/hyperlink" Target="https://drive.google.com/file/d/1AqqYND2w3iRv1GQRP6dWjRhcxv2qy8GQ/view?usp=sharing" TargetMode="External"/><Relationship Id="rId208" Type="http://schemas.openxmlformats.org/officeDocument/2006/relationships/hyperlink" Target="https://drive.google.com/file/d/175Fdb2zS5AEnAa9hSu5s4AUAmVToMzF9/view?usp=drive_link" TargetMode="External"/><Relationship Id="rId207" Type="http://schemas.openxmlformats.org/officeDocument/2006/relationships/hyperlink" Target="https://drive.google.com/file/d/1lqUByclxZoRcgXFPJ9tAzGklB-Y8YsDI/view?usp=sharing" TargetMode="External"/><Relationship Id="rId449" Type="http://schemas.openxmlformats.org/officeDocument/2006/relationships/hyperlink" Target="https://drive.google.com/file/d/1g8JwSfZWTc08BmjgRtAyj2RKy1oykYQH/view?usp=drive_link" TargetMode="External"/><Relationship Id="rId440" Type="http://schemas.openxmlformats.org/officeDocument/2006/relationships/hyperlink" Target="https://drive.google.com/file/d/1yAT-SWlFjgLxkNKmVgLhC9ZJN6eRdaJQ/view?usp=sharing" TargetMode="External"/><Relationship Id="rId682" Type="http://schemas.openxmlformats.org/officeDocument/2006/relationships/hyperlink" Target="https://drive.google.com/file/d/14o9ttnodBVEhzR6HvZVjHQggJNxRdbs3/view?usp=drive_link" TargetMode="External"/><Relationship Id="rId681" Type="http://schemas.openxmlformats.org/officeDocument/2006/relationships/hyperlink" Target="https://drive.google.com/file/d/1Opf8wU4mwAoTPdMa-uLyyWSWV7LC5ADx/view?usp=sharing" TargetMode="External"/><Relationship Id="rId1030" Type="http://schemas.openxmlformats.org/officeDocument/2006/relationships/hyperlink" Target="https://drive.google.com/file/d/1_8yIk6MQHrU26KXRE6ZttbXUBRyS1YEm/view?usp=sharing" TargetMode="External"/><Relationship Id="rId680" Type="http://schemas.openxmlformats.org/officeDocument/2006/relationships/hyperlink" Target="https://drive.google.com/file/d/1_6esxS9PsEybOUrgExaOu47s11cJk_sG/view?usp=sharing" TargetMode="External"/><Relationship Id="rId1031" Type="http://schemas.openxmlformats.org/officeDocument/2006/relationships/hyperlink" Target="https://drive.google.com/file/d/1SSDA33rTJRssMtmdDC7fcy3Ow2_KPRjH/view?usp=sharing" TargetMode="External"/><Relationship Id="rId1032" Type="http://schemas.openxmlformats.org/officeDocument/2006/relationships/hyperlink" Target="https://drive.google.com/file/d/1wX0JQGIqEi0khedeMzDwfmHBPd3r3U3r/view?usp=sharing" TargetMode="External"/><Relationship Id="rId202" Type="http://schemas.openxmlformats.org/officeDocument/2006/relationships/hyperlink" Target="https://drive.google.com/file/d/1mnLppynvqzMpuRAG3zcQdZjcjaxhCyCq/view?usp=sharing" TargetMode="External"/><Relationship Id="rId444" Type="http://schemas.openxmlformats.org/officeDocument/2006/relationships/hyperlink" Target="https://drive.google.com/file/d/1szUTHDaqh8P5wtVzTjuu8_JhVH9QEA-Z/view?usp=sharing" TargetMode="External"/><Relationship Id="rId686" Type="http://schemas.openxmlformats.org/officeDocument/2006/relationships/hyperlink" Target="https://drive.google.com/file/d/11rr0j5EL0sxmq2dEa3uJtbW2x8sKj3Im/view?usp=sharing" TargetMode="External"/><Relationship Id="rId1033" Type="http://schemas.openxmlformats.org/officeDocument/2006/relationships/hyperlink" Target="https://drive.google.com/file/d/1RYeskREEyyIbc-YtdinDOhfc0h7LTeOw/view?usp=sharing" TargetMode="External"/><Relationship Id="rId201" Type="http://schemas.openxmlformats.org/officeDocument/2006/relationships/hyperlink" Target="https://drive.google.com/file/d/1YnuLgR4TzH5Vi5jdQ4-8fbER8-JN2WPD/view?usp=sharing" TargetMode="External"/><Relationship Id="rId443" Type="http://schemas.openxmlformats.org/officeDocument/2006/relationships/hyperlink" Target="https://drive.google.com/file/d/1fIrYXkXZOtfhKW6H3LnYtOP9ZQnB6VCN/view?usp=sharing" TargetMode="External"/><Relationship Id="rId685" Type="http://schemas.openxmlformats.org/officeDocument/2006/relationships/hyperlink" Target="https://drive.google.com/file/d/1J0MwixH7XZDp6qgc57F18Tj_suh-BK_u/view?usp=sharing" TargetMode="External"/><Relationship Id="rId1034" Type="http://schemas.openxmlformats.org/officeDocument/2006/relationships/hyperlink" Target="https://drive.google.com/file/d/1NIlgQ0UaZCaD33gksFmQ2ZWx5a-MSo7s/view?usp=sharing" TargetMode="External"/><Relationship Id="rId200" Type="http://schemas.openxmlformats.org/officeDocument/2006/relationships/hyperlink" Target="https://drive.google.com/file/d/1N4V-GeA2XMnlo-5QsODMungL8vwjRlaU/view?usp=sharing" TargetMode="External"/><Relationship Id="rId442" Type="http://schemas.openxmlformats.org/officeDocument/2006/relationships/hyperlink" Target="https://drive.google.com/file/d/1dnIXWHriHshvqU7a6_SiaYVOy4mP0quZ/view?usp=sharing" TargetMode="External"/><Relationship Id="rId684" Type="http://schemas.openxmlformats.org/officeDocument/2006/relationships/hyperlink" Target="https://drive.google.com/file/d/13fA-2OBqpAS33PHOOV4GpvUzMpMVjfJA/view?usp=sharing" TargetMode="External"/><Relationship Id="rId1035" Type="http://schemas.openxmlformats.org/officeDocument/2006/relationships/hyperlink" Target="https://drive.google.com/file/d/1FFzpWXOrJzrHpcxXF7ZewsqzW5TYpI9K/view?usp=sharing" TargetMode="External"/><Relationship Id="rId441" Type="http://schemas.openxmlformats.org/officeDocument/2006/relationships/hyperlink" Target="https://drive.google.com/file/d/1tAbb1xdMOuJ8MNbiMb1ZgOkuHra_8n5o/view?usp=sharing" TargetMode="External"/><Relationship Id="rId683" Type="http://schemas.openxmlformats.org/officeDocument/2006/relationships/hyperlink" Target="https://drive.google.com/file/d/16jO6zlDXeAT-79tpu5LlHkf1e664ZiyD/view?usp=drive_link" TargetMode="External"/><Relationship Id="rId1036" Type="http://schemas.openxmlformats.org/officeDocument/2006/relationships/hyperlink" Target="https://drive.google.com/file/d/1Da5f5-cSh41heTZoCAB8m4-OLMTHdlHk/view?usp=sharing" TargetMode="External"/><Relationship Id="rId1026" Type="http://schemas.openxmlformats.org/officeDocument/2006/relationships/hyperlink" Target="https://drive.google.com/file/d/1Q9olFWlqd5PO9XLqssfAxXBFiS_dhXXf/view?usp=sharing" TargetMode="External"/><Relationship Id="rId1027" Type="http://schemas.openxmlformats.org/officeDocument/2006/relationships/hyperlink" Target="https://drive.google.com/file/d/101Zib6fYw97FZtqXma9TilvPU1qkx7d4/view?usp=sharing" TargetMode="External"/><Relationship Id="rId1028" Type="http://schemas.openxmlformats.org/officeDocument/2006/relationships/hyperlink" Target="https://drive.google.com/file/d/1JMAy990p1WOmbysrdkGWzgxMZgd_D81a/view?usp=sharing" TargetMode="External"/><Relationship Id="rId1029" Type="http://schemas.openxmlformats.org/officeDocument/2006/relationships/hyperlink" Target="https://drive.google.com/file/d/1XkjpGJ-zJDpBitW1j8n8k7iNzkIMPOsj/view?usp=sharing" TargetMode="External"/><Relationship Id="rId437" Type="http://schemas.openxmlformats.org/officeDocument/2006/relationships/hyperlink" Target="https://drive.google.com/file/d/1ks5JHYcUsBGjkHSH57Jltm39GT7rIUvW/view?usp=sharing" TargetMode="External"/><Relationship Id="rId679" Type="http://schemas.openxmlformats.org/officeDocument/2006/relationships/hyperlink" Target="https://drive.google.com/file/d/1n0h4yYDdhumn-pQdJdC2cl9Vg8i3Dt9F/view?usp=drive_link" TargetMode="External"/><Relationship Id="rId436" Type="http://schemas.openxmlformats.org/officeDocument/2006/relationships/hyperlink" Target="https://drive.google.com/file/d/1xoLVY0MStKcLxTzL-iINKWbXhCoNY0Zt/view?usp=sharing" TargetMode="External"/><Relationship Id="rId678" Type="http://schemas.openxmlformats.org/officeDocument/2006/relationships/hyperlink" Target="https://drive.google.com/file/d/1jClYU8cI3ljLcuEuC47C-CImU5opSFP0/view?usp=sharing" TargetMode="External"/><Relationship Id="rId435" Type="http://schemas.openxmlformats.org/officeDocument/2006/relationships/hyperlink" Target="https://drive.google.com/file/d/13iMaelYvWup4ScW_TONxYBVDZUkhfo1W/view?usp=sharing" TargetMode="External"/><Relationship Id="rId677" Type="http://schemas.openxmlformats.org/officeDocument/2006/relationships/hyperlink" Target="https://drive.google.com/file/d/1sE3YZ0k5QJufPj_XLkonzpaH8bfnFspI/view?usp=sharing" TargetMode="External"/><Relationship Id="rId434" Type="http://schemas.openxmlformats.org/officeDocument/2006/relationships/hyperlink" Target="https://drive.google.com/file/d/1mhGElIXEq6N9eTpVscuLDj73E_IhCTf6/view?usp=sharing" TargetMode="External"/><Relationship Id="rId676" Type="http://schemas.openxmlformats.org/officeDocument/2006/relationships/hyperlink" Target="https://drive.google.com/file/d/1TbKneneqPwpUrZaO3TlX0-aeruV-s6yk/view?usp=sharing" TargetMode="External"/><Relationship Id="rId439" Type="http://schemas.openxmlformats.org/officeDocument/2006/relationships/hyperlink" Target="https://drive.google.com/file/d/1OwbCUBMtrqIQ_c0tABvFpNM92nbZgLQt/view?usp=sharing" TargetMode="External"/><Relationship Id="rId438" Type="http://schemas.openxmlformats.org/officeDocument/2006/relationships/hyperlink" Target="https://drive.google.com/file/d/12pUtTvhTaUepZsL0y8ZMymLTIheB1eL_/view?usp=sharing" TargetMode="External"/><Relationship Id="rId671" Type="http://schemas.openxmlformats.org/officeDocument/2006/relationships/hyperlink" Target="https://drive.google.com/file/d/1weR5799xdElaNDcQfdN1twoMxzFQrCwR/view?usp=drive_link" TargetMode="External"/><Relationship Id="rId670" Type="http://schemas.openxmlformats.org/officeDocument/2006/relationships/hyperlink" Target="https://drive.google.com/file/d/1ptEk9c6YJbpuRjR-hO8V-nMz-y7AO_zc/view?usp=drive_link" TargetMode="External"/><Relationship Id="rId1020" Type="http://schemas.openxmlformats.org/officeDocument/2006/relationships/hyperlink" Target="https://drive.google.com/file/d/1YMBQWzEu8jcg8OXGVb4FxX1gvGa-Xm4O/view?usp=sharing" TargetMode="External"/><Relationship Id="rId1021" Type="http://schemas.openxmlformats.org/officeDocument/2006/relationships/hyperlink" Target="https://drive.google.com/file/d/1GuBQ-L5meOS8wsFXpRB5V5RCkyRA1z90/view?usp=sharing" TargetMode="External"/><Relationship Id="rId433" Type="http://schemas.openxmlformats.org/officeDocument/2006/relationships/hyperlink" Target="https://drive.google.com/file/d/1LTrLdhnHmLAZbhncekmwe77anpehqeaj/view?usp=sharing" TargetMode="External"/><Relationship Id="rId675" Type="http://schemas.openxmlformats.org/officeDocument/2006/relationships/hyperlink" Target="https://drive.google.com/file/d/1JuCwUztWX6Mw0jWMg-p3aeeTcUfpoxt7/view?usp=sharing" TargetMode="External"/><Relationship Id="rId1022" Type="http://schemas.openxmlformats.org/officeDocument/2006/relationships/hyperlink" Target="https://drive.google.com/file/d/1tr-VRdO_FPnnEz38HdizZ2mCyslyF4e1/view?usp=sharing" TargetMode="External"/><Relationship Id="rId432" Type="http://schemas.openxmlformats.org/officeDocument/2006/relationships/hyperlink" Target="https://drive.google.com/file/d/1jLunPE8XWC7aVem4AlZBCaa8NUK4L7SH/view?usp=sharing" TargetMode="External"/><Relationship Id="rId674" Type="http://schemas.openxmlformats.org/officeDocument/2006/relationships/hyperlink" Target="https://drive.google.com/file/d/1IetU_AE2FODHBxo_OExuy6xE75epxUFu/view?usp=drive_link" TargetMode="External"/><Relationship Id="rId1023" Type="http://schemas.openxmlformats.org/officeDocument/2006/relationships/hyperlink" Target="https://drive.google.com/file/d/1UMjqvaWlMjDrVoy6t9Uup6_uZRKdzvsi/view?usp=sharing" TargetMode="External"/><Relationship Id="rId431" Type="http://schemas.openxmlformats.org/officeDocument/2006/relationships/hyperlink" Target="https://drive.google.com/file/d/1AeGz1Enu4TxYvIOksvK-i73m0gUEAk1z/view?usp=sharing" TargetMode="External"/><Relationship Id="rId673" Type="http://schemas.openxmlformats.org/officeDocument/2006/relationships/hyperlink" Target="https://drive.google.com/file/d/1vOn-6lkIeVleeqioxE5n1HC9jy4Pgkym/view?usp=sharing" TargetMode="External"/><Relationship Id="rId1024" Type="http://schemas.openxmlformats.org/officeDocument/2006/relationships/hyperlink" Target="https://drive.google.com/file/d/1Q9olFWlqd5PO9XLqssfAxXBFiS_dhXXf/view?usp=sharing" TargetMode="External"/><Relationship Id="rId430" Type="http://schemas.openxmlformats.org/officeDocument/2006/relationships/hyperlink" Target="https://drive.google.com/file/d/1V1yWbfELHXxY899faTSyESnvdRzK15TG/view?usp=sharing" TargetMode="External"/><Relationship Id="rId672" Type="http://schemas.openxmlformats.org/officeDocument/2006/relationships/hyperlink" Target="https://drive.google.com/file/d/19YtC-DGXI2hdQ2e1VaflejxtS3y9swRj/view?usp=sharing" TargetMode="External"/><Relationship Id="rId1025" Type="http://schemas.openxmlformats.org/officeDocument/2006/relationships/hyperlink" Target="https://drive.google.com/file/d/1f82OxKlGThgsowGr3OgHkxmdn3vhm036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5Er45dODheWFSShoA1trUwn5XmndJXLG/view?usp=sharing" TargetMode="External"/><Relationship Id="rId3" Type="http://schemas.openxmlformats.org/officeDocument/2006/relationships/hyperlink" Target="https://drive.google.com/file/d/1Ee87MQtR4aEdfLPuzUvufMTQsEpZh1Em/view?usp=drive_link" TargetMode="External"/><Relationship Id="rId4" Type="http://schemas.openxmlformats.org/officeDocument/2006/relationships/hyperlink" Target="https://drive.google.com/file/d/1EakIzOmeFa-5zgKzAKXiLmsbBlZtJ273/view?usp=drive_link" TargetMode="External"/><Relationship Id="rId9" Type="http://schemas.openxmlformats.org/officeDocument/2006/relationships/hyperlink" Target="https://drive.google.com/file/d/1tPwKx3XQP9HQ4OcxvfKvxJb-v9YL93tR/view?usp=drive_link" TargetMode="External"/><Relationship Id="rId5" Type="http://schemas.openxmlformats.org/officeDocument/2006/relationships/hyperlink" Target="https://drive.google.com/file/d/1yaHNgkEwLMH2vBQiFTznIwCIcsb_3tNK/view?usp=drive_link" TargetMode="External"/><Relationship Id="rId6" Type="http://schemas.openxmlformats.org/officeDocument/2006/relationships/hyperlink" Target="https://drive.google.com/file/d/1gcMejBqrbZ9SayAJVoI937BeCNtMpbDy/view?usp=drive_link" TargetMode="External"/><Relationship Id="rId7" Type="http://schemas.openxmlformats.org/officeDocument/2006/relationships/hyperlink" Target="https://drive.google.com/file/d/1mDxRUABMhxY0gUvMgt0hOm2kb7pq8pE-/view?usp=drive_link" TargetMode="External"/><Relationship Id="rId8" Type="http://schemas.openxmlformats.org/officeDocument/2006/relationships/hyperlink" Target="https://drive.google.com/file/d/1l6HS8whk0-Ol8JHXX25z_rzWRO5QOPnT/view?usp=drive_link" TargetMode="External"/><Relationship Id="rId20" Type="http://schemas.openxmlformats.org/officeDocument/2006/relationships/hyperlink" Target="https://drive.google.com/file/d/1W9BvMh2xfuqnLfSL0s9Muit40ufI17DE/view?usp=sharing" TargetMode="External"/><Relationship Id="rId22" Type="http://schemas.openxmlformats.org/officeDocument/2006/relationships/hyperlink" Target="https://drive.google.com/file/d/1jU7IJqV0pXiAiul2L209ZugNmkldaneJ/view?usp=drive_link" TargetMode="External"/><Relationship Id="rId21" Type="http://schemas.openxmlformats.org/officeDocument/2006/relationships/hyperlink" Target="https://drive.google.com/file/d/1Piel1--km7p1vZXjV04YZB7DWbwOAMFV/view?usp=drive_link" TargetMode="External"/><Relationship Id="rId24" Type="http://schemas.openxmlformats.org/officeDocument/2006/relationships/hyperlink" Target="https://drive.google.com/file/d/1HCerCq4NtElLRySHbieEaRdOrO35Tozf/view?usp=drive_link" TargetMode="External"/><Relationship Id="rId23" Type="http://schemas.openxmlformats.org/officeDocument/2006/relationships/hyperlink" Target="https://drive.google.com/file/d/1UsoOIuIFVhiAdOUDYcPmCHfK9yfsoVV6/view?usp=drive_link" TargetMode="External"/><Relationship Id="rId26" Type="http://schemas.openxmlformats.org/officeDocument/2006/relationships/hyperlink" Target="https://drive.google.com/file/d/1joAtUAZDTvlPnkSiLLcB2YT2zxck4OlU/view?usp=drive_link" TargetMode="External"/><Relationship Id="rId25" Type="http://schemas.openxmlformats.org/officeDocument/2006/relationships/hyperlink" Target="https://drive.google.com/file/d/1OIkBF82enwNhkgVpRmoaQXtDxCgOTshz/view?usp=drive_link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drive.google.com/file/d/1tpJltRYgTtlKBMLRkgtPbApxsVBDJzcn/view?usp=drive_link" TargetMode="External"/><Relationship Id="rId29" Type="http://schemas.openxmlformats.org/officeDocument/2006/relationships/vmlDrawing" Target="../drawings/vmlDrawing2.vml"/><Relationship Id="rId11" Type="http://schemas.openxmlformats.org/officeDocument/2006/relationships/hyperlink" Target="https://drive.google.com/file/d/1vHIpg_qBOM1Ga599yKIZXnDeTkAG7U1L/view?usp=drive_link" TargetMode="External"/><Relationship Id="rId10" Type="http://schemas.openxmlformats.org/officeDocument/2006/relationships/hyperlink" Target="https://drive.google.com/file/d/10YStpAn-_gWYeCD43hki29nSDY-qk_SJ/view?usp=drive_link" TargetMode="External"/><Relationship Id="rId13" Type="http://schemas.openxmlformats.org/officeDocument/2006/relationships/hyperlink" Target="https://drive.google.com/file/d/1eY7HVkSLLq7DedsPrEQKfN-nWL4vJdiC/view?usp=drive_link" TargetMode="External"/><Relationship Id="rId12" Type="http://schemas.openxmlformats.org/officeDocument/2006/relationships/hyperlink" Target="https://drive.google.com/file/d/1at5fsnvv_ckgY7LW8grfg-A8eZSeebCW/view?usp=drive_link" TargetMode="External"/><Relationship Id="rId15" Type="http://schemas.openxmlformats.org/officeDocument/2006/relationships/hyperlink" Target="https://drive.google.com/file/d/1hNx9-kP3IL-S1lKSe2IlTeK_7c4rYcqR/view?usp=drive_link" TargetMode="External"/><Relationship Id="rId14" Type="http://schemas.openxmlformats.org/officeDocument/2006/relationships/hyperlink" Target="https://drive.google.com/file/d/1-LLQUJuKuFTIKAwWIPdgLDgQjdJ5gF3I/view?usp=drive_link" TargetMode="External"/><Relationship Id="rId17" Type="http://schemas.openxmlformats.org/officeDocument/2006/relationships/hyperlink" Target="https://drive.google.com/file/d/1sV7H-yPn6X2EqgG471XEinNrITpWJK4O/view?usp=drive_link" TargetMode="External"/><Relationship Id="rId16" Type="http://schemas.openxmlformats.org/officeDocument/2006/relationships/hyperlink" Target="https://drive.google.com/file/d/16PFHGQjkEZFvuZLN6THlEqPv1T184Gn0/view?usp=drive_link" TargetMode="External"/><Relationship Id="rId19" Type="http://schemas.openxmlformats.org/officeDocument/2006/relationships/hyperlink" Target="https://drive.google.com/file/d/1bG4_gf3HYeiIif6eLJA-oIhWimwpELF5/view?usp=drive_link" TargetMode="External"/><Relationship Id="rId18" Type="http://schemas.openxmlformats.org/officeDocument/2006/relationships/hyperlink" Target="https://drive.google.com/file/d/1JztDDMPMRfg8glf5BpSrwICpdzzQp9VI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50" Type="http://schemas.openxmlformats.org/officeDocument/2006/relationships/hyperlink" Target="https://drive.google.com/file/d/10JEuEngCTKeJht_H02mzmtuhcvtBif2U/view?usp=drive_link" TargetMode="External"/><Relationship Id="rId1" Type="http://schemas.openxmlformats.org/officeDocument/2006/relationships/hyperlink" Target="https://drive.google.com/file/d/1o3D_KuH6wxyA5rzaM4VavUuOO5WxZMbh/view?usp=drive_link" TargetMode="External"/><Relationship Id="rId2" Type="http://schemas.openxmlformats.org/officeDocument/2006/relationships/hyperlink" Target="https://drive.google.com/file/d/1werTJUh5VX3YtbNt2lYUfmSkx89QQPqN/view?usp=drive_link" TargetMode="External"/><Relationship Id="rId3" Type="http://schemas.openxmlformats.org/officeDocument/2006/relationships/hyperlink" Target="https://drive.google.com/file/d/1h_Xe_LM1ZbbCFd_nOzK5i2_LAiRJIdzp/view?usp=drive_link" TargetMode="External"/><Relationship Id="rId149" Type="http://schemas.openxmlformats.org/officeDocument/2006/relationships/hyperlink" Target="https://drive.google.com/file/d/1eCpxfPvvbFaW1Amc1J_FGScrpoUEzkPM/view?usp=sharing" TargetMode="External"/><Relationship Id="rId4" Type="http://schemas.openxmlformats.org/officeDocument/2006/relationships/hyperlink" Target="https://drive.google.com/file/d/1T-IN4mwGSDD87xJR-_SWwHfOMSbIMTDN/view?usp=drive_link" TargetMode="External"/><Relationship Id="rId148" Type="http://schemas.openxmlformats.org/officeDocument/2006/relationships/hyperlink" Target="https://drive.google.com/file/d/1Q3t7oY3F0aI1h0POe_4T8CIBmvGHWVRq/view?usp=sharing" TargetMode="External"/><Relationship Id="rId9" Type="http://schemas.openxmlformats.org/officeDocument/2006/relationships/hyperlink" Target="https://drive.google.com/file/d/1F0eM2LwoUH6-txLx2YYJ1L5ty91vl0Az/view?usp=drive_link" TargetMode="External"/><Relationship Id="rId143" Type="http://schemas.openxmlformats.org/officeDocument/2006/relationships/hyperlink" Target="https://drive.google.com/file/d/1eCpxfPvvbFaW1Amc1J_FGScrpoUEzkPM/view?usp=sharing" TargetMode="External"/><Relationship Id="rId142" Type="http://schemas.openxmlformats.org/officeDocument/2006/relationships/hyperlink" Target="https://drive.google.com/file/d/1Q3t7oY3F0aI1h0POe_4T8CIBmvGHWVRq/view?usp=sharing" TargetMode="External"/><Relationship Id="rId141" Type="http://schemas.openxmlformats.org/officeDocument/2006/relationships/hyperlink" Target="https://drive.google.com/file/d/1o5kup83lrybfqNlKW2Bq-7VksRGTQcMz/view?usp=sharing" TargetMode="External"/><Relationship Id="rId140" Type="http://schemas.openxmlformats.org/officeDocument/2006/relationships/hyperlink" Target="https://drive.google.com/file/d/1uJzR2RenZnMtTTe4xpWPO3a9pSAUcuOQ/view?usp=sharing" TargetMode="External"/><Relationship Id="rId5" Type="http://schemas.openxmlformats.org/officeDocument/2006/relationships/hyperlink" Target="https://drive.google.com/file/d/1F0eM2LwoUH6-txLx2YYJ1L5ty91vl0Az/view?usp=drive_link" TargetMode="External"/><Relationship Id="rId147" Type="http://schemas.openxmlformats.org/officeDocument/2006/relationships/hyperlink" Target="https://drive.google.com/file/d/15UxC6pGi8qI6GvfcAj895kH1mi4naA-P/view?usp=sharing" TargetMode="External"/><Relationship Id="rId6" Type="http://schemas.openxmlformats.org/officeDocument/2006/relationships/hyperlink" Target="https://drive.google.com/file/d/1sueoX7dcPJMJaexMiiJgAvooxy6dy9aE/view?usp=drive_link" TargetMode="External"/><Relationship Id="rId146" Type="http://schemas.openxmlformats.org/officeDocument/2006/relationships/hyperlink" Target="https://drive.google.com/file/d/14iuGCgPEpJjZQHUMYPNSp0cNGhUgr5py/view?usp=sharing" TargetMode="External"/><Relationship Id="rId7" Type="http://schemas.openxmlformats.org/officeDocument/2006/relationships/hyperlink" Target="https://drive.google.com/file/d/18A8oB4pBP0WGke37OiYCLrDkrv5bN5av/view?usp=drive_link" TargetMode="External"/><Relationship Id="rId145" Type="http://schemas.openxmlformats.org/officeDocument/2006/relationships/hyperlink" Target="https://drive.google.com/file/d/1mmtf4VR-zmF4bRWtQL7249AiCXb2yoOZ/view?usp=sharing" TargetMode="External"/><Relationship Id="rId8" Type="http://schemas.openxmlformats.org/officeDocument/2006/relationships/hyperlink" Target="https://drive.google.com/file/d/1hmLmPgxcNhmgqLYWxzAySfhepx74eqY8/view?usp=drive_link" TargetMode="External"/><Relationship Id="rId144" Type="http://schemas.openxmlformats.org/officeDocument/2006/relationships/hyperlink" Target="https://drive.google.com/file/d/1FEyQpxZw9o8gKl0fuqWgr35pguBgH19x/view?usp=sharing" TargetMode="External"/><Relationship Id="rId139" Type="http://schemas.openxmlformats.org/officeDocument/2006/relationships/hyperlink" Target="https://drive.google.com/file/d/1l0iuIxRlZgsAXhprEx3ldXo895pzHlYS/view?usp=sharing" TargetMode="External"/><Relationship Id="rId138" Type="http://schemas.openxmlformats.org/officeDocument/2006/relationships/hyperlink" Target="https://drive.google.com/file/d/1dvjFFO7pj3HS52GHHCbkHfSFcLHC6KHJ/view?usp=sharing" TargetMode="External"/><Relationship Id="rId137" Type="http://schemas.openxmlformats.org/officeDocument/2006/relationships/hyperlink" Target="https://drive.google.com/file/d/1LcS9pAEnOwe5TYhKNU5PayzyODGMrIzk/view?usp=sharing" TargetMode="External"/><Relationship Id="rId132" Type="http://schemas.openxmlformats.org/officeDocument/2006/relationships/hyperlink" Target="http://s.si/" TargetMode="External"/><Relationship Id="rId131" Type="http://schemas.openxmlformats.org/officeDocument/2006/relationships/hyperlink" Target="https://drive.google.com/file/d/1jF5q6VZdi2ugShAwlSWiM2ljduarQoEs/view?usp=sharing" TargetMode="External"/><Relationship Id="rId130" Type="http://schemas.openxmlformats.org/officeDocument/2006/relationships/hyperlink" Target="http://s.si/" TargetMode="External"/><Relationship Id="rId136" Type="http://schemas.openxmlformats.org/officeDocument/2006/relationships/hyperlink" Target="https://drive.google.com/file/d/1WjYoFZiyPGplDr6YeGEgm8qgH4z73OKV/view?usp=sharing" TargetMode="External"/><Relationship Id="rId135" Type="http://schemas.openxmlformats.org/officeDocument/2006/relationships/hyperlink" Target="http://s.si/" TargetMode="External"/><Relationship Id="rId134" Type="http://schemas.openxmlformats.org/officeDocument/2006/relationships/hyperlink" Target="https://drive.google.com/file/d/1Q19gyCWCkW1jVv9GPZsYTS-Y7jjk08Zg/view?usp=sharing" TargetMode="External"/><Relationship Id="rId133" Type="http://schemas.openxmlformats.org/officeDocument/2006/relationships/hyperlink" Target="https://drive.google.com/file/d/1iArKMNxwmsm59xi4KJ2Kk_v9MGmFlDYp/view?usp=sharing" TargetMode="External"/><Relationship Id="rId165" Type="http://schemas.openxmlformats.org/officeDocument/2006/relationships/hyperlink" Target="https://drive.google.com/file/d/1TOpHVu8hlbrs60iUC1JNNGAjUwe_iZ_r/view?usp=sharing" TargetMode="External"/><Relationship Id="rId164" Type="http://schemas.openxmlformats.org/officeDocument/2006/relationships/hyperlink" Target="https://drive.google.com/file/d/1VyIyUZldIqyDWVEY-AjFvuhEKFnvIdpl/view?usp=sharing" TargetMode="External"/><Relationship Id="rId163" Type="http://schemas.openxmlformats.org/officeDocument/2006/relationships/hyperlink" Target="https://drive.google.com/file/d/1TOpHVu8hlbrs60iUC1JNNGAjUwe_iZ_r/view?usp=sharing" TargetMode="External"/><Relationship Id="rId162" Type="http://schemas.openxmlformats.org/officeDocument/2006/relationships/hyperlink" Target="https://drive.google.com/file/d/1VyIyUZldIqyDWVEY-AjFvuhEKFnvIdpl/view?usp=sharing" TargetMode="External"/><Relationship Id="rId169" Type="http://schemas.openxmlformats.org/officeDocument/2006/relationships/drawing" Target="../drawings/drawing3.xml"/><Relationship Id="rId168" Type="http://schemas.openxmlformats.org/officeDocument/2006/relationships/hyperlink" Target="https://drive.google.com/file/d/1LTfxvnK5EySQ0Q1jyP7y4ysiuMxXyKuA/view?usp=sharing" TargetMode="External"/><Relationship Id="rId167" Type="http://schemas.openxmlformats.org/officeDocument/2006/relationships/hyperlink" Target="https://drive.google.com/file/d/1LTfxvnK5EySQ0Q1jyP7y4ysiuMxXyKuA/view?usp=sharing" TargetMode="External"/><Relationship Id="rId166" Type="http://schemas.openxmlformats.org/officeDocument/2006/relationships/hyperlink" Target="https://drive.google.com/file/d/15_xtk5ktVhOzd5SjPFmCoxylr29uMwLS/view?usp=sharing" TargetMode="External"/><Relationship Id="rId161" Type="http://schemas.openxmlformats.org/officeDocument/2006/relationships/hyperlink" Target="https://drive.google.com/file/d/11PxaiRSqStSRa0vFH5kVD2Tt6g9ePihn/view?usp=drive_link" TargetMode="External"/><Relationship Id="rId160" Type="http://schemas.openxmlformats.org/officeDocument/2006/relationships/hyperlink" Target="https://drive.google.com/file/d/1sueoX7dcPJMJaexMiiJgAvooxy6dy9aE/view?usp=drive_link" TargetMode="External"/><Relationship Id="rId159" Type="http://schemas.openxmlformats.org/officeDocument/2006/relationships/hyperlink" Target="https://drive.google.com/file/d/1RnZj951Lsm9yyNEUAyFJ0tOkqKxYPLq8/view?usp=drive_link" TargetMode="External"/><Relationship Id="rId154" Type="http://schemas.openxmlformats.org/officeDocument/2006/relationships/hyperlink" Target="https://drive.google.com/file/d/1W_19qk4A4KNpe3tUuO_HbHXInm2rcgmr/view?usp=drive_link" TargetMode="External"/><Relationship Id="rId153" Type="http://schemas.openxmlformats.org/officeDocument/2006/relationships/hyperlink" Target="https://drive.google.com/open?id=14AttkyF8yJV1f_-uW98nJRXe0s-Ljv-n&amp;usp=drive_copy" TargetMode="External"/><Relationship Id="rId152" Type="http://schemas.openxmlformats.org/officeDocument/2006/relationships/hyperlink" Target="https://drive.google.com/file/d/1u8fQs4lDKnl57aT1_Yc73t842JKbNmLU/view?usp=drive_link" TargetMode="External"/><Relationship Id="rId151" Type="http://schemas.openxmlformats.org/officeDocument/2006/relationships/hyperlink" Target="https://drive.google.com/file/d/1PJDsqg_1RCrdsmuHRCvv379iKBibRbgk/view?usp=drive_link" TargetMode="External"/><Relationship Id="rId158" Type="http://schemas.openxmlformats.org/officeDocument/2006/relationships/hyperlink" Target="https://drive.google.com/file/d/1LzT4tmSkLk6VrTF9Pt-YqBZa3jFbeUOW/view?usp=sharing" TargetMode="External"/><Relationship Id="rId157" Type="http://schemas.openxmlformats.org/officeDocument/2006/relationships/hyperlink" Target="https://drive.google.com/file/d/1ANO5jJSP9tSKESowi50DS0FpAprUfS5Z/view?usp=drive_link" TargetMode="External"/><Relationship Id="rId156" Type="http://schemas.openxmlformats.org/officeDocument/2006/relationships/hyperlink" Target="https://drive.google.com/file/d/1-79bfENk1241JAWYmN-33bXAdGh7ke7M/view?usp=drive_link" TargetMode="External"/><Relationship Id="rId155" Type="http://schemas.openxmlformats.org/officeDocument/2006/relationships/hyperlink" Target="https://drive.google.com/file/d/1_Rvw77-8mwh1IopdAg4eT9yIr0VtKRjz/view?usp=drive_link" TargetMode="External"/><Relationship Id="rId40" Type="http://schemas.openxmlformats.org/officeDocument/2006/relationships/hyperlink" Target="https://drive.google.com/file/d/18A8oB4pBP0WGke37OiYCLrDkrv5bN5av/view?usp=drive_link" TargetMode="External"/><Relationship Id="rId42" Type="http://schemas.openxmlformats.org/officeDocument/2006/relationships/hyperlink" Target="https://drive.google.com/file/d/1werTJUh5VX3YtbNt2lYUfmSkx89QQPqN/view?usp=drive_link" TargetMode="External"/><Relationship Id="rId41" Type="http://schemas.openxmlformats.org/officeDocument/2006/relationships/hyperlink" Target="https://drive.google.com/file/d/1sueoX7dcPJMJaexMiiJgAvooxy6dy9aE/view?usp=drive_link" TargetMode="External"/><Relationship Id="rId44" Type="http://schemas.openxmlformats.org/officeDocument/2006/relationships/hyperlink" Target="https://drive.google.com/file/d/1o3D_KuH6wxyA5rzaM4VavUuOO5WxZMbh/view?usp=drive_link" TargetMode="External"/><Relationship Id="rId43" Type="http://schemas.openxmlformats.org/officeDocument/2006/relationships/hyperlink" Target="https://drive.google.com/file/d/1hmLmPgxcNhmgqLYWxzAySfhepx74eqY8/view?usp=drive_link" TargetMode="External"/><Relationship Id="rId46" Type="http://schemas.openxmlformats.org/officeDocument/2006/relationships/hyperlink" Target="https://drive.google.com/file/d/1h_Xe_LM1ZbbCFd_nOzK5i2_LAiRJIdzp/view?usp=drive_link" TargetMode="External"/><Relationship Id="rId45" Type="http://schemas.openxmlformats.org/officeDocument/2006/relationships/hyperlink" Target="https://drive.google.com/file/d/1T-IN4mwGSDD87xJR-_SWwHfOMSbIMTDN/view?usp=drive_link," TargetMode="External"/><Relationship Id="rId48" Type="http://schemas.openxmlformats.org/officeDocument/2006/relationships/hyperlink" Target="https://drive.google.com/file/d/17jzuFNqyLXTSRGDFhJ8KPSX8W57odBpk/view?usp=drive_link" TargetMode="External"/><Relationship Id="rId47" Type="http://schemas.openxmlformats.org/officeDocument/2006/relationships/hyperlink" Target="https://drive.google.com/file/d/14y-B4g2jgmP65BbhksdkLwKG1xOmhqww/view?usp=drive_link" TargetMode="External"/><Relationship Id="rId49" Type="http://schemas.openxmlformats.org/officeDocument/2006/relationships/hyperlink" Target="https://drive.google.com/file/d/1qQs7T96b-aUdV1yeetCgNPQVXXdvaiFH/view?usp=drive_link" TargetMode="External"/><Relationship Id="rId31" Type="http://schemas.openxmlformats.org/officeDocument/2006/relationships/hyperlink" Target="https://drive.google.com/file/d/1fTvwRTLQraOqdQ_KzSEMIqniHzBG80th/view?usp=drive_link" TargetMode="External"/><Relationship Id="rId30" Type="http://schemas.openxmlformats.org/officeDocument/2006/relationships/hyperlink" Target="https://drive.google.com/file/d/1hFpDT7Mq0g9KsrT5W9sl19Gf4h5G6hBp/view?usp=drive_link" TargetMode="External"/><Relationship Id="rId33" Type="http://schemas.openxmlformats.org/officeDocument/2006/relationships/hyperlink" Target="https://drive.google.com/file/d/1werTJUh5VX3YtbNt2lYUfmSkx89QQPqN/view?usp=drive_link" TargetMode="External"/><Relationship Id="rId32" Type="http://schemas.openxmlformats.org/officeDocument/2006/relationships/hyperlink" Target="https://drive.google.com/file/d/1h_Xe_LM1ZbbCFd_nOzK5i2_LAiRJIdzp/view?usp=drive_link" TargetMode="External"/><Relationship Id="rId35" Type="http://schemas.openxmlformats.org/officeDocument/2006/relationships/hyperlink" Target="https://drive.google.com/file/d/1T-IN4mwGSDD87xJR-_SWwHfOMSbIMTDN/view?usp=drive_link" TargetMode="External"/><Relationship Id="rId34" Type="http://schemas.openxmlformats.org/officeDocument/2006/relationships/hyperlink" Target="https://drive.google.com/file/d/18A8oB4pBP0WGke37OiYCLrDkrv5bN5av/view?usp=drive_link" TargetMode="External"/><Relationship Id="rId37" Type="http://schemas.openxmlformats.org/officeDocument/2006/relationships/hyperlink" Target="https://drive.google.com/file/d/1sueoX7dcPJMJaexMiiJgAvooxy6dy9aE/view?usp=drive_link" TargetMode="External"/><Relationship Id="rId36" Type="http://schemas.openxmlformats.org/officeDocument/2006/relationships/hyperlink" Target="https://drive.google.com/file/d/1o3D_KuH6wxyA5rzaM4VavUuOO5WxZMbh/view?usp=drive_link" TargetMode="External"/><Relationship Id="rId39" Type="http://schemas.openxmlformats.org/officeDocument/2006/relationships/hyperlink" Target="https://drive.google.com/file/d/1F0eM2LwoUH6-txLx2YYJ1L5ty91vl0Az/view?usp=drive_link" TargetMode="External"/><Relationship Id="rId38" Type="http://schemas.openxmlformats.org/officeDocument/2006/relationships/hyperlink" Target="https://drive.google.com/file/d/1hmLmPgxcNhmgqLYWxzAySfhepx74eqY8/view?usp=drive_link" TargetMode="External"/><Relationship Id="rId20" Type="http://schemas.openxmlformats.org/officeDocument/2006/relationships/hyperlink" Target="https://drive.google.com/file/d/1Mm_bdjHfpLJKWEgNG76IpkVTIv3AF3oA/view?usp=drive_link" TargetMode="External"/><Relationship Id="rId22" Type="http://schemas.openxmlformats.org/officeDocument/2006/relationships/hyperlink" Target="https://drive.google.com/file/d/1F42wLrP3h6CZGjtXtz9UY0Z99exKP4zO/view?usp=drive_link" TargetMode="External"/><Relationship Id="rId21" Type="http://schemas.openxmlformats.org/officeDocument/2006/relationships/hyperlink" Target="https://drive.google.com/file/d/1NGkmXOdO3taeSBKtfW1wjnYl1oZeerw_/view?usp=drive_link" TargetMode="External"/><Relationship Id="rId24" Type="http://schemas.openxmlformats.org/officeDocument/2006/relationships/hyperlink" Target="https://drive.google.com/file/d/1vL26Ac_kOUWaXt_iUzpX0lNhZ5heS6hQ/view?usp=drive_link" TargetMode="External"/><Relationship Id="rId23" Type="http://schemas.openxmlformats.org/officeDocument/2006/relationships/hyperlink" Target="https://drive.google.com/file/d/16SOwA3FSDEG8LLNqMm5phL6YHxXiqeZB/view?usp=drive_link" TargetMode="External"/><Relationship Id="rId26" Type="http://schemas.openxmlformats.org/officeDocument/2006/relationships/hyperlink" Target="https://drive.google.com/file/d/19ewU3i6rqNYCO6q-Xy_ltHpoTYT77yLK/view?usp=drive_link" TargetMode="External"/><Relationship Id="rId25" Type="http://schemas.openxmlformats.org/officeDocument/2006/relationships/hyperlink" Target="https://drive.google.com/file/d/1TbQTmc9OtcWPrt0idFBJMr37PXTA3RU_/view?usp=drive_link" TargetMode="External"/><Relationship Id="rId28" Type="http://schemas.openxmlformats.org/officeDocument/2006/relationships/hyperlink" Target="https://drive.google.com/file/d/1bvIG2L6lg8btUbeUaI_hgVnRW8e7L6rN/view?usp=drive_link" TargetMode="External"/><Relationship Id="rId27" Type="http://schemas.openxmlformats.org/officeDocument/2006/relationships/hyperlink" Target="https://drive.google.com/file/d/1o-Gh8kPKz0fmjw5LeGs_8w8BgiFtXgJB/view?usp=drive_link" TargetMode="External"/><Relationship Id="rId29" Type="http://schemas.openxmlformats.org/officeDocument/2006/relationships/hyperlink" Target="https://drive.google.com/file/d/1lzK6V10Da0j4a-Fws5TjtfCn6vHGnax1/view?usp=drive_link" TargetMode="External"/><Relationship Id="rId11" Type="http://schemas.openxmlformats.org/officeDocument/2006/relationships/hyperlink" Target="https://drive.google.com/file/d/1WBqjfXnlSFUhAPk1bZUKJZMUC4crOMcs/view?usp=drive_link" TargetMode="External"/><Relationship Id="rId10" Type="http://schemas.openxmlformats.org/officeDocument/2006/relationships/hyperlink" Target="https://drive.google.com/file/d/1cHqCik9aTBbS2Q1vYH5bDjNzQQ_WfgpX/view?usp=drive_link" TargetMode="External"/><Relationship Id="rId13" Type="http://schemas.openxmlformats.org/officeDocument/2006/relationships/hyperlink" Target="https://drive.google.com/file/d/174nkydGNXBigU8C6_KPKcLvl9gw4_H-m/view?usp=drive_link" TargetMode="External"/><Relationship Id="rId12" Type="http://schemas.openxmlformats.org/officeDocument/2006/relationships/hyperlink" Target="https://drive.google.com/file/d/1OpBVeliv6KRwC1WeqQJnvxThhmHjwz0A/view?usp=drive_link" TargetMode="External"/><Relationship Id="rId15" Type="http://schemas.openxmlformats.org/officeDocument/2006/relationships/hyperlink" Target="https://drive.google.com/file/d/17jzuFNqyLXTSRGDFhJ8KPSX8W57odBpk/view?usp=drive_link" TargetMode="External"/><Relationship Id="rId14" Type="http://schemas.openxmlformats.org/officeDocument/2006/relationships/hyperlink" Target="https://drive.google.com/file/d/1q9t7LAS4tNJ2irnOU2BLHfOL6lM4qf2e/view?usp=drive_link" TargetMode="External"/><Relationship Id="rId17" Type="http://schemas.openxmlformats.org/officeDocument/2006/relationships/hyperlink" Target="https://drive.google.com/file/d/1bRMZUxcWqcthl8poTJKYDeAHY_ULB6is/view?usp=drive_link" TargetMode="External"/><Relationship Id="rId16" Type="http://schemas.openxmlformats.org/officeDocument/2006/relationships/hyperlink" Target="https://drive.google.com/file/d/1fFBgKmvU1WEgliSyg7Y4jiqZcbhUHU6N/view?usp=drive_link" TargetMode="External"/><Relationship Id="rId19" Type="http://schemas.openxmlformats.org/officeDocument/2006/relationships/hyperlink" Target="https://drive.google.com/file/d/1Flb5anLjOxvmN4_kmxj9ZV1kSXHPHsKG/view?usp=drive_link" TargetMode="External"/><Relationship Id="rId18" Type="http://schemas.openxmlformats.org/officeDocument/2006/relationships/hyperlink" Target="https://drive.google.com/file/d/1e96jSYZsdwZIZIEkYKFOeV3vxw2i_rTq/view?usp=drive_link" TargetMode="External"/><Relationship Id="rId84" Type="http://schemas.openxmlformats.org/officeDocument/2006/relationships/hyperlink" Target="https://drive.google.com/file/d/198QqdlCkTGeNvy1M8jGeooUOYxabb5GJ/view?usp=drive_link" TargetMode="External"/><Relationship Id="rId83" Type="http://schemas.openxmlformats.org/officeDocument/2006/relationships/hyperlink" Target="https://drive.google.com/file/d/1OWPJywNVpJK9uumlAud8zEljUe9KhvB8/view?usp=drive_link" TargetMode="External"/><Relationship Id="rId86" Type="http://schemas.openxmlformats.org/officeDocument/2006/relationships/hyperlink" Target="https://drive.google.com/file/d/1ywqNVPv_l7Zs6Jo8VIcVPzr48wSUYTXI/view?usp=drive_link" TargetMode="External"/><Relationship Id="rId85" Type="http://schemas.openxmlformats.org/officeDocument/2006/relationships/hyperlink" Target="https://drive.google.com/file/d/1LH4mdbg6R1Q3Lz6YCLoa_h96HNx0yw0P/view?usp=drive_link" TargetMode="External"/><Relationship Id="rId88" Type="http://schemas.openxmlformats.org/officeDocument/2006/relationships/hyperlink" Target="https://drive.google.com/file/d/1-kXgYfUxEpx4_Ic-UfAkTWKZFF5lA65n/view?usp=drive_link" TargetMode="External"/><Relationship Id="rId87" Type="http://schemas.openxmlformats.org/officeDocument/2006/relationships/hyperlink" Target="https://drive.google.com/file/d/1JtzYkMx9nZ1TO3L0CutLmv3Ym1qFGFn-/view?usp=drive_link" TargetMode="External"/><Relationship Id="rId89" Type="http://schemas.openxmlformats.org/officeDocument/2006/relationships/hyperlink" Target="https://drive.google.com/file/d/1zT_kt6L7_zy58VvIo5sqIOLtqQBPs7-S/view?usp=drive_link" TargetMode="External"/><Relationship Id="rId80" Type="http://schemas.openxmlformats.org/officeDocument/2006/relationships/hyperlink" Target="https://drive.google.com/file/d/1jBgU8YP3QMQ9G2JL9WR0rXvOFkr3xhfR/view?usp=drive_link" TargetMode="External"/><Relationship Id="rId82" Type="http://schemas.openxmlformats.org/officeDocument/2006/relationships/hyperlink" Target="https://drive.google.com/file/d/1gUemuNZY3KXqEeseJagmYc9AdEFgBDxp/view?usp=drive_link" TargetMode="External"/><Relationship Id="rId81" Type="http://schemas.openxmlformats.org/officeDocument/2006/relationships/hyperlink" Target="https://drive.google.com/file/d/1s3pJHFM_60sx12RWxWXVr65KwybLV8_W/view?usp=drive_link" TargetMode="External"/><Relationship Id="rId73" Type="http://schemas.openxmlformats.org/officeDocument/2006/relationships/hyperlink" Target="https://drive.google.com/file/d/1u8fQs4lDKnl57aT1_Yc73t842JKbNmLU/view?usp=drive_link" TargetMode="External"/><Relationship Id="rId72" Type="http://schemas.openxmlformats.org/officeDocument/2006/relationships/hyperlink" Target="https://drive.google.com/file/d/1hFpDT7Mq0g9KsrT5W9sl19Gf4h5G6hBp/view?usp=drive_link" TargetMode="External"/><Relationship Id="rId75" Type="http://schemas.openxmlformats.org/officeDocument/2006/relationships/hyperlink" Target="https://drive.google.com/file/d/10JEuEngCTKeJht_H02mzmtuhcvtBif2U/view?usp=drive_link" TargetMode="External"/><Relationship Id="rId74" Type="http://schemas.openxmlformats.org/officeDocument/2006/relationships/hyperlink" Target="https://drive.google.com/file/d/1RnZj951Lsm9yyNEUAyFJ0tOkqKxYPLq8/view?usp=drive_link" TargetMode="External"/><Relationship Id="rId77" Type="http://schemas.openxmlformats.org/officeDocument/2006/relationships/hyperlink" Target="https://drive.google.com/file/d/1W_19qk4A4KNpe3tUuO_HbHXInm2rcgmr/view?usp=drive_link" TargetMode="External"/><Relationship Id="rId76" Type="http://schemas.openxmlformats.org/officeDocument/2006/relationships/hyperlink" Target="https://drive.google.com/file/d/1PJDsqg_1RCrdsmuHRCvv379iKBibRbgk/view?usp=drive_link" TargetMode="External"/><Relationship Id="rId79" Type="http://schemas.openxmlformats.org/officeDocument/2006/relationships/hyperlink" Target="https://drive.google.com/file/d/1fmdRCf0veD91YIzhj0jZwiwbv_lamKxJ/view?usp=drive_link" TargetMode="External"/><Relationship Id="rId78" Type="http://schemas.openxmlformats.org/officeDocument/2006/relationships/hyperlink" Target="https://drive.google.com/file/d/1ANO5jJSP9tSKESowi50DS0FpAprUfS5Z/view?usp=drive_link" TargetMode="External"/><Relationship Id="rId71" Type="http://schemas.openxmlformats.org/officeDocument/2006/relationships/hyperlink" Target="https://drive.google.com/file/d/1fTvwRTLQraOqdQ_KzSEMIqniHzBG80th/view?usp=drive_link" TargetMode="External"/><Relationship Id="rId70" Type="http://schemas.openxmlformats.org/officeDocument/2006/relationships/hyperlink" Target="https://drive.google.com/file/d/1-79bfENk1241JAWYmN-33bXAdGh7ke7M/view?usp=drive_link" TargetMode="External"/><Relationship Id="rId62" Type="http://schemas.openxmlformats.org/officeDocument/2006/relationships/hyperlink" Target="https://drive.google.com/file/d/1dbBJwX8gVCekzTNJIFnHlaFrFNx9B1Go/view?usp=drive_link" TargetMode="External"/><Relationship Id="rId61" Type="http://schemas.openxmlformats.org/officeDocument/2006/relationships/hyperlink" Target="https://drive.google.com/file/d/1U6zunooISlDOebb0c4GXqRavNJPgeScE/view?usp=drive_link" TargetMode="External"/><Relationship Id="rId64" Type="http://schemas.openxmlformats.org/officeDocument/2006/relationships/hyperlink" Target="https://drive.google.com/file/d/1Cskv9WTSJ4sldbpYrOU1l6T0HM4jcJ1K/view?usp=drive_link" TargetMode="External"/><Relationship Id="rId63" Type="http://schemas.openxmlformats.org/officeDocument/2006/relationships/hyperlink" Target="https://drive.google.com/file/d/15nHoCbT5WkQAozF5zpRYGJEvTiJnHpGd/view?usp=drive_link" TargetMode="External"/><Relationship Id="rId66" Type="http://schemas.openxmlformats.org/officeDocument/2006/relationships/hyperlink" Target="https://drive.google.com/file/d/102N2clGVln124ZRZEpRXVCsVS8UMSKZB/view?usp=drive_link" TargetMode="External"/><Relationship Id="rId65" Type="http://schemas.openxmlformats.org/officeDocument/2006/relationships/hyperlink" Target="https://drive.google.com/file/d/1dTpM9QiqBALqv5RamkDtcaS96yyW7slc/view?usp=drive_link" TargetMode="External"/><Relationship Id="rId68" Type="http://schemas.openxmlformats.org/officeDocument/2006/relationships/hyperlink" Target="https://drive.google.com/open?id=14AttkyF8yJV1f_-uW98nJRXe0s-Ljv-n&amp;usp=drive_copy" TargetMode="External"/><Relationship Id="rId67" Type="http://schemas.openxmlformats.org/officeDocument/2006/relationships/hyperlink" Target="https://drive.google.com/file/d/1KWu0Cw4dGdQ4sn1v5XlKdkq_HI5XGzVY/view?usp=drive_link" TargetMode="External"/><Relationship Id="rId60" Type="http://schemas.openxmlformats.org/officeDocument/2006/relationships/hyperlink" Target="https://drive.google.com/file/d/1wiNviwj2I7LddRjltuhECPMRMC0mG3KA/view?usp=drive_link" TargetMode="External"/><Relationship Id="rId69" Type="http://schemas.openxmlformats.org/officeDocument/2006/relationships/hyperlink" Target="https://drive.google.com/file/d/1_Rvw77-8mwh1IopdAg4eT9yIr0VtKRjz/view?usp=drive_link" TargetMode="External"/><Relationship Id="rId51" Type="http://schemas.openxmlformats.org/officeDocument/2006/relationships/hyperlink" Target="https://drive.google.com/file/d/1FE6Fudnmyy4mSvB_qWoHTxIoeAQl_h9W/view?usp=drive_link" TargetMode="External"/><Relationship Id="rId50" Type="http://schemas.openxmlformats.org/officeDocument/2006/relationships/hyperlink" Target="https://drive.google.com/file/d/1amR9tDcUOYw31z3-h9RU-YHjRuKyORb0/view?usp=drive_link" TargetMode="External"/><Relationship Id="rId53" Type="http://schemas.openxmlformats.org/officeDocument/2006/relationships/hyperlink" Target="https://drive.google.com/file/d/1dgV8zs14kVAN5FaBzE7drQaTGABJL2iI/view?usp=drive_link" TargetMode="External"/><Relationship Id="rId52" Type="http://schemas.openxmlformats.org/officeDocument/2006/relationships/hyperlink" Target="https://drive.google.com/file/d/1GZ0NiwWmjjLe9ZhvzVSlD3u5Tj_Dwz1-/view?usp=drive_link" TargetMode="External"/><Relationship Id="rId55" Type="http://schemas.openxmlformats.org/officeDocument/2006/relationships/hyperlink" Target="https://drive.google.com/file/d/1z95GmzdlD3oJvtVlQT2UiUSDFyDXzEK-/view?usp=drive_link" TargetMode="External"/><Relationship Id="rId54" Type="http://schemas.openxmlformats.org/officeDocument/2006/relationships/hyperlink" Target="https://drive.google.com/file/d/1sOvBW82LEgjushrCw-UpJ9uaJtJanUW3/view?usp=drive_link" TargetMode="External"/><Relationship Id="rId57" Type="http://schemas.openxmlformats.org/officeDocument/2006/relationships/hyperlink" Target="https://drive.google.com/file/d/1i0SCk9dQg3zIyVGAyUtw7OnBxFRKOdog/view?usp=drive_link" TargetMode="External"/><Relationship Id="rId56" Type="http://schemas.openxmlformats.org/officeDocument/2006/relationships/hyperlink" Target="https://drive.google.com/file/d/1FvEEbxpGv-uNcih3-PgcBFoW5KyVgt2D/view?usp=drive_link" TargetMode="External"/><Relationship Id="rId59" Type="http://schemas.openxmlformats.org/officeDocument/2006/relationships/hyperlink" Target="https://drive.google.com/file/d/1LIi2Qn7gJSsqBt5e5vCzFqRLMcl35lTP/view?usp=drive_link" TargetMode="External"/><Relationship Id="rId58" Type="http://schemas.openxmlformats.org/officeDocument/2006/relationships/hyperlink" Target="https://drive.google.com/file/d/1yVTw7FMO5zcfWQrmGlcZfdD8sv7TsCbQ/view?usp=drive_link" TargetMode="External"/><Relationship Id="rId107" Type="http://schemas.openxmlformats.org/officeDocument/2006/relationships/hyperlink" Target="https://drive.google.com/file/d/1HQdldLZdCXFB36SlaBcpCIZuk3Kq2KbY/view?usp=drive_link" TargetMode="External"/><Relationship Id="rId106" Type="http://schemas.openxmlformats.org/officeDocument/2006/relationships/hyperlink" Target="https://drive.google.com/file/d/17jzuFNqyLXTSRGDFhJ8KPSX8W57odBpk/view?usp=drive_link" TargetMode="External"/><Relationship Id="rId105" Type="http://schemas.openxmlformats.org/officeDocument/2006/relationships/hyperlink" Target="https://drive.google.com/file/d/1q9t7LAS4tNJ2irnOU2BLHfOL6lM4qf2e/view?usp=drive_link" TargetMode="External"/><Relationship Id="rId104" Type="http://schemas.openxmlformats.org/officeDocument/2006/relationships/hyperlink" Target="https://drive.google.com/file/d/174nkydGNXBigU8C6_KPKcLvl9gw4_H-m/view?usp=drive_link" TargetMode="External"/><Relationship Id="rId109" Type="http://schemas.openxmlformats.org/officeDocument/2006/relationships/hyperlink" Target="https://drive.google.com/open?id=14AttkyF8yJV1f_-uW98nJRXe0s-Ljv-n&amp;usp=drive_copy" TargetMode="External"/><Relationship Id="rId108" Type="http://schemas.openxmlformats.org/officeDocument/2006/relationships/hyperlink" Target="https://drive.google.com/file/d/1PJDsqg_1RCrdsmuHRCvv379iKBibRbgk/view?usp=drive_link" TargetMode="External"/><Relationship Id="rId103" Type="http://schemas.openxmlformats.org/officeDocument/2006/relationships/hyperlink" Target="https://drive.google.com/file/d/1OpBVeliv6KRwC1WeqQJnvxThhmHjwz0A/view?usp=drive_link" TargetMode="External"/><Relationship Id="rId102" Type="http://schemas.openxmlformats.org/officeDocument/2006/relationships/hyperlink" Target="https://drive.google.com/file/d/1lKugex1Et1QQ1VbPcMPIUH66hBc7UgVM/view?usp=drive_link" TargetMode="External"/><Relationship Id="rId101" Type="http://schemas.openxmlformats.org/officeDocument/2006/relationships/hyperlink" Target="https://drive.google.com/file/d/1WBqjfXnlSFUhAPk1bZUKJZMUC4crOMcs/view?usp=drive_link" TargetMode="External"/><Relationship Id="rId100" Type="http://schemas.openxmlformats.org/officeDocument/2006/relationships/hyperlink" Target="https://drive.google.com/file/d/1hFpDT7Mq0g9KsrT5W9sl19Gf4h5G6hBp/view?usp=drive_link" TargetMode="External"/><Relationship Id="rId129" Type="http://schemas.openxmlformats.org/officeDocument/2006/relationships/hyperlink" Target="http://s.si/" TargetMode="External"/><Relationship Id="rId128" Type="http://schemas.openxmlformats.org/officeDocument/2006/relationships/hyperlink" Target="https://drive.google.com/file/d/1kU5nz4LW950mdbsYvPyEDchAE3qSPIz1/view?usp=sharing" TargetMode="External"/><Relationship Id="rId127" Type="http://schemas.openxmlformats.org/officeDocument/2006/relationships/hyperlink" Target="http://s.si/" TargetMode="External"/><Relationship Id="rId126" Type="http://schemas.openxmlformats.org/officeDocument/2006/relationships/hyperlink" Target="https://drive.google.com/file/d/1G5NYCkM6uokwlr3hggH2-1vZWpON7OMm/view?usp=drive_link" TargetMode="External"/><Relationship Id="rId121" Type="http://schemas.openxmlformats.org/officeDocument/2006/relationships/hyperlink" Target="https://drive.google.com/file/d/1lzK6V10Da0j4a-Fws5TjtfCn6vHGnax1/view?usp=drive_link" TargetMode="External"/><Relationship Id="rId120" Type="http://schemas.openxmlformats.org/officeDocument/2006/relationships/hyperlink" Target="https://drive.google.com/file/d/1qQs7T96b-aUdV1yeetCgNPQVXXdvaiFH/view?usp=drive_link" TargetMode="External"/><Relationship Id="rId125" Type="http://schemas.openxmlformats.org/officeDocument/2006/relationships/hyperlink" Target="https://drive.google.com/file/d/1mUjcWA9JDofl4OixlfuYQoGiMntZ3vIF/view?usp=drive_link" TargetMode="External"/><Relationship Id="rId124" Type="http://schemas.openxmlformats.org/officeDocument/2006/relationships/hyperlink" Target="https://drive.google.com/file/d/1r3ykrgHUHq4rL3xvw5_gHeOPf3Utzpcl/view?usp=drive_link" TargetMode="External"/><Relationship Id="rId123" Type="http://schemas.openxmlformats.org/officeDocument/2006/relationships/hyperlink" Target="https://drive.google.com/file/d/1F0eM2LwoUH6-txLx2YYJ1L5ty91vl0Az/view?usp=drive_link" TargetMode="External"/><Relationship Id="rId122" Type="http://schemas.openxmlformats.org/officeDocument/2006/relationships/hyperlink" Target="https://drive.google.com/file/d/1OpBVeliv6KRwC1WeqQJnvxThhmHjwz0A/view?usp=drive_link" TargetMode="External"/><Relationship Id="rId95" Type="http://schemas.openxmlformats.org/officeDocument/2006/relationships/hyperlink" Target="https://drive.google.com/file/d/1werTJUh5VX3YtbNt2lYUfmSkx89QQPqN/view?usp=drive_link" TargetMode="External"/><Relationship Id="rId94" Type="http://schemas.openxmlformats.org/officeDocument/2006/relationships/hyperlink" Target="https://drive.google.com/file/d/1lzK6V10Da0j4a-Fws5TjtfCn6vHGnax1/view?usp=drive_link" TargetMode="External"/><Relationship Id="rId97" Type="http://schemas.openxmlformats.org/officeDocument/2006/relationships/hyperlink" Target="https://drive.google.com/file/d/15IdD63eH0bP4w-naQgLDyD38lEbdghMQ/view?usp=drive_link" TargetMode="External"/><Relationship Id="rId96" Type="http://schemas.openxmlformats.org/officeDocument/2006/relationships/hyperlink" Target="https://drive.google.com/file/d/11PxaiRSqStSRa0vFH5kVD2Tt6g9ePihn/view?usp=drive_link" TargetMode="External"/><Relationship Id="rId99" Type="http://schemas.openxmlformats.org/officeDocument/2006/relationships/hyperlink" Target="https://drive.google.com/file/d/1cHqCik9aTBbS2Q1vYH5bDjNzQQ_WfgpX/view?usp=drive_link" TargetMode="External"/><Relationship Id="rId98" Type="http://schemas.openxmlformats.org/officeDocument/2006/relationships/hyperlink" Target="https://drive.google.com/file/d/1lzK6V10Da0j4a-Fws5TjtfCn6vHGnax1/view?usp=drive_link" TargetMode="External"/><Relationship Id="rId91" Type="http://schemas.openxmlformats.org/officeDocument/2006/relationships/hyperlink" Target="https://drive.google.com/file/d/1y1eyPSg8Y_AB6f4QvRcuOWiLhHJfsgQz/view?usp=drive_link" TargetMode="External"/><Relationship Id="rId90" Type="http://schemas.openxmlformats.org/officeDocument/2006/relationships/hyperlink" Target="https://drive.google.com/file/d/1xS7eMRBiJDw3I2KPA26Inr1k67KvkdQm/view?usp=drive_link" TargetMode="External"/><Relationship Id="rId93" Type="http://schemas.openxmlformats.org/officeDocument/2006/relationships/hyperlink" Target="https://drive.google.com/file/d/1WBqjfXnlSFUhAPk1bZUKJZMUC4crOMcs/view?usp=drive_link" TargetMode="External"/><Relationship Id="rId92" Type="http://schemas.openxmlformats.org/officeDocument/2006/relationships/hyperlink" Target="https://drive.google.com/file/d/1DM_HxztHJV75xy11ZHdct-gWR6oBRIbI/view?usp=drive_link" TargetMode="External"/><Relationship Id="rId118" Type="http://schemas.openxmlformats.org/officeDocument/2006/relationships/hyperlink" Target="https://drive.google.com/file/d/1hmLmPgxcNhmgqLYWxzAySfhepx74eqY8/view?usp=drive_link" TargetMode="External"/><Relationship Id="rId117" Type="http://schemas.openxmlformats.org/officeDocument/2006/relationships/hyperlink" Target="https://drive.google.com/file/d/1fmdRCf0veD91YIzhj0jZwiwbv_lamKxJ/view?usp=drive_link" TargetMode="External"/><Relationship Id="rId116" Type="http://schemas.openxmlformats.org/officeDocument/2006/relationships/hyperlink" Target="https://drive.google.com/file/d/1jBgU8YP3QMQ9G2JL9WR0rXvOFkr3xhfR/view?usp=drive_link" TargetMode="External"/><Relationship Id="rId115" Type="http://schemas.openxmlformats.org/officeDocument/2006/relationships/hyperlink" Target="https://drive.google.com/file/d/1ANO5jJSP9tSKESowi50DS0FpAprUfS5Z/view?usp=drive_link" TargetMode="External"/><Relationship Id="rId119" Type="http://schemas.openxmlformats.org/officeDocument/2006/relationships/hyperlink" Target="https://drive.google.com/file/d/1sueoX7dcPJMJaexMiiJgAvooxy6dy9aE/view?usp=drive_link" TargetMode="External"/><Relationship Id="rId110" Type="http://schemas.openxmlformats.org/officeDocument/2006/relationships/hyperlink" Target="https://drive.google.com/file/d/1W_19qk4A4KNpe3tUuO_HbHXInm2rcgmr/view?usp=drive_link" TargetMode="External"/><Relationship Id="rId114" Type="http://schemas.openxmlformats.org/officeDocument/2006/relationships/hyperlink" Target="https://drive.google.com/file/d/1u8fQs4lDKnl57aT1_Yc73t842JKbNmLU/view?usp=drive_link" TargetMode="External"/><Relationship Id="rId113" Type="http://schemas.openxmlformats.org/officeDocument/2006/relationships/hyperlink" Target="https://drive.google.com/file/d/1-79bfENk1241JAWYmN-33bXAdGh7ke7M/view?usp=drive_link" TargetMode="External"/><Relationship Id="rId112" Type="http://schemas.openxmlformats.org/officeDocument/2006/relationships/hyperlink" Target="https://drive.google.com/file/d/1RnZj951Lsm9yyNEUAyFJ0tOkqKxYPLq8/view?usp=drive_link" TargetMode="External"/><Relationship Id="rId111" Type="http://schemas.openxmlformats.org/officeDocument/2006/relationships/hyperlink" Target="https://drive.google.com/file/d/1_Rvw77-8mwh1IopdAg4eT9yIr0VtKRjz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31.38"/>
    <col customWidth="1" min="3" max="3" width="20.13"/>
    <col customWidth="1" min="4" max="4" width="8.25"/>
    <col customWidth="1" min="5" max="5" width="20.0"/>
    <col customWidth="1" min="6" max="6" width="18.88"/>
    <col customWidth="1" min="7" max="7" width="16.25"/>
    <col customWidth="1" min="8" max="8" width="16.5"/>
    <col customWidth="1" min="9" max="9" width="15.75"/>
    <col customWidth="1" min="10" max="10" width="6.63"/>
    <col customWidth="1" min="11" max="11" width="8.63"/>
    <col customWidth="1" min="12" max="12" width="6.0"/>
    <col customWidth="1" min="13" max="13" width="17.0"/>
    <col customWidth="1" min="15" max="15" width="7.0"/>
    <col customWidth="1" min="16" max="16" width="23.63"/>
    <col customWidth="1" min="17" max="18" width="7.88"/>
    <col customWidth="1" min="19" max="19" width="6.25"/>
    <col customWidth="1" min="20" max="20" width="8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5" t="s">
        <v>15</v>
      </c>
      <c r="M1" s="7" t="s">
        <v>17</v>
      </c>
      <c r="N1" s="9" t="s">
        <v>18</v>
      </c>
      <c r="O1" s="13">
        <f>COUNTA(B2:B1770)</f>
        <v>1738</v>
      </c>
      <c r="P1" s="12" t="s">
        <v>31</v>
      </c>
      <c r="Q1" s="15">
        <f>COUNTIF($C$2:$C1599,P1)</f>
        <v>28</v>
      </c>
      <c r="R1" s="16">
        <f>Q1-COUNTIFS(M2:M1599,"-",C2:C1599,P1)</f>
        <v>24</v>
      </c>
      <c r="S1" s="17">
        <f>Q1-R1</f>
        <v>4</v>
      </c>
      <c r="T1" s="18">
        <f>R1/Q1</f>
        <v>0.8571428571</v>
      </c>
      <c r="U1" s="19">
        <f>sum(L2:L1750)</f>
        <v>3635</v>
      </c>
      <c r="V1" s="19"/>
      <c r="W1" s="19"/>
      <c r="X1" s="19"/>
    </row>
    <row r="2">
      <c r="A2" s="20">
        <v>1.0</v>
      </c>
      <c r="B2" s="12" t="s">
        <v>51</v>
      </c>
      <c r="C2" s="12" t="s">
        <v>31</v>
      </c>
      <c r="D2" s="21" t="s">
        <v>53</v>
      </c>
      <c r="E2" s="22" t="s">
        <v>54</v>
      </c>
      <c r="F2" s="12" t="s">
        <v>55</v>
      </c>
      <c r="G2" s="22"/>
      <c r="H2" s="12" t="s">
        <v>57</v>
      </c>
      <c r="I2" s="23">
        <v>9.789794655245E12</v>
      </c>
      <c r="J2" s="12">
        <v>2011.0</v>
      </c>
      <c r="K2" s="23" t="s">
        <v>65</v>
      </c>
      <c r="L2" s="24">
        <v>2.0</v>
      </c>
      <c r="M2" s="25" t="s">
        <v>70</v>
      </c>
      <c r="N2" s="26" t="str">
        <f t="shared" ref="N2:N80" si="1">D2 &amp; CHAR(10) &amp; LEFT(F2,3) &amp; CHAR(10) &amp; LOWER(LEFT(B2,1))</f>
        <v>004
DRA
p</v>
      </c>
      <c r="O2" s="26"/>
      <c r="P2" s="26"/>
      <c r="Q2" s="26"/>
      <c r="R2" s="26"/>
      <c r="S2" s="26"/>
      <c r="T2" s="26"/>
      <c r="U2" s="26"/>
      <c r="V2" s="26"/>
      <c r="W2" s="26"/>
      <c r="X2" s="26"/>
    </row>
    <row r="3">
      <c r="A3" s="20">
        <v>2.0</v>
      </c>
      <c r="B3" s="12" t="s">
        <v>83</v>
      </c>
      <c r="C3" s="12" t="s">
        <v>84</v>
      </c>
      <c r="D3" s="23" t="s">
        <v>85</v>
      </c>
      <c r="E3" s="12" t="s">
        <v>86</v>
      </c>
      <c r="F3" s="12" t="s">
        <v>87</v>
      </c>
      <c r="G3" s="22"/>
      <c r="H3" s="12" t="s">
        <v>88</v>
      </c>
      <c r="I3" s="23">
        <v>9.786020030623E12</v>
      </c>
      <c r="J3" s="12">
        <v>2012.0</v>
      </c>
      <c r="K3" s="23">
        <v>138.0</v>
      </c>
      <c r="L3" s="24">
        <v>1.0</v>
      </c>
      <c r="M3" s="25" t="s">
        <v>89</v>
      </c>
      <c r="N3" s="26" t="str">
        <f t="shared" si="1"/>
        <v>741.6
AYU
a</v>
      </c>
      <c r="O3" s="26"/>
      <c r="P3" s="26"/>
      <c r="Q3" s="26"/>
      <c r="R3" s="26"/>
      <c r="S3" s="26"/>
      <c r="T3" s="26"/>
      <c r="U3" s="26"/>
      <c r="V3" s="26"/>
      <c r="W3" s="26"/>
      <c r="X3" s="26"/>
    </row>
    <row r="4">
      <c r="A4" s="20">
        <v>3.0</v>
      </c>
      <c r="B4" s="12" t="s">
        <v>102</v>
      </c>
      <c r="C4" s="12" t="s">
        <v>31</v>
      </c>
      <c r="D4" s="27" t="s">
        <v>104</v>
      </c>
      <c r="E4" s="12" t="s">
        <v>105</v>
      </c>
      <c r="F4" s="12" t="s">
        <v>106</v>
      </c>
      <c r="G4" s="12" t="s">
        <v>107</v>
      </c>
      <c r="H4" s="12" t="s">
        <v>108</v>
      </c>
      <c r="I4" s="23">
        <v>9.786028712101E12</v>
      </c>
      <c r="J4" s="12">
        <v>2015.0</v>
      </c>
      <c r="K4" s="23">
        <v>58.0</v>
      </c>
      <c r="L4" s="24">
        <v>4.0</v>
      </c>
      <c r="M4" s="25" t="s">
        <v>110</v>
      </c>
      <c r="N4" s="26" t="str">
        <f t="shared" si="1"/>
        <v>001.42
FAJ
a</v>
      </c>
      <c r="O4" s="26"/>
      <c r="P4" s="26"/>
      <c r="Q4" s="26"/>
      <c r="R4" s="26"/>
      <c r="S4" s="26"/>
      <c r="T4" s="26"/>
      <c r="U4" s="26"/>
      <c r="V4" s="26"/>
      <c r="W4" s="26"/>
      <c r="X4" s="26"/>
    </row>
    <row r="5">
      <c r="A5" s="20">
        <v>4.0</v>
      </c>
      <c r="B5" s="12" t="s">
        <v>118</v>
      </c>
      <c r="C5" s="12" t="s">
        <v>31</v>
      </c>
      <c r="D5" s="23" t="s">
        <v>104</v>
      </c>
      <c r="E5" s="12" t="s">
        <v>105</v>
      </c>
      <c r="F5" s="12" t="s">
        <v>123</v>
      </c>
      <c r="G5" s="12" t="s">
        <v>125</v>
      </c>
      <c r="H5" s="12" t="s">
        <v>126</v>
      </c>
      <c r="I5" s="23" t="s">
        <v>128</v>
      </c>
      <c r="J5" s="12">
        <v>2015.0</v>
      </c>
      <c r="K5" s="23">
        <v>59.0</v>
      </c>
      <c r="L5" s="24">
        <v>1.0</v>
      </c>
      <c r="M5" s="25" t="s">
        <v>129</v>
      </c>
      <c r="N5" s="26" t="str">
        <f t="shared" si="1"/>
        <v>001.42
MAR
a</v>
      </c>
      <c r="O5" s="26"/>
      <c r="P5" s="26"/>
      <c r="Q5" s="26"/>
      <c r="R5" s="26"/>
      <c r="S5" s="26"/>
      <c r="T5" s="26"/>
      <c r="U5" s="26"/>
      <c r="V5" s="26"/>
      <c r="W5" s="26"/>
      <c r="X5" s="26"/>
    </row>
    <row r="6">
      <c r="A6" s="20">
        <v>5.0</v>
      </c>
      <c r="B6" s="12" t="s">
        <v>136</v>
      </c>
      <c r="C6" s="12" t="s">
        <v>31</v>
      </c>
      <c r="D6" s="23" t="s">
        <v>138</v>
      </c>
      <c r="E6" s="12" t="s">
        <v>140</v>
      </c>
      <c r="F6" s="12" t="s">
        <v>142</v>
      </c>
      <c r="G6" s="12" t="s">
        <v>143</v>
      </c>
      <c r="H6" s="12" t="s">
        <v>144</v>
      </c>
      <c r="I6" s="23" t="s">
        <v>145</v>
      </c>
      <c r="J6" s="12">
        <v>2010.0</v>
      </c>
      <c r="K6" s="23">
        <v>74.0</v>
      </c>
      <c r="L6" s="24">
        <v>2.0</v>
      </c>
      <c r="M6" s="25" t="s">
        <v>146</v>
      </c>
      <c r="N6" s="26" t="str">
        <f t="shared" si="1"/>
        <v>070.4
BAM
j</v>
      </c>
      <c r="O6" s="26"/>
      <c r="P6" s="26"/>
      <c r="Q6" s="26"/>
      <c r="R6" s="26"/>
      <c r="S6" s="26"/>
      <c r="T6" s="26"/>
      <c r="U6" s="26"/>
      <c r="V6" s="26"/>
      <c r="W6" s="26"/>
      <c r="X6" s="26"/>
    </row>
    <row r="7">
      <c r="A7" s="20">
        <v>6.0</v>
      </c>
      <c r="B7" s="12" t="s">
        <v>154</v>
      </c>
      <c r="C7" s="12" t="s">
        <v>31</v>
      </c>
      <c r="D7" s="23" t="s">
        <v>155</v>
      </c>
      <c r="E7" s="12" t="s">
        <v>156</v>
      </c>
      <c r="F7" s="12" t="s">
        <v>157</v>
      </c>
      <c r="G7" s="12" t="s">
        <v>107</v>
      </c>
      <c r="H7" s="12" t="s">
        <v>158</v>
      </c>
      <c r="I7" s="23" t="s">
        <v>159</v>
      </c>
      <c r="J7" s="12">
        <v>2015.0</v>
      </c>
      <c r="K7" s="23">
        <v>84.0</v>
      </c>
      <c r="L7" s="24">
        <v>3.0</v>
      </c>
      <c r="M7" s="25" t="s">
        <v>160</v>
      </c>
      <c r="N7" s="26" t="str">
        <f t="shared" si="1"/>
        <v>005.5
REZ
b</v>
      </c>
      <c r="O7" s="26"/>
      <c r="P7" s="26"/>
      <c r="Q7" s="26"/>
      <c r="R7" s="26"/>
      <c r="S7" s="26"/>
      <c r="T7" s="26"/>
      <c r="U7" s="26"/>
      <c r="V7" s="26"/>
      <c r="W7" s="26"/>
      <c r="X7" s="26"/>
    </row>
    <row r="8">
      <c r="A8" s="20">
        <v>7.0</v>
      </c>
      <c r="B8" s="12" t="s">
        <v>172</v>
      </c>
      <c r="C8" s="12" t="s">
        <v>31</v>
      </c>
      <c r="D8" s="23" t="s">
        <v>155</v>
      </c>
      <c r="E8" s="12" t="s">
        <v>156</v>
      </c>
      <c r="F8" s="12" t="s">
        <v>173</v>
      </c>
      <c r="G8" s="12" t="s">
        <v>107</v>
      </c>
      <c r="H8" s="12" t="s">
        <v>174</v>
      </c>
      <c r="I8" s="23">
        <v>9.78602957153E12</v>
      </c>
      <c r="J8" s="12">
        <v>2015.0</v>
      </c>
      <c r="K8" s="23">
        <v>54.0</v>
      </c>
      <c r="L8" s="24">
        <v>3.0</v>
      </c>
      <c r="M8" s="25" t="s">
        <v>175</v>
      </c>
      <c r="N8" s="26" t="str">
        <f t="shared" si="1"/>
        <v>005.5
AMI
m</v>
      </c>
      <c r="O8" s="26"/>
      <c r="P8" s="26"/>
      <c r="Q8" s="26"/>
      <c r="R8" s="26"/>
      <c r="S8" s="26"/>
      <c r="T8" s="26"/>
      <c r="U8" s="26"/>
      <c r="V8" s="26"/>
      <c r="W8" s="26"/>
      <c r="X8" s="26"/>
    </row>
    <row r="9">
      <c r="A9" s="20">
        <v>8.0</v>
      </c>
      <c r="B9" s="12" t="s">
        <v>186</v>
      </c>
      <c r="C9" s="12" t="s">
        <v>31</v>
      </c>
      <c r="D9" s="23" t="s">
        <v>155</v>
      </c>
      <c r="E9" s="12" t="s">
        <v>156</v>
      </c>
      <c r="F9" s="12" t="s">
        <v>173</v>
      </c>
      <c r="G9" s="12" t="s">
        <v>107</v>
      </c>
      <c r="H9" s="12" t="s">
        <v>174</v>
      </c>
      <c r="I9" s="23" t="s">
        <v>188</v>
      </c>
      <c r="J9" s="12">
        <v>2013.0</v>
      </c>
      <c r="K9" s="23">
        <v>62.0</v>
      </c>
      <c r="L9" s="24">
        <v>3.0</v>
      </c>
      <c r="M9" s="25" t="s">
        <v>189</v>
      </c>
      <c r="N9" s="26" t="str">
        <f t="shared" si="1"/>
        <v>005.5
AMI
m</v>
      </c>
      <c r="O9" s="26"/>
      <c r="P9" s="26"/>
      <c r="Q9" s="26"/>
      <c r="R9" s="26"/>
      <c r="S9" s="26"/>
      <c r="T9" s="26"/>
      <c r="U9" s="26"/>
      <c r="V9" s="26"/>
      <c r="W9" s="26"/>
      <c r="X9" s="26"/>
    </row>
    <row r="10">
      <c r="A10" s="20">
        <v>9.0</v>
      </c>
      <c r="B10" s="12" t="s">
        <v>200</v>
      </c>
      <c r="C10" s="12" t="s">
        <v>31</v>
      </c>
      <c r="D10" s="23" t="s">
        <v>104</v>
      </c>
      <c r="E10" s="12" t="s">
        <v>105</v>
      </c>
      <c r="F10" s="12" t="s">
        <v>204</v>
      </c>
      <c r="G10" s="12" t="s">
        <v>205</v>
      </c>
      <c r="H10" s="12" t="s">
        <v>206</v>
      </c>
      <c r="I10" s="23">
        <v>9.786028219587E12</v>
      </c>
      <c r="J10" s="12">
        <v>2009.0</v>
      </c>
      <c r="K10" s="23">
        <v>110.0</v>
      </c>
      <c r="L10" s="24">
        <v>2.0</v>
      </c>
      <c r="M10" s="25" t="s">
        <v>207</v>
      </c>
      <c r="N10" s="26" t="str">
        <f t="shared" si="1"/>
        <v>001.42
KOS
m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>
      <c r="A11" s="20">
        <v>10.0</v>
      </c>
      <c r="B11" s="12" t="s">
        <v>219</v>
      </c>
      <c r="C11" s="12" t="s">
        <v>31</v>
      </c>
      <c r="D11" s="21" t="s">
        <v>53</v>
      </c>
      <c r="E11" s="12" t="s">
        <v>54</v>
      </c>
      <c r="F11" s="12" t="s">
        <v>173</v>
      </c>
      <c r="G11" s="12" t="s">
        <v>107</v>
      </c>
      <c r="H11" s="12" t="s">
        <v>174</v>
      </c>
      <c r="I11" s="23" t="s">
        <v>221</v>
      </c>
      <c r="J11" s="12">
        <v>2013.0</v>
      </c>
      <c r="K11" s="23">
        <v>66.0</v>
      </c>
      <c r="L11" s="24">
        <v>2.0</v>
      </c>
      <c r="M11" s="25" t="s">
        <v>223</v>
      </c>
      <c r="N11" s="26" t="str">
        <f t="shared" si="1"/>
        <v>004
AMI
k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>
      <c r="A12" s="20">
        <v>11.0</v>
      </c>
      <c r="B12" s="12" t="s">
        <v>230</v>
      </c>
      <c r="C12" s="12" t="s">
        <v>31</v>
      </c>
      <c r="D12" s="21" t="s">
        <v>231</v>
      </c>
      <c r="E12" s="12" t="s">
        <v>232</v>
      </c>
      <c r="F12" s="12" t="s">
        <v>233</v>
      </c>
      <c r="G12" s="12" t="s">
        <v>234</v>
      </c>
      <c r="H12" s="12" t="s">
        <v>236</v>
      </c>
      <c r="I12" s="23" t="s">
        <v>237</v>
      </c>
      <c r="J12" s="12">
        <v>2014.0</v>
      </c>
      <c r="K12" s="23">
        <v>82.0</v>
      </c>
      <c r="L12" s="24">
        <v>1.0</v>
      </c>
      <c r="M12" s="25" t="s">
        <v>239</v>
      </c>
      <c r="N12" s="26" t="str">
        <f t="shared" si="1"/>
        <v>046.78
TED
m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>
      <c r="A13" s="20">
        <v>12.0</v>
      </c>
      <c r="B13" s="12" t="s">
        <v>250</v>
      </c>
      <c r="C13" s="12" t="s">
        <v>31</v>
      </c>
      <c r="D13" s="21" t="s">
        <v>251</v>
      </c>
      <c r="E13" s="12" t="s">
        <v>232</v>
      </c>
      <c r="F13" s="12" t="s">
        <v>173</v>
      </c>
      <c r="G13" s="12" t="s">
        <v>107</v>
      </c>
      <c r="H13" s="12" t="s">
        <v>253</v>
      </c>
      <c r="I13" s="23">
        <v>9.786029571554E12</v>
      </c>
      <c r="J13" s="12">
        <v>2015.0</v>
      </c>
      <c r="K13" s="23">
        <v>99.0</v>
      </c>
      <c r="L13" s="24">
        <v>2.0</v>
      </c>
      <c r="M13" s="25" t="s">
        <v>256</v>
      </c>
      <c r="N13" s="26" t="str">
        <f t="shared" si="1"/>
        <v>004.678
AMI
t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>
      <c r="A14" s="20">
        <v>13.0</v>
      </c>
      <c r="B14" s="12" t="s">
        <v>264</v>
      </c>
      <c r="C14" s="12" t="s">
        <v>31</v>
      </c>
      <c r="D14" s="21" t="s">
        <v>53</v>
      </c>
      <c r="E14" s="12" t="s">
        <v>54</v>
      </c>
      <c r="F14" s="12" t="s">
        <v>268</v>
      </c>
      <c r="G14" s="12" t="s">
        <v>269</v>
      </c>
      <c r="H14" s="12" t="s">
        <v>271</v>
      </c>
      <c r="I14" s="23" t="s">
        <v>273</v>
      </c>
      <c r="J14" s="12">
        <v>2014.0</v>
      </c>
      <c r="K14" s="23">
        <v>60.0</v>
      </c>
      <c r="L14" s="24">
        <v>1.0</v>
      </c>
      <c r="M14" s="25" t="s">
        <v>279</v>
      </c>
      <c r="N14" s="26" t="str">
        <f t="shared" si="1"/>
        <v>004
ZAM
m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0">
        <v>14.0</v>
      </c>
      <c r="B15" s="12" t="s">
        <v>287</v>
      </c>
      <c r="C15" s="12" t="s">
        <v>31</v>
      </c>
      <c r="D15" s="21" t="s">
        <v>155</v>
      </c>
      <c r="E15" s="12" t="s">
        <v>156</v>
      </c>
      <c r="F15" s="12" t="s">
        <v>268</v>
      </c>
      <c r="G15" s="12" t="s">
        <v>289</v>
      </c>
      <c r="H15" s="12" t="s">
        <v>271</v>
      </c>
      <c r="I15" s="23" t="s">
        <v>290</v>
      </c>
      <c r="J15" s="12">
        <v>2014.0</v>
      </c>
      <c r="K15" s="23">
        <v>52.0</v>
      </c>
      <c r="L15" s="24">
        <v>1.0</v>
      </c>
      <c r="M15" s="25" t="s">
        <v>293</v>
      </c>
      <c r="N15" s="26" t="str">
        <f t="shared" si="1"/>
        <v>005.5
ZAM
m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0">
        <v>15.0</v>
      </c>
      <c r="B16" s="12" t="s">
        <v>301</v>
      </c>
      <c r="C16" s="12" t="s">
        <v>31</v>
      </c>
      <c r="D16" s="21" t="s">
        <v>104</v>
      </c>
      <c r="E16" s="12" t="s">
        <v>105</v>
      </c>
      <c r="F16" s="12" t="s">
        <v>302</v>
      </c>
      <c r="G16" s="12" t="s">
        <v>303</v>
      </c>
      <c r="H16" s="12" t="s">
        <v>304</v>
      </c>
      <c r="I16" s="23">
        <v>9.786025125911E12</v>
      </c>
      <c r="J16" s="12">
        <v>2018.0</v>
      </c>
      <c r="K16" s="23" t="s">
        <v>306</v>
      </c>
      <c r="L16" s="24">
        <v>1.0</v>
      </c>
      <c r="M16" s="25" t="s">
        <v>307</v>
      </c>
      <c r="N16" s="26" t="str">
        <f t="shared" si="1"/>
        <v>001.42
SUW
j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0">
        <v>16.0</v>
      </c>
      <c r="B17" s="12" t="s">
        <v>317</v>
      </c>
      <c r="C17" s="12" t="s">
        <v>31</v>
      </c>
      <c r="D17" s="21" t="s">
        <v>104</v>
      </c>
      <c r="E17" s="12" t="s">
        <v>105</v>
      </c>
      <c r="F17" s="12" t="s">
        <v>318</v>
      </c>
      <c r="G17" s="12" t="s">
        <v>319</v>
      </c>
      <c r="H17" s="12" t="s">
        <v>320</v>
      </c>
      <c r="I17" s="35"/>
      <c r="J17" s="12">
        <v>2002.0</v>
      </c>
      <c r="K17" s="23">
        <v>82.0</v>
      </c>
      <c r="L17" s="24">
        <v>1.0</v>
      </c>
      <c r="M17" s="25" t="s">
        <v>321</v>
      </c>
      <c r="N17" s="26" t="str">
        <f t="shared" si="1"/>
        <v>001.42
NAN
m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0">
        <v>17.0</v>
      </c>
      <c r="B18" s="12" t="s">
        <v>332</v>
      </c>
      <c r="C18" s="12" t="s">
        <v>31</v>
      </c>
      <c r="D18" s="21" t="s">
        <v>333</v>
      </c>
      <c r="E18" s="12" t="s">
        <v>334</v>
      </c>
      <c r="F18" s="12" t="s">
        <v>173</v>
      </c>
      <c r="G18" s="12" t="s">
        <v>107</v>
      </c>
      <c r="H18" s="12" t="s">
        <v>174</v>
      </c>
      <c r="I18" s="23" t="s">
        <v>337</v>
      </c>
      <c r="J18" s="12">
        <v>2015.0</v>
      </c>
      <c r="K18" s="23">
        <v>158.0</v>
      </c>
      <c r="L18" s="24">
        <v>2.0</v>
      </c>
      <c r="M18" s="12" t="s">
        <v>340</v>
      </c>
      <c r="N18" s="26" t="str">
        <f t="shared" si="1"/>
        <v>006.752
AMI
t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0">
        <v>18.0</v>
      </c>
      <c r="B19" s="12" t="s">
        <v>343</v>
      </c>
      <c r="C19" s="12" t="s">
        <v>31</v>
      </c>
      <c r="D19" s="21" t="s">
        <v>104</v>
      </c>
      <c r="E19" s="12" t="s">
        <v>105</v>
      </c>
      <c r="F19" s="12" t="s">
        <v>345</v>
      </c>
      <c r="G19" s="12" t="s">
        <v>346</v>
      </c>
      <c r="H19" s="12" t="s">
        <v>347</v>
      </c>
      <c r="I19" s="35"/>
      <c r="J19" s="12">
        <v>2008.0</v>
      </c>
      <c r="K19" s="23">
        <v>68.0</v>
      </c>
      <c r="L19" s="24">
        <v>1.0</v>
      </c>
      <c r="M19" s="25" t="s">
        <v>348</v>
      </c>
      <c r="N19" s="26" t="str">
        <f t="shared" si="1"/>
        <v>001.42
DIA
k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0">
        <v>19.0</v>
      </c>
      <c r="B20" s="12" t="s">
        <v>357</v>
      </c>
      <c r="C20" s="12" t="s">
        <v>31</v>
      </c>
      <c r="D20" s="36" t="s">
        <v>53</v>
      </c>
      <c r="E20" s="12" t="s">
        <v>359</v>
      </c>
      <c r="F20" s="12" t="s">
        <v>360</v>
      </c>
      <c r="G20" s="12" t="s">
        <v>361</v>
      </c>
      <c r="H20" s="12" t="s">
        <v>362</v>
      </c>
      <c r="I20" s="23" t="s">
        <v>363</v>
      </c>
      <c r="J20" s="12">
        <v>2014.0</v>
      </c>
      <c r="K20" s="23">
        <v>196.0</v>
      </c>
      <c r="L20" s="24">
        <v>3.0</v>
      </c>
      <c r="M20" s="25" t="s">
        <v>364</v>
      </c>
      <c r="N20" s="26" t="str">
        <f t="shared" si="1"/>
        <v>004
UTA
k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0">
        <v>20.0</v>
      </c>
      <c r="B21" s="12" t="s">
        <v>373</v>
      </c>
      <c r="C21" s="12" t="s">
        <v>31</v>
      </c>
      <c r="D21" s="21" t="s">
        <v>138</v>
      </c>
      <c r="E21" s="12" t="s">
        <v>140</v>
      </c>
      <c r="F21" s="12" t="s">
        <v>374</v>
      </c>
      <c r="G21" s="12" t="s">
        <v>375</v>
      </c>
      <c r="H21" s="12" t="s">
        <v>376</v>
      </c>
      <c r="I21" s="23" t="s">
        <v>377</v>
      </c>
      <c r="J21" s="12">
        <v>2008.0</v>
      </c>
      <c r="K21" s="23">
        <v>86.0</v>
      </c>
      <c r="L21" s="24">
        <v>1.0</v>
      </c>
      <c r="M21" s="25" t="s">
        <v>378</v>
      </c>
      <c r="N21" s="26" t="str">
        <f t="shared" si="1"/>
        <v>070.4
FIT
b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0">
        <v>21.0</v>
      </c>
      <c r="B22" s="12" t="s">
        <v>385</v>
      </c>
      <c r="C22" s="12" t="s">
        <v>31</v>
      </c>
      <c r="D22" s="23" t="s">
        <v>210</v>
      </c>
      <c r="E22" s="12" t="s">
        <v>387</v>
      </c>
      <c r="F22" s="12" t="s">
        <v>388</v>
      </c>
      <c r="G22" s="12" t="s">
        <v>389</v>
      </c>
      <c r="H22" s="12" t="s">
        <v>390</v>
      </c>
      <c r="I22" s="23">
        <v>9.78602813107E12</v>
      </c>
      <c r="J22" s="12">
        <v>2018.0</v>
      </c>
      <c r="K22" s="23" t="s">
        <v>391</v>
      </c>
      <c r="L22" s="24">
        <v>4.0</v>
      </c>
      <c r="M22" s="25" t="s">
        <v>392</v>
      </c>
      <c r="N22" s="26" t="str">
        <f t="shared" si="1"/>
        <v>001
FAD
y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0">
        <v>22.0</v>
      </c>
      <c r="B23" s="12" t="s">
        <v>395</v>
      </c>
      <c r="C23" s="12" t="s">
        <v>31</v>
      </c>
      <c r="D23" s="23" t="s">
        <v>397</v>
      </c>
      <c r="E23" s="12" t="s">
        <v>398</v>
      </c>
      <c r="F23" s="12" t="s">
        <v>399</v>
      </c>
      <c r="G23" s="12" t="s">
        <v>400</v>
      </c>
      <c r="H23" s="12" t="s">
        <v>401</v>
      </c>
      <c r="I23" s="23" t="s">
        <v>402</v>
      </c>
      <c r="J23" s="12">
        <v>2015.0</v>
      </c>
      <c r="K23" s="23">
        <v>60.0</v>
      </c>
      <c r="L23" s="24">
        <v>1.0</v>
      </c>
      <c r="M23" s="12" t="s">
        <v>340</v>
      </c>
      <c r="N23" s="26" t="str">
        <f t="shared" si="1"/>
        <v>006.66
SRI
m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0">
        <v>23.0</v>
      </c>
      <c r="B24" s="12" t="s">
        <v>403</v>
      </c>
      <c r="C24" s="12" t="s">
        <v>31</v>
      </c>
      <c r="D24" s="23" t="s">
        <v>404</v>
      </c>
      <c r="E24" s="12" t="s">
        <v>405</v>
      </c>
      <c r="F24" s="22"/>
      <c r="G24" s="22"/>
      <c r="H24" s="12" t="s">
        <v>406</v>
      </c>
      <c r="I24" s="23" t="s">
        <v>407</v>
      </c>
      <c r="J24" s="12">
        <v>2012.0</v>
      </c>
      <c r="K24" s="23">
        <v>152.0</v>
      </c>
      <c r="L24" s="24">
        <v>1.0</v>
      </c>
      <c r="M24" s="12" t="s">
        <v>340</v>
      </c>
      <c r="N24" s="26" t="str">
        <f t="shared" si="1"/>
        <v>031
e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0">
        <v>24.0</v>
      </c>
      <c r="B25" s="12" t="s">
        <v>409</v>
      </c>
      <c r="C25" s="12" t="s">
        <v>31</v>
      </c>
      <c r="D25" s="23" t="s">
        <v>411</v>
      </c>
      <c r="E25" s="12" t="s">
        <v>412</v>
      </c>
      <c r="F25" s="12" t="s">
        <v>413</v>
      </c>
      <c r="G25" s="22"/>
      <c r="H25" s="12" t="s">
        <v>415</v>
      </c>
      <c r="I25" s="23" t="s">
        <v>416</v>
      </c>
      <c r="J25" s="12">
        <v>2012.0</v>
      </c>
      <c r="K25" s="23" t="s">
        <v>418</v>
      </c>
      <c r="L25" s="24">
        <v>1.0</v>
      </c>
      <c r="M25" s="25" t="s">
        <v>419</v>
      </c>
      <c r="N25" s="26" t="str">
        <f t="shared" si="1"/>
        <v>005.1
BAG
m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0">
        <v>25.0</v>
      </c>
      <c r="B26" s="12" t="s">
        <v>423</v>
      </c>
      <c r="C26" s="12" t="s">
        <v>31</v>
      </c>
      <c r="D26" s="23" t="s">
        <v>397</v>
      </c>
      <c r="E26" s="12" t="s">
        <v>398</v>
      </c>
      <c r="F26" s="12" t="s">
        <v>428</v>
      </c>
      <c r="G26" s="12" t="s">
        <v>430</v>
      </c>
      <c r="H26" s="12" t="s">
        <v>433</v>
      </c>
      <c r="I26" s="23" t="s">
        <v>434</v>
      </c>
      <c r="J26" s="12">
        <v>2009.0</v>
      </c>
      <c r="K26" s="23">
        <v>58.0</v>
      </c>
      <c r="L26" s="24">
        <v>1.0</v>
      </c>
      <c r="M26" s="12" t="s">
        <v>340</v>
      </c>
      <c r="N26" s="26" t="str">
        <f t="shared" si="1"/>
        <v>006.66
DIK
a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0">
        <v>26.0</v>
      </c>
      <c r="B27" s="12" t="s">
        <v>435</v>
      </c>
      <c r="C27" s="12" t="s">
        <v>31</v>
      </c>
      <c r="D27" s="23" t="s">
        <v>404</v>
      </c>
      <c r="E27" s="12" t="s">
        <v>405</v>
      </c>
      <c r="F27" s="12" t="s">
        <v>436</v>
      </c>
      <c r="G27" s="22"/>
      <c r="H27" s="12" t="s">
        <v>406</v>
      </c>
      <c r="I27" s="23" t="s">
        <v>437</v>
      </c>
      <c r="J27" s="12">
        <v>2009.0</v>
      </c>
      <c r="K27" s="23">
        <v>144.0</v>
      </c>
      <c r="L27" s="24">
        <v>1.0</v>
      </c>
      <c r="M27" s="25" t="s">
        <v>438</v>
      </c>
      <c r="N27" s="26" t="str">
        <f t="shared" si="1"/>
        <v>031
CON
e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0">
        <v>27.0</v>
      </c>
      <c r="B28" s="12" t="s">
        <v>452</v>
      </c>
      <c r="C28" s="12" t="s">
        <v>225</v>
      </c>
      <c r="D28" s="23" t="s">
        <v>453</v>
      </c>
      <c r="E28" s="22" t="s">
        <v>454</v>
      </c>
      <c r="F28" s="12" t="s">
        <v>455</v>
      </c>
      <c r="G28" s="22"/>
      <c r="H28" s="12" t="s">
        <v>456</v>
      </c>
      <c r="I28" s="23" t="s">
        <v>457</v>
      </c>
      <c r="J28" s="12">
        <v>2009.0</v>
      </c>
      <c r="K28" s="23">
        <v>266.0</v>
      </c>
      <c r="L28" s="24">
        <v>1.0</v>
      </c>
      <c r="M28" s="25" t="s">
        <v>458</v>
      </c>
      <c r="N28" s="26" t="str">
        <f t="shared" si="1"/>
        <v>158.4
CAI
t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0">
        <v>28.0</v>
      </c>
      <c r="B29" s="12" t="s">
        <v>465</v>
      </c>
      <c r="C29" s="12" t="s">
        <v>225</v>
      </c>
      <c r="D29" s="23" t="s">
        <v>467</v>
      </c>
      <c r="E29" s="12" t="s">
        <v>468</v>
      </c>
      <c r="F29" s="12" t="s">
        <v>469</v>
      </c>
      <c r="G29" s="12"/>
      <c r="H29" s="12" t="s">
        <v>470</v>
      </c>
      <c r="I29" s="23" t="s">
        <v>471</v>
      </c>
      <c r="J29" s="12">
        <v>2014.0</v>
      </c>
      <c r="K29" s="23" t="s">
        <v>472</v>
      </c>
      <c r="L29" s="24">
        <v>1.0</v>
      </c>
      <c r="M29" s="12" t="s">
        <v>340</v>
      </c>
      <c r="N29" s="26" t="str">
        <f t="shared" si="1"/>
        <v>160
MUN
l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0">
        <v>29.0</v>
      </c>
      <c r="B30" s="12" t="s">
        <v>473</v>
      </c>
      <c r="C30" s="12" t="s">
        <v>225</v>
      </c>
      <c r="D30" s="23" t="s">
        <v>474</v>
      </c>
      <c r="E30" s="12" t="s">
        <v>475</v>
      </c>
      <c r="F30" s="12" t="s">
        <v>476</v>
      </c>
      <c r="G30" s="12"/>
      <c r="H30" s="12" t="s">
        <v>477</v>
      </c>
      <c r="I30" s="23" t="s">
        <v>478</v>
      </c>
      <c r="J30" s="12">
        <v>2006.0</v>
      </c>
      <c r="K30" s="23" t="s">
        <v>479</v>
      </c>
      <c r="L30" s="24">
        <v>1.0</v>
      </c>
      <c r="M30" s="12" t="s">
        <v>340</v>
      </c>
      <c r="N30" s="26" t="str">
        <f t="shared" si="1"/>
        <v>177
SAR
e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0">
        <v>30.0</v>
      </c>
      <c r="B31" s="12" t="s">
        <v>480</v>
      </c>
      <c r="C31" s="12" t="s">
        <v>225</v>
      </c>
      <c r="D31" s="23" t="s">
        <v>474</v>
      </c>
      <c r="E31" s="12" t="s">
        <v>475</v>
      </c>
      <c r="F31" s="12" t="s">
        <v>107</v>
      </c>
      <c r="G31" s="12" t="s">
        <v>481</v>
      </c>
      <c r="H31" s="12" t="s">
        <v>482</v>
      </c>
      <c r="I31" s="23" t="s">
        <v>340</v>
      </c>
      <c r="J31" s="12">
        <v>2011.0</v>
      </c>
      <c r="K31" s="23" t="s">
        <v>484</v>
      </c>
      <c r="L31" s="24">
        <v>2.0</v>
      </c>
      <c r="M31" s="25" t="s">
        <v>485</v>
      </c>
      <c r="N31" s="26" t="str">
        <f t="shared" si="1"/>
        <v>177
EDI
i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0">
        <v>31.0</v>
      </c>
      <c r="B32" s="12" t="s">
        <v>491</v>
      </c>
      <c r="C32" s="12" t="s">
        <v>225</v>
      </c>
      <c r="D32" s="23" t="s">
        <v>492</v>
      </c>
      <c r="E32" s="22" t="s">
        <v>493</v>
      </c>
      <c r="F32" s="12" t="s">
        <v>494</v>
      </c>
      <c r="G32" s="12" t="s">
        <v>495</v>
      </c>
      <c r="H32" s="12" t="s">
        <v>496</v>
      </c>
      <c r="I32" s="23">
        <v>9.786029110333E12</v>
      </c>
      <c r="J32" s="12">
        <v>2015.0</v>
      </c>
      <c r="K32" s="23" t="s">
        <v>497</v>
      </c>
      <c r="L32" s="24">
        <v>1.0</v>
      </c>
      <c r="M32" s="12" t="s">
        <v>340</v>
      </c>
      <c r="N32" s="26" t="str">
        <f t="shared" si="1"/>
        <v>155.2
REN
k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0">
        <v>32.0</v>
      </c>
      <c r="B33" s="12" t="s">
        <v>499</v>
      </c>
      <c r="C33" s="12" t="s">
        <v>225</v>
      </c>
      <c r="D33" s="23" t="s">
        <v>501</v>
      </c>
      <c r="E33" s="22" t="s">
        <v>503</v>
      </c>
      <c r="F33" s="12" t="s">
        <v>504</v>
      </c>
      <c r="G33" s="12" t="s">
        <v>505</v>
      </c>
      <c r="H33" s="12" t="s">
        <v>507</v>
      </c>
      <c r="I33" s="23" t="s">
        <v>509</v>
      </c>
      <c r="J33" s="12">
        <v>2015.0</v>
      </c>
      <c r="K33" s="23">
        <v>66.0</v>
      </c>
      <c r="L33" s="24">
        <v>4.0</v>
      </c>
      <c r="M33" s="25" t="s">
        <v>510</v>
      </c>
      <c r="N33" s="26" t="str">
        <f t="shared" si="1"/>
        <v>153
NIA
m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0">
        <v>33.0</v>
      </c>
      <c r="B34" s="12" t="s">
        <v>513</v>
      </c>
      <c r="C34" s="12" t="s">
        <v>225</v>
      </c>
      <c r="D34" s="23" t="s">
        <v>514</v>
      </c>
      <c r="E34" s="22" t="s">
        <v>516</v>
      </c>
      <c r="F34" s="12" t="s">
        <v>517</v>
      </c>
      <c r="G34" s="12" t="s">
        <v>518</v>
      </c>
      <c r="H34" s="12" t="s">
        <v>519</v>
      </c>
      <c r="I34" s="23" t="s">
        <v>520</v>
      </c>
      <c r="J34" s="12">
        <v>2009.0</v>
      </c>
      <c r="K34" s="23">
        <v>76.0</v>
      </c>
      <c r="L34" s="24">
        <v>2.0</v>
      </c>
      <c r="M34" s="25" t="s">
        <v>522</v>
      </c>
      <c r="N34" s="26" t="str">
        <f t="shared" si="1"/>
        <v>155.25
GIN
k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0">
        <v>34.0</v>
      </c>
      <c r="B35" s="12" t="s">
        <v>527</v>
      </c>
      <c r="C35" s="12" t="s">
        <v>225</v>
      </c>
      <c r="D35" s="23" t="s">
        <v>528</v>
      </c>
      <c r="E35" s="22" t="s">
        <v>529</v>
      </c>
      <c r="F35" s="12" t="s">
        <v>530</v>
      </c>
      <c r="G35" s="12" t="s">
        <v>530</v>
      </c>
      <c r="H35" s="12" t="s">
        <v>206</v>
      </c>
      <c r="I35" s="23" t="s">
        <v>531</v>
      </c>
      <c r="J35" s="12">
        <v>2010.0</v>
      </c>
      <c r="K35" s="23" t="s">
        <v>532</v>
      </c>
      <c r="L35" s="24">
        <v>2.0</v>
      </c>
      <c r="M35" s="12" t="s">
        <v>340</v>
      </c>
      <c r="N35" s="26" t="str">
        <f t="shared" si="1"/>
        <v>155.5
NIL
t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0">
        <v>35.0</v>
      </c>
      <c r="B36" s="12" t="s">
        <v>533</v>
      </c>
      <c r="C36" s="12" t="s">
        <v>225</v>
      </c>
      <c r="D36" s="23" t="s">
        <v>492</v>
      </c>
      <c r="E36" s="22" t="s">
        <v>493</v>
      </c>
      <c r="F36" s="12" t="s">
        <v>107</v>
      </c>
      <c r="G36" s="12" t="s">
        <v>518</v>
      </c>
      <c r="H36" s="12" t="s">
        <v>534</v>
      </c>
      <c r="I36" s="23" t="s">
        <v>535</v>
      </c>
      <c r="J36" s="12">
        <v>2015.0</v>
      </c>
      <c r="K36" s="23">
        <v>114.0</v>
      </c>
      <c r="L36" s="24">
        <v>5.0</v>
      </c>
      <c r="M36" s="25" t="s">
        <v>536</v>
      </c>
      <c r="N36" s="26" t="str">
        <f t="shared" si="1"/>
        <v>155.2
EDI
k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0">
        <v>36.0</v>
      </c>
      <c r="B37" s="12" t="s">
        <v>543</v>
      </c>
      <c r="C37" s="12" t="s">
        <v>225</v>
      </c>
      <c r="D37" s="23" t="s">
        <v>492</v>
      </c>
      <c r="E37" s="22" t="s">
        <v>516</v>
      </c>
      <c r="F37" s="12" t="s">
        <v>107</v>
      </c>
      <c r="G37" s="12" t="s">
        <v>544</v>
      </c>
      <c r="H37" s="12" t="s">
        <v>534</v>
      </c>
      <c r="I37" s="23" t="s">
        <v>545</v>
      </c>
      <c r="J37" s="12">
        <v>98.0</v>
      </c>
      <c r="K37" s="23">
        <v>98.0</v>
      </c>
      <c r="L37" s="24">
        <v>1.0</v>
      </c>
      <c r="M37" s="12" t="s">
        <v>340</v>
      </c>
      <c r="N37" s="26" t="str">
        <f t="shared" si="1"/>
        <v>155.2
EDI
m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0">
        <v>37.0</v>
      </c>
      <c r="B38" s="12" t="s">
        <v>547</v>
      </c>
      <c r="C38" s="12" t="s">
        <v>225</v>
      </c>
      <c r="D38" s="23" t="s">
        <v>501</v>
      </c>
      <c r="E38" s="22" t="s">
        <v>503</v>
      </c>
      <c r="F38" s="12" t="s">
        <v>504</v>
      </c>
      <c r="G38" s="12" t="s">
        <v>553</v>
      </c>
      <c r="H38" s="12" t="s">
        <v>554</v>
      </c>
      <c r="I38" s="23" t="s">
        <v>555</v>
      </c>
      <c r="J38" s="12">
        <v>2015.0</v>
      </c>
      <c r="K38" s="23">
        <v>58.0</v>
      </c>
      <c r="L38" s="24">
        <v>4.0</v>
      </c>
      <c r="M38" s="12" t="s">
        <v>340</v>
      </c>
      <c r="N38" s="26" t="str">
        <f t="shared" si="1"/>
        <v>153
NIA
m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0">
        <v>38.0</v>
      </c>
      <c r="B39" s="12" t="s">
        <v>559</v>
      </c>
      <c r="C39" s="12" t="s">
        <v>225</v>
      </c>
      <c r="D39" s="23" t="s">
        <v>474</v>
      </c>
      <c r="E39" s="22" t="s">
        <v>475</v>
      </c>
      <c r="F39" s="12" t="s">
        <v>560</v>
      </c>
      <c r="G39" s="12" t="s">
        <v>562</v>
      </c>
      <c r="H39" s="12" t="s">
        <v>564</v>
      </c>
      <c r="I39" s="23" t="s">
        <v>566</v>
      </c>
      <c r="J39" s="12">
        <v>2009.0</v>
      </c>
      <c r="K39" s="23">
        <v>58.0</v>
      </c>
      <c r="L39" s="24">
        <v>1.0</v>
      </c>
      <c r="M39" s="25" t="s">
        <v>569</v>
      </c>
      <c r="N39" s="26" t="str">
        <f t="shared" si="1"/>
        <v>177
DID
c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0">
        <v>39.0</v>
      </c>
      <c r="B40" s="12" t="s">
        <v>575</v>
      </c>
      <c r="C40" s="12" t="s">
        <v>225</v>
      </c>
      <c r="D40" s="23" t="s">
        <v>501</v>
      </c>
      <c r="E40" s="22" t="s">
        <v>503</v>
      </c>
      <c r="F40" s="12" t="s">
        <v>504</v>
      </c>
      <c r="G40" s="12" t="s">
        <v>577</v>
      </c>
      <c r="H40" s="12" t="s">
        <v>578</v>
      </c>
      <c r="I40" s="23">
        <v>9.786029108071E12</v>
      </c>
      <c r="J40" s="12">
        <v>2015.0</v>
      </c>
      <c r="K40" s="23">
        <v>53.0</v>
      </c>
      <c r="L40" s="24">
        <v>3.0</v>
      </c>
      <c r="M40" s="25" t="s">
        <v>579</v>
      </c>
      <c r="N40" s="26" t="str">
        <f t="shared" si="1"/>
        <v>153
NIA
m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0">
        <v>40.0</v>
      </c>
      <c r="B41" s="12" t="s">
        <v>590</v>
      </c>
      <c r="C41" s="12" t="s">
        <v>225</v>
      </c>
      <c r="D41" s="23" t="s">
        <v>592</v>
      </c>
      <c r="E41" s="22" t="s">
        <v>593</v>
      </c>
      <c r="F41" s="12" t="s">
        <v>595</v>
      </c>
      <c r="G41" s="22"/>
      <c r="H41" s="12" t="s">
        <v>596</v>
      </c>
      <c r="I41" s="23" t="s">
        <v>597</v>
      </c>
      <c r="J41" s="12">
        <v>2006.0</v>
      </c>
      <c r="K41" s="23">
        <v>243.0</v>
      </c>
      <c r="L41" s="24">
        <v>1.0</v>
      </c>
      <c r="M41" s="12" t="s">
        <v>340</v>
      </c>
      <c r="N41" s="26" t="str">
        <f t="shared" si="1"/>
        <v>154
SAN
p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0">
        <v>41.0</v>
      </c>
      <c r="B42" s="12" t="s">
        <v>598</v>
      </c>
      <c r="C42" s="12" t="s">
        <v>225</v>
      </c>
      <c r="D42" s="23" t="s">
        <v>514</v>
      </c>
      <c r="E42" s="22" t="s">
        <v>516</v>
      </c>
      <c r="F42" s="12" t="s">
        <v>599</v>
      </c>
      <c r="G42" s="22"/>
      <c r="H42" s="12" t="s">
        <v>600</v>
      </c>
      <c r="I42" s="23" t="s">
        <v>601</v>
      </c>
      <c r="J42" s="12">
        <v>2014.0</v>
      </c>
      <c r="K42" s="23">
        <v>164.0</v>
      </c>
      <c r="L42" s="24">
        <v>2.0</v>
      </c>
      <c r="M42" s="38" t="s">
        <v>603</v>
      </c>
      <c r="N42" s="26" t="str">
        <f t="shared" si="1"/>
        <v>155.25
FEM
c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0">
        <v>42.0</v>
      </c>
      <c r="B43" s="12" t="s">
        <v>612</v>
      </c>
      <c r="C43" s="12" t="s">
        <v>225</v>
      </c>
      <c r="D43" s="23" t="s">
        <v>501</v>
      </c>
      <c r="E43" s="22" t="s">
        <v>503</v>
      </c>
      <c r="F43" s="12" t="s">
        <v>616</v>
      </c>
      <c r="G43" s="12" t="s">
        <v>617</v>
      </c>
      <c r="H43" s="12" t="s">
        <v>619</v>
      </c>
      <c r="I43" s="23">
        <v>9.186082808763E12</v>
      </c>
      <c r="J43" s="12">
        <v>2010.0</v>
      </c>
      <c r="K43" s="23">
        <v>76.0</v>
      </c>
      <c r="L43" s="24">
        <v>1.0</v>
      </c>
      <c r="M43" s="25" t="s">
        <v>620</v>
      </c>
      <c r="N43" s="26" t="str">
        <f t="shared" si="1"/>
        <v>153
WAW
p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0">
        <v>43.0</v>
      </c>
      <c r="B44" s="12" t="s">
        <v>621</v>
      </c>
      <c r="C44" s="12" t="s">
        <v>225</v>
      </c>
      <c r="D44" s="23" t="s">
        <v>501</v>
      </c>
      <c r="E44" s="22" t="s">
        <v>503</v>
      </c>
      <c r="F44" s="12" t="s">
        <v>622</v>
      </c>
      <c r="G44" s="22"/>
      <c r="H44" s="12" t="s">
        <v>623</v>
      </c>
      <c r="I44" s="23">
        <v>9.789796785063E12</v>
      </c>
      <c r="J44" s="12">
        <v>2009.0</v>
      </c>
      <c r="K44" s="23">
        <v>246.0</v>
      </c>
      <c r="L44" s="24">
        <v>2.0</v>
      </c>
      <c r="M44" s="12" t="s">
        <v>340</v>
      </c>
      <c r="N44" s="26" t="str">
        <f t="shared" si="1"/>
        <v>153
SUF
b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0">
        <v>44.0</v>
      </c>
      <c r="B45" s="12" t="s">
        <v>630</v>
      </c>
      <c r="C45" s="12" t="s">
        <v>225</v>
      </c>
      <c r="D45" s="23" t="s">
        <v>492</v>
      </c>
      <c r="E45" s="22" t="s">
        <v>493</v>
      </c>
      <c r="F45" s="12" t="s">
        <v>631</v>
      </c>
      <c r="G45" s="12" t="s">
        <v>632</v>
      </c>
      <c r="H45" s="12" t="s">
        <v>633</v>
      </c>
      <c r="I45" s="35"/>
      <c r="J45" s="12">
        <v>2011.0</v>
      </c>
      <c r="K45" s="23">
        <v>74.0</v>
      </c>
      <c r="L45" s="24">
        <v>1.0</v>
      </c>
      <c r="M45" s="25" t="s">
        <v>634</v>
      </c>
      <c r="N45" s="26" t="str">
        <f t="shared" si="1"/>
        <v>155.2
CUT
k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0">
        <v>45.0</v>
      </c>
      <c r="B46" s="12" t="s">
        <v>640</v>
      </c>
      <c r="C46" s="12" t="s">
        <v>225</v>
      </c>
      <c r="D46" s="23" t="s">
        <v>642</v>
      </c>
      <c r="E46" s="22" t="s">
        <v>643</v>
      </c>
      <c r="F46" s="12" t="s">
        <v>644</v>
      </c>
      <c r="G46" s="12" t="s">
        <v>645</v>
      </c>
      <c r="H46" s="12" t="s">
        <v>646</v>
      </c>
      <c r="I46" s="23" t="s">
        <v>647</v>
      </c>
      <c r="J46" s="12">
        <v>2015.0</v>
      </c>
      <c r="K46" s="23">
        <v>224.0</v>
      </c>
      <c r="L46" s="24">
        <v>4.0</v>
      </c>
      <c r="M46" s="25" t="s">
        <v>648</v>
      </c>
      <c r="N46" s="26" t="str">
        <f t="shared" si="1"/>
        <v>153.9
AGU
m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0">
        <v>46.0</v>
      </c>
      <c r="B47" s="12" t="s">
        <v>649</v>
      </c>
      <c r="C47" s="12" t="s">
        <v>225</v>
      </c>
      <c r="D47" s="23" t="s">
        <v>514</v>
      </c>
      <c r="E47" s="22" t="s">
        <v>516</v>
      </c>
      <c r="F47" s="12" t="s">
        <v>651</v>
      </c>
      <c r="G47" s="12" t="s">
        <v>652</v>
      </c>
      <c r="H47" s="12" t="s">
        <v>653</v>
      </c>
      <c r="I47" s="23" t="s">
        <v>655</v>
      </c>
      <c r="J47" s="12">
        <v>2016.0</v>
      </c>
      <c r="K47" s="23">
        <v>152.0</v>
      </c>
      <c r="L47" s="24">
        <v>4.0</v>
      </c>
      <c r="M47" s="25" t="s">
        <v>659</v>
      </c>
      <c r="N47" s="26" t="str">
        <f t="shared" si="1"/>
        <v>155.25
ANN
p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0">
        <v>47.0</v>
      </c>
      <c r="B48" s="12" t="s">
        <v>661</v>
      </c>
      <c r="C48" s="12" t="s">
        <v>225</v>
      </c>
      <c r="D48" s="23" t="s">
        <v>514</v>
      </c>
      <c r="E48" s="22" t="s">
        <v>516</v>
      </c>
      <c r="F48" s="12" t="s">
        <v>663</v>
      </c>
      <c r="G48" s="12" t="s">
        <v>664</v>
      </c>
      <c r="H48" s="12" t="s">
        <v>665</v>
      </c>
      <c r="I48" s="23" t="s">
        <v>667</v>
      </c>
      <c r="J48" s="12">
        <v>2012.0</v>
      </c>
      <c r="K48" s="23">
        <v>184.0</v>
      </c>
      <c r="L48" s="24">
        <v>1.0</v>
      </c>
      <c r="M48" s="12" t="s">
        <v>340</v>
      </c>
      <c r="N48" s="26" t="str">
        <f t="shared" si="1"/>
        <v>155.25
SAH
s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0">
        <v>48.0</v>
      </c>
      <c r="B49" s="12" t="s">
        <v>672</v>
      </c>
      <c r="C49" s="12" t="s">
        <v>225</v>
      </c>
      <c r="D49" s="23" t="s">
        <v>528</v>
      </c>
      <c r="E49" s="22" t="s">
        <v>529</v>
      </c>
      <c r="F49" s="12" t="s">
        <v>673</v>
      </c>
      <c r="G49" s="12" t="s">
        <v>674</v>
      </c>
      <c r="H49" s="12" t="s">
        <v>675</v>
      </c>
      <c r="I49" s="23" t="s">
        <v>676</v>
      </c>
      <c r="J49" s="12">
        <v>2015.0</v>
      </c>
      <c r="K49" s="23">
        <v>54.0</v>
      </c>
      <c r="L49" s="24">
        <v>1.0</v>
      </c>
      <c r="M49" s="25" t="s">
        <v>677</v>
      </c>
      <c r="N49" s="26" t="str">
        <f t="shared" si="1"/>
        <v>155.5
YUL
b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0">
        <v>49.0</v>
      </c>
      <c r="B50" s="12" t="s">
        <v>684</v>
      </c>
      <c r="C50" s="12" t="s">
        <v>225</v>
      </c>
      <c r="D50" s="23" t="s">
        <v>685</v>
      </c>
      <c r="E50" s="22" t="s">
        <v>686</v>
      </c>
      <c r="F50" s="12" t="s">
        <v>687</v>
      </c>
      <c r="G50" s="12" t="s">
        <v>688</v>
      </c>
      <c r="H50" s="12" t="s">
        <v>689</v>
      </c>
      <c r="I50" s="35"/>
      <c r="J50" s="12">
        <v>2006.0</v>
      </c>
      <c r="K50" s="23">
        <v>220.0</v>
      </c>
      <c r="L50" s="24">
        <v>1.0</v>
      </c>
      <c r="M50" s="25" t="s">
        <v>690</v>
      </c>
      <c r="N50" s="26" t="str">
        <f t="shared" si="1"/>
        <v>158.1
SUM
p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0">
        <v>50.0</v>
      </c>
      <c r="B51" s="12" t="s">
        <v>696</v>
      </c>
      <c r="C51" s="12" t="s">
        <v>225</v>
      </c>
      <c r="D51" s="23" t="s">
        <v>501</v>
      </c>
      <c r="E51" s="22" t="s">
        <v>503</v>
      </c>
      <c r="F51" s="12" t="s">
        <v>698</v>
      </c>
      <c r="G51" s="12" t="s">
        <v>699</v>
      </c>
      <c r="H51" s="12" t="s">
        <v>700</v>
      </c>
      <c r="I51" s="23" t="s">
        <v>701</v>
      </c>
      <c r="J51" s="22"/>
      <c r="K51" s="23">
        <v>74.0</v>
      </c>
      <c r="L51" s="24">
        <v>1.0</v>
      </c>
      <c r="M51" s="12" t="s">
        <v>340</v>
      </c>
      <c r="N51" s="26" t="str">
        <f t="shared" si="1"/>
        <v>153
AGU
s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0">
        <v>51.0</v>
      </c>
      <c r="B52" s="12" t="s">
        <v>702</v>
      </c>
      <c r="C52" s="12" t="s">
        <v>225</v>
      </c>
      <c r="D52" s="23" t="s">
        <v>514</v>
      </c>
      <c r="E52" s="22" t="s">
        <v>516</v>
      </c>
      <c r="F52" s="12" t="s">
        <v>703</v>
      </c>
      <c r="G52" s="12" t="s">
        <v>704</v>
      </c>
      <c r="H52" s="12" t="s">
        <v>705</v>
      </c>
      <c r="I52" s="23" t="s">
        <v>706</v>
      </c>
      <c r="J52" s="12">
        <v>2008.0</v>
      </c>
      <c r="K52" s="23">
        <v>68.0</v>
      </c>
      <c r="L52" s="24">
        <v>1.0</v>
      </c>
      <c r="M52" s="25" t="s">
        <v>707</v>
      </c>
      <c r="N52" s="26" t="str">
        <f t="shared" si="1"/>
        <v>155.25
KAR
m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0">
        <v>52.0</v>
      </c>
      <c r="B53" s="12" t="s">
        <v>711</v>
      </c>
      <c r="C53" s="12" t="s">
        <v>225</v>
      </c>
      <c r="D53" s="23" t="s">
        <v>712</v>
      </c>
      <c r="E53" s="22" t="s">
        <v>713</v>
      </c>
      <c r="F53" s="12" t="s">
        <v>714</v>
      </c>
      <c r="G53" s="12" t="s">
        <v>715</v>
      </c>
      <c r="H53" s="12" t="s">
        <v>716</v>
      </c>
      <c r="I53" s="23" t="s">
        <v>718</v>
      </c>
      <c r="J53" s="12">
        <v>2015.0</v>
      </c>
      <c r="K53" s="23">
        <v>58.0</v>
      </c>
      <c r="L53" s="24">
        <v>4.0</v>
      </c>
      <c r="M53" s="25" t="s">
        <v>720</v>
      </c>
      <c r="N53" s="26" t="str">
        <f t="shared" si="1"/>
        <v>152.4
TUT
m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0">
        <v>53.0</v>
      </c>
      <c r="B54" s="12" t="s">
        <v>722</v>
      </c>
      <c r="C54" s="12" t="s">
        <v>225</v>
      </c>
      <c r="D54" s="23" t="s">
        <v>528</v>
      </c>
      <c r="E54" s="22" t="s">
        <v>529</v>
      </c>
      <c r="F54" s="12" t="s">
        <v>723</v>
      </c>
      <c r="G54" s="12" t="s">
        <v>724</v>
      </c>
      <c r="H54" s="12" t="s">
        <v>725</v>
      </c>
      <c r="I54" s="23" t="s">
        <v>726</v>
      </c>
      <c r="J54" s="12">
        <v>2015.0</v>
      </c>
      <c r="K54" s="23">
        <v>54.0</v>
      </c>
      <c r="L54" s="24">
        <v>1.0</v>
      </c>
      <c r="M54" s="25" t="s">
        <v>728</v>
      </c>
      <c r="N54" s="26" t="str">
        <f t="shared" si="1"/>
        <v>155.5
YOP
b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0">
        <v>54.0</v>
      </c>
      <c r="B55" s="12" t="s">
        <v>731</v>
      </c>
      <c r="C55" s="12" t="s">
        <v>225</v>
      </c>
      <c r="D55" s="23" t="s">
        <v>528</v>
      </c>
      <c r="E55" s="22" t="s">
        <v>529</v>
      </c>
      <c r="F55" s="12" t="s">
        <v>732</v>
      </c>
      <c r="G55" s="12" t="s">
        <v>733</v>
      </c>
      <c r="H55" s="12" t="s">
        <v>734</v>
      </c>
      <c r="I55" s="23" t="s">
        <v>735</v>
      </c>
      <c r="J55" s="12">
        <v>2015.0</v>
      </c>
      <c r="K55" s="23">
        <v>58.0</v>
      </c>
      <c r="L55" s="24">
        <v>1.0</v>
      </c>
      <c r="M55" s="25" t="s">
        <v>737</v>
      </c>
      <c r="N55" s="26" t="str">
        <f t="shared" si="1"/>
        <v>155.5
IRM
b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0">
        <v>55.0</v>
      </c>
      <c r="B56" s="12" t="s">
        <v>740</v>
      </c>
      <c r="C56" s="12" t="s">
        <v>225</v>
      </c>
      <c r="D56" s="23" t="s">
        <v>528</v>
      </c>
      <c r="E56" s="22" t="s">
        <v>529</v>
      </c>
      <c r="F56" s="12" t="s">
        <v>741</v>
      </c>
      <c r="G56" s="12" t="s">
        <v>724</v>
      </c>
      <c r="H56" s="12" t="s">
        <v>725</v>
      </c>
      <c r="I56" s="23" t="s">
        <v>742</v>
      </c>
      <c r="J56" s="12">
        <v>2015.0</v>
      </c>
      <c r="K56" s="23">
        <v>54.0</v>
      </c>
      <c r="L56" s="24">
        <v>1.0</v>
      </c>
      <c r="M56" s="25" t="s">
        <v>744</v>
      </c>
      <c r="N56" s="26" t="str">
        <f t="shared" si="1"/>
        <v>155.5
SAR
b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0">
        <v>56.0</v>
      </c>
      <c r="B57" s="12" t="s">
        <v>746</v>
      </c>
      <c r="C57" s="12" t="s">
        <v>225</v>
      </c>
      <c r="D57" s="23" t="s">
        <v>528</v>
      </c>
      <c r="E57" s="22" t="s">
        <v>529</v>
      </c>
      <c r="F57" s="12" t="s">
        <v>741</v>
      </c>
      <c r="G57" s="12" t="s">
        <v>674</v>
      </c>
      <c r="H57" s="12" t="s">
        <v>725</v>
      </c>
      <c r="I57" s="23" t="s">
        <v>747</v>
      </c>
      <c r="J57" s="12">
        <v>2015.0</v>
      </c>
      <c r="K57" s="23">
        <v>54.0</v>
      </c>
      <c r="L57" s="24">
        <v>1.0</v>
      </c>
      <c r="M57" s="25" t="s">
        <v>749</v>
      </c>
      <c r="N57" s="26" t="str">
        <f t="shared" si="1"/>
        <v>155.5
SAR
b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0">
        <v>57.0</v>
      </c>
      <c r="B58" s="12" t="s">
        <v>751</v>
      </c>
      <c r="C58" s="12" t="s">
        <v>225</v>
      </c>
      <c r="D58" s="23" t="s">
        <v>528</v>
      </c>
      <c r="E58" s="22" t="s">
        <v>529</v>
      </c>
      <c r="F58" s="12" t="s">
        <v>732</v>
      </c>
      <c r="G58" s="12" t="s">
        <v>674</v>
      </c>
      <c r="H58" s="12" t="s">
        <v>725</v>
      </c>
      <c r="I58" s="23" t="s">
        <v>752</v>
      </c>
      <c r="J58" s="12">
        <v>2015.0</v>
      </c>
      <c r="K58" s="23">
        <v>54.0</v>
      </c>
      <c r="L58" s="24">
        <v>1.0</v>
      </c>
      <c r="M58" s="12" t="s">
        <v>340</v>
      </c>
      <c r="N58" s="26" t="str">
        <f t="shared" si="1"/>
        <v>155.5
IRM
b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0">
        <v>58.0</v>
      </c>
      <c r="B59" s="12" t="s">
        <v>754</v>
      </c>
      <c r="C59" s="12" t="s">
        <v>225</v>
      </c>
      <c r="D59" s="23" t="s">
        <v>528</v>
      </c>
      <c r="E59" s="22" t="s">
        <v>529</v>
      </c>
      <c r="F59" s="12" t="s">
        <v>733</v>
      </c>
      <c r="G59" s="12" t="s">
        <v>755</v>
      </c>
      <c r="H59" s="12" t="s">
        <v>725</v>
      </c>
      <c r="I59" s="23" t="s">
        <v>756</v>
      </c>
      <c r="J59" s="12">
        <v>2015.0</v>
      </c>
      <c r="K59" s="23">
        <v>54.0</v>
      </c>
      <c r="L59" s="24">
        <v>1.0</v>
      </c>
      <c r="M59" s="25" t="s">
        <v>758</v>
      </c>
      <c r="N59" s="26" t="str">
        <f t="shared" si="1"/>
        <v>155.5
IZZ
b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0">
        <v>59.0</v>
      </c>
      <c r="B60" s="12" t="s">
        <v>759</v>
      </c>
      <c r="C60" s="12" t="s">
        <v>225</v>
      </c>
      <c r="D60" s="23" t="s">
        <v>685</v>
      </c>
      <c r="E60" s="22" t="s">
        <v>686</v>
      </c>
      <c r="F60" s="12" t="s">
        <v>714</v>
      </c>
      <c r="G60" s="12" t="s">
        <v>761</v>
      </c>
      <c r="H60" s="12" t="s">
        <v>762</v>
      </c>
      <c r="I60" s="23" t="s">
        <v>763</v>
      </c>
      <c r="J60" s="12">
        <v>2015.0</v>
      </c>
      <c r="K60" s="23">
        <v>55.0</v>
      </c>
      <c r="L60" s="24">
        <v>1.0</v>
      </c>
      <c r="M60" s="12" t="s">
        <v>340</v>
      </c>
      <c r="N60" s="26" t="str">
        <f t="shared" si="1"/>
        <v>158.1
TUT
m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0">
        <v>60.0</v>
      </c>
      <c r="B61" s="12" t="s">
        <v>765</v>
      </c>
      <c r="C61" s="12" t="s">
        <v>225</v>
      </c>
      <c r="D61" s="23" t="s">
        <v>528</v>
      </c>
      <c r="E61" s="12" t="s">
        <v>529</v>
      </c>
      <c r="F61" s="12" t="s">
        <v>766</v>
      </c>
      <c r="G61" s="12" t="s">
        <v>733</v>
      </c>
      <c r="H61" s="12" t="s">
        <v>725</v>
      </c>
      <c r="I61" s="23" t="s">
        <v>767</v>
      </c>
      <c r="J61" s="12">
        <v>2015.0</v>
      </c>
      <c r="K61" s="23">
        <v>54.0</v>
      </c>
      <c r="L61" s="24">
        <v>1.0</v>
      </c>
      <c r="M61" s="12" t="s">
        <v>340</v>
      </c>
      <c r="N61" s="26" t="str">
        <f t="shared" si="1"/>
        <v>155.5
HAN
b</v>
      </c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0">
        <v>61.0</v>
      </c>
      <c r="B62" s="12" t="s">
        <v>768</v>
      </c>
      <c r="C62" s="12" t="s">
        <v>225</v>
      </c>
      <c r="D62" s="23" t="s">
        <v>769</v>
      </c>
      <c r="E62" s="22" t="s">
        <v>529</v>
      </c>
      <c r="F62" s="12" t="s">
        <v>771</v>
      </c>
      <c r="G62" s="12" t="s">
        <v>430</v>
      </c>
      <c r="H62" s="12" t="s">
        <v>725</v>
      </c>
      <c r="I62" s="23" t="s">
        <v>772</v>
      </c>
      <c r="J62" s="12">
        <v>2015.0</v>
      </c>
      <c r="K62" s="23">
        <v>54.0</v>
      </c>
      <c r="L62" s="24">
        <v>1.0</v>
      </c>
      <c r="M62" s="25" t="s">
        <v>773</v>
      </c>
      <c r="N62" s="26" t="str">
        <f t="shared" si="1"/>
        <v>155.5 
ISM
b</v>
      </c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0">
        <v>62.0</v>
      </c>
      <c r="B63" s="12" t="s">
        <v>775</v>
      </c>
      <c r="C63" s="12" t="s">
        <v>225</v>
      </c>
      <c r="D63" s="23" t="s">
        <v>769</v>
      </c>
      <c r="E63" s="22" t="s">
        <v>529</v>
      </c>
      <c r="F63" s="12" t="s">
        <v>776</v>
      </c>
      <c r="G63" s="12" t="s">
        <v>724</v>
      </c>
      <c r="H63" s="12" t="s">
        <v>725</v>
      </c>
      <c r="I63" s="23" t="s">
        <v>792</v>
      </c>
      <c r="J63" s="12">
        <v>2015.0</v>
      </c>
      <c r="K63" s="23">
        <v>54.0</v>
      </c>
      <c r="L63" s="24">
        <v>1.0</v>
      </c>
      <c r="M63" s="25" t="s">
        <v>793</v>
      </c>
      <c r="N63" s="26" t="str">
        <f t="shared" si="1"/>
        <v>155.5 
SRI
b</v>
      </c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0">
        <v>63.0</v>
      </c>
      <c r="B64" s="12" t="s">
        <v>796</v>
      </c>
      <c r="C64" s="12" t="s">
        <v>225</v>
      </c>
      <c r="D64" s="23" t="s">
        <v>769</v>
      </c>
      <c r="E64" s="22" t="s">
        <v>529</v>
      </c>
      <c r="F64" s="12" t="s">
        <v>723</v>
      </c>
      <c r="G64" s="12" t="s">
        <v>724</v>
      </c>
      <c r="H64" s="12" t="s">
        <v>725</v>
      </c>
      <c r="I64" s="23" t="s">
        <v>799</v>
      </c>
      <c r="J64" s="12">
        <v>2015.0</v>
      </c>
      <c r="K64" s="23">
        <v>54.0</v>
      </c>
      <c r="L64" s="24">
        <v>1.0</v>
      </c>
      <c r="M64" s="12" t="s">
        <v>340</v>
      </c>
      <c r="N64" s="26" t="str">
        <f t="shared" si="1"/>
        <v>155.5 
YOP
b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0">
        <v>64.0</v>
      </c>
      <c r="B65" s="12" t="s">
        <v>802</v>
      </c>
      <c r="C65" s="12" t="s">
        <v>225</v>
      </c>
      <c r="D65" s="23" t="s">
        <v>803</v>
      </c>
      <c r="E65" s="22" t="s">
        <v>804</v>
      </c>
      <c r="F65" s="12" t="s">
        <v>805</v>
      </c>
      <c r="G65" s="12" t="s">
        <v>806</v>
      </c>
      <c r="H65" s="12" t="s">
        <v>807</v>
      </c>
      <c r="I65" s="40">
        <v>9.78603E17</v>
      </c>
      <c r="J65" s="12">
        <v>2013.0</v>
      </c>
      <c r="K65" s="23" t="s">
        <v>808</v>
      </c>
      <c r="L65" s="24">
        <v>4.0</v>
      </c>
      <c r="M65" s="25" t="s">
        <v>809</v>
      </c>
      <c r="N65" s="26" t="str">
        <f t="shared" si="1"/>
        <v>173
BUD
m</v>
      </c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0">
        <v>65.0</v>
      </c>
      <c r="B66" s="12" t="s">
        <v>810</v>
      </c>
      <c r="C66" s="12" t="s">
        <v>225</v>
      </c>
      <c r="D66" s="23" t="s">
        <v>769</v>
      </c>
      <c r="E66" s="22" t="s">
        <v>529</v>
      </c>
      <c r="F66" s="12" t="s">
        <v>811</v>
      </c>
      <c r="G66" s="12" t="s">
        <v>812</v>
      </c>
      <c r="H66" s="12" t="s">
        <v>725</v>
      </c>
      <c r="I66" s="41" t="s">
        <v>813</v>
      </c>
      <c r="J66" s="12">
        <v>2015.0</v>
      </c>
      <c r="K66" s="23" t="s">
        <v>814</v>
      </c>
      <c r="L66" s="24">
        <v>1.0</v>
      </c>
      <c r="M66" s="12" t="s">
        <v>340</v>
      </c>
      <c r="N66" s="26" t="str">
        <f t="shared" si="1"/>
        <v>155.5 
TUS
b</v>
      </c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0">
        <v>66.0</v>
      </c>
      <c r="B67" s="12" t="s">
        <v>815</v>
      </c>
      <c r="C67" s="12" t="s">
        <v>225</v>
      </c>
      <c r="D67" s="23" t="s">
        <v>816</v>
      </c>
      <c r="E67" s="22" t="s">
        <v>804</v>
      </c>
      <c r="F67" s="12" t="s">
        <v>107</v>
      </c>
      <c r="G67" s="12" t="s">
        <v>817</v>
      </c>
      <c r="H67" s="12" t="s">
        <v>818</v>
      </c>
      <c r="I67" s="35"/>
      <c r="J67" s="12">
        <v>2011.0</v>
      </c>
      <c r="K67" s="23">
        <v>74.0</v>
      </c>
      <c r="L67" s="24">
        <v>3.0</v>
      </c>
      <c r="M67" s="25" t="s">
        <v>820</v>
      </c>
      <c r="N67" s="26" t="str">
        <f t="shared" si="1"/>
        <v>171.4 
EDI
j</v>
      </c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0">
        <v>67.0</v>
      </c>
      <c r="B68" s="12" t="s">
        <v>824</v>
      </c>
      <c r="C68" s="12" t="s">
        <v>225</v>
      </c>
      <c r="D68" s="23" t="s">
        <v>825</v>
      </c>
      <c r="E68" s="22" t="s">
        <v>493</v>
      </c>
      <c r="F68" s="12" t="s">
        <v>107</v>
      </c>
      <c r="G68" s="12" t="s">
        <v>817</v>
      </c>
      <c r="H68" s="12" t="s">
        <v>482</v>
      </c>
      <c r="I68" s="35"/>
      <c r="J68" s="12">
        <v>2011.0</v>
      </c>
      <c r="K68" s="23">
        <v>74.0</v>
      </c>
      <c r="L68" s="24">
        <v>1.0</v>
      </c>
      <c r="M68" s="12" t="s">
        <v>340</v>
      </c>
      <c r="N68" s="26" t="str">
        <f t="shared" si="1"/>
        <v>155.2 
EDI
k</v>
      </c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0">
        <v>68.0</v>
      </c>
      <c r="B69" s="12" t="s">
        <v>826</v>
      </c>
      <c r="C69" s="12" t="s">
        <v>225</v>
      </c>
      <c r="D69" s="23" t="s">
        <v>769</v>
      </c>
      <c r="E69" s="22" t="s">
        <v>529</v>
      </c>
      <c r="F69" s="12" t="s">
        <v>827</v>
      </c>
      <c r="G69" s="12" t="s">
        <v>829</v>
      </c>
      <c r="H69" s="12" t="s">
        <v>830</v>
      </c>
      <c r="I69" s="35"/>
      <c r="J69" s="12">
        <v>2014.0</v>
      </c>
      <c r="K69" s="23">
        <v>172.0</v>
      </c>
      <c r="L69" s="24">
        <v>1.0</v>
      </c>
      <c r="M69" s="25" t="s">
        <v>833</v>
      </c>
      <c r="N69" s="26" t="str">
        <f t="shared" si="1"/>
        <v>155.5 
QUL
s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0">
        <v>69.0</v>
      </c>
      <c r="B70" s="12" t="s">
        <v>836</v>
      </c>
      <c r="C70" s="12" t="s">
        <v>225</v>
      </c>
      <c r="D70" s="23" t="s">
        <v>825</v>
      </c>
      <c r="E70" s="22" t="s">
        <v>493</v>
      </c>
      <c r="F70" s="12" t="s">
        <v>837</v>
      </c>
      <c r="G70" s="12" t="s">
        <v>838</v>
      </c>
      <c r="H70" s="12" t="s">
        <v>839</v>
      </c>
      <c r="I70" s="35"/>
      <c r="J70" s="12">
        <v>2011.0</v>
      </c>
      <c r="K70" s="23">
        <v>86.0</v>
      </c>
      <c r="L70" s="24">
        <v>2.0</v>
      </c>
      <c r="M70" s="12" t="s">
        <v>340</v>
      </c>
      <c r="N70" s="26" t="str">
        <f t="shared" si="1"/>
        <v>155.2 
AHM
b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0">
        <v>70.0</v>
      </c>
      <c r="B71" s="12" t="s">
        <v>842</v>
      </c>
      <c r="C71" s="12" t="s">
        <v>225</v>
      </c>
      <c r="D71" s="23" t="s">
        <v>847</v>
      </c>
      <c r="E71" s="22" t="s">
        <v>848</v>
      </c>
      <c r="F71" s="12" t="s">
        <v>849</v>
      </c>
      <c r="G71" s="12" t="s">
        <v>850</v>
      </c>
      <c r="H71" s="12" t="s">
        <v>851</v>
      </c>
      <c r="I71" s="23" t="s">
        <v>852</v>
      </c>
      <c r="J71" s="12">
        <v>2010.0</v>
      </c>
      <c r="K71" s="23">
        <v>124.0</v>
      </c>
      <c r="L71" s="24">
        <v>1.0</v>
      </c>
      <c r="M71" s="25" t="s">
        <v>853</v>
      </c>
      <c r="N71" s="26" t="str">
        <f t="shared" si="1"/>
        <v>158.3 
ACH
b</v>
      </c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0">
        <v>71.0</v>
      </c>
      <c r="B72" s="12" t="s">
        <v>860</v>
      </c>
      <c r="C72" s="12" t="s">
        <v>225</v>
      </c>
      <c r="D72" s="23">
        <v>140.0</v>
      </c>
      <c r="E72" s="12" t="s">
        <v>861</v>
      </c>
      <c r="F72" s="12" t="s">
        <v>862</v>
      </c>
      <c r="G72" s="12" t="s">
        <v>495</v>
      </c>
      <c r="H72" s="12" t="s">
        <v>863</v>
      </c>
      <c r="I72" s="23" t="s">
        <v>864</v>
      </c>
      <c r="J72" s="12">
        <v>2012.0</v>
      </c>
      <c r="K72" s="23">
        <v>57.0</v>
      </c>
      <c r="L72" s="24">
        <v>1.0</v>
      </c>
      <c r="M72" s="12" t="s">
        <v>340</v>
      </c>
      <c r="N72" s="26" t="str">
        <f t="shared" si="1"/>
        <v>140
AJI
r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0">
        <v>72.0</v>
      </c>
      <c r="B73" s="12" t="s">
        <v>865</v>
      </c>
      <c r="C73" s="12" t="s">
        <v>225</v>
      </c>
      <c r="D73" s="23">
        <v>108.0</v>
      </c>
      <c r="E73" s="12" t="s">
        <v>866</v>
      </c>
      <c r="F73" s="12" t="s">
        <v>867</v>
      </c>
      <c r="G73" s="12" t="s">
        <v>868</v>
      </c>
      <c r="H73" s="12" t="s">
        <v>869</v>
      </c>
      <c r="I73" s="23" t="s">
        <v>870</v>
      </c>
      <c r="J73" s="12">
        <v>2010.0</v>
      </c>
      <c r="K73" s="23">
        <v>100.0</v>
      </c>
      <c r="L73" s="24">
        <v>1.0</v>
      </c>
      <c r="M73" s="12" t="s">
        <v>340</v>
      </c>
      <c r="N73" s="26" t="str">
        <f t="shared" si="1"/>
        <v>108
RUD
d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0">
        <v>73.0</v>
      </c>
      <c r="B74" s="12" t="s">
        <v>871</v>
      </c>
      <c r="C74" s="12" t="s">
        <v>225</v>
      </c>
      <c r="D74" s="23" t="s">
        <v>873</v>
      </c>
      <c r="E74" s="22" t="s">
        <v>874</v>
      </c>
      <c r="F74" s="12" t="s">
        <v>875</v>
      </c>
      <c r="G74" s="12" t="s">
        <v>876</v>
      </c>
      <c r="H74" s="12" t="s">
        <v>877</v>
      </c>
      <c r="I74" s="35"/>
      <c r="J74" s="12">
        <v>2010.0</v>
      </c>
      <c r="K74" s="23">
        <v>58.0</v>
      </c>
      <c r="L74" s="24">
        <v>1.0</v>
      </c>
      <c r="M74" s="25" t="s">
        <v>880</v>
      </c>
      <c r="N74" s="26" t="str">
        <f t="shared" si="1"/>
        <v>158.2 
YUL
m</v>
      </c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0">
        <v>74.0</v>
      </c>
      <c r="B75" s="12" t="s">
        <v>882</v>
      </c>
      <c r="C75" s="12" t="s">
        <v>225</v>
      </c>
      <c r="D75" s="23" t="s">
        <v>883</v>
      </c>
      <c r="E75" s="22" t="s">
        <v>884</v>
      </c>
      <c r="F75" s="12" t="s">
        <v>885</v>
      </c>
      <c r="G75" s="12" t="s">
        <v>888</v>
      </c>
      <c r="H75" s="12" t="s">
        <v>889</v>
      </c>
      <c r="I75" s="23" t="s">
        <v>890</v>
      </c>
      <c r="J75" s="12">
        <v>2014.0</v>
      </c>
      <c r="K75" s="23">
        <v>66.0</v>
      </c>
      <c r="L75" s="24">
        <v>1.0</v>
      </c>
      <c r="M75" s="25" t="s">
        <v>891</v>
      </c>
      <c r="N75" s="26" t="str">
        <f t="shared" si="1"/>
        <v>170
DEW
a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0">
        <v>75.0</v>
      </c>
      <c r="B76" s="12" t="s">
        <v>895</v>
      </c>
      <c r="C76" s="12" t="s">
        <v>225</v>
      </c>
      <c r="D76" s="23" t="s">
        <v>474</v>
      </c>
      <c r="E76" s="22" t="s">
        <v>475</v>
      </c>
      <c r="F76" s="12" t="s">
        <v>896</v>
      </c>
      <c r="G76" s="12" t="s">
        <v>897</v>
      </c>
      <c r="H76" s="12" t="s">
        <v>898</v>
      </c>
      <c r="I76" s="23" t="s">
        <v>899</v>
      </c>
      <c r="J76" s="12">
        <v>2015.0</v>
      </c>
      <c r="K76" s="23">
        <v>68.0</v>
      </c>
      <c r="L76" s="24">
        <v>1.0</v>
      </c>
      <c r="M76" s="25" t="s">
        <v>900</v>
      </c>
      <c r="N76" s="26" t="str">
        <f t="shared" si="1"/>
        <v>177
LUT
g</v>
      </c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0">
        <v>76.0</v>
      </c>
      <c r="B77" s="12" t="s">
        <v>906</v>
      </c>
      <c r="C77" s="12" t="s">
        <v>38</v>
      </c>
      <c r="D77" s="23">
        <v>813.0</v>
      </c>
      <c r="E77" s="12" t="s">
        <v>907</v>
      </c>
      <c r="F77" s="12" t="s">
        <v>908</v>
      </c>
      <c r="G77" s="12" t="s">
        <v>909</v>
      </c>
      <c r="H77" s="12" t="s">
        <v>910</v>
      </c>
      <c r="I77" s="23" t="s">
        <v>911</v>
      </c>
      <c r="J77" s="12">
        <v>2005.0</v>
      </c>
      <c r="K77" s="23">
        <v>239.0</v>
      </c>
      <c r="L77" s="24">
        <v>1.0</v>
      </c>
      <c r="M77" s="25" t="s">
        <v>912</v>
      </c>
      <c r="N77" s="26" t="str">
        <f t="shared" si="1"/>
        <v>813
MAY
b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0">
        <v>77.0</v>
      </c>
      <c r="B78" s="12" t="s">
        <v>917</v>
      </c>
      <c r="C78" s="12" t="s">
        <v>246</v>
      </c>
      <c r="D78" s="23" t="s">
        <v>918</v>
      </c>
      <c r="E78" s="12" t="s">
        <v>917</v>
      </c>
      <c r="F78" s="12" t="s">
        <v>919</v>
      </c>
      <c r="G78" s="22"/>
      <c r="H78" s="12" t="s">
        <v>920</v>
      </c>
      <c r="I78" s="23" t="s">
        <v>921</v>
      </c>
      <c r="J78" s="12">
        <v>2006.0</v>
      </c>
      <c r="K78" s="23" t="s">
        <v>922</v>
      </c>
      <c r="L78" s="24">
        <v>1.0</v>
      </c>
      <c r="M78" s="25" t="s">
        <v>923</v>
      </c>
      <c r="N78" s="26" t="str">
        <f t="shared" si="1"/>
        <v>540.3
Drs
k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0">
        <v>78.0</v>
      </c>
      <c r="B79" s="12" t="s">
        <v>928</v>
      </c>
      <c r="C79" s="12" t="s">
        <v>225</v>
      </c>
      <c r="D79" s="35"/>
      <c r="E79" s="22"/>
      <c r="F79" s="12" t="s">
        <v>929</v>
      </c>
      <c r="G79" s="12" t="s">
        <v>897</v>
      </c>
      <c r="H79" s="12" t="s">
        <v>898</v>
      </c>
      <c r="I79" s="23" t="s">
        <v>930</v>
      </c>
      <c r="J79" s="12">
        <v>2015.0</v>
      </c>
      <c r="K79" s="23">
        <v>68.0</v>
      </c>
      <c r="L79" s="24">
        <v>1.0</v>
      </c>
      <c r="M79" s="12" t="s">
        <v>340</v>
      </c>
      <c r="N79" s="26" t="str">
        <f t="shared" si="1"/>
        <v>
LUT
p</v>
      </c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0">
        <v>79.0</v>
      </c>
      <c r="B80" s="12" t="s">
        <v>931</v>
      </c>
      <c r="C80" s="12" t="s">
        <v>225</v>
      </c>
      <c r="D80" s="23" t="s">
        <v>501</v>
      </c>
      <c r="E80" s="22" t="s">
        <v>503</v>
      </c>
      <c r="F80" s="12" t="s">
        <v>929</v>
      </c>
      <c r="G80" s="12" t="s">
        <v>897</v>
      </c>
      <c r="H80" s="12" t="s">
        <v>898</v>
      </c>
      <c r="I80" s="23" t="s">
        <v>930</v>
      </c>
      <c r="J80" s="12">
        <v>2015.0</v>
      </c>
      <c r="K80" s="23">
        <v>68.0</v>
      </c>
      <c r="L80" s="24">
        <v>1.0</v>
      </c>
      <c r="M80" s="25" t="s">
        <v>932</v>
      </c>
      <c r="N80" s="26" t="str">
        <f t="shared" si="1"/>
        <v>153
LUT
g</v>
      </c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0">
        <v>80.0</v>
      </c>
      <c r="B81" s="12" t="s">
        <v>939</v>
      </c>
      <c r="C81" s="12" t="s">
        <v>225</v>
      </c>
      <c r="D81" s="23" t="s">
        <v>474</v>
      </c>
      <c r="E81" s="22" t="s">
        <v>475</v>
      </c>
      <c r="F81" s="12" t="s">
        <v>940</v>
      </c>
      <c r="G81" s="12" t="s">
        <v>941</v>
      </c>
      <c r="H81" s="12" t="s">
        <v>942</v>
      </c>
      <c r="I81" s="23" t="s">
        <v>943</v>
      </c>
      <c r="J81" s="12">
        <v>2015.0</v>
      </c>
      <c r="K81" s="23">
        <v>44.0</v>
      </c>
      <c r="L81" s="24">
        <v>3.0</v>
      </c>
      <c r="M81" s="25" t="s">
        <v>944</v>
      </c>
      <c r="N81" s="26" t="str">
        <f>LEFT(D81,3) &amp; CHAR(10) &amp; LEFT(F81,3) &amp; CHAR(10) &amp; LOWER(LEFT(B81,1))</f>
        <v>177
TAB
s</v>
      </c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0">
        <v>81.0</v>
      </c>
      <c r="B82" s="12" t="s">
        <v>956</v>
      </c>
      <c r="C82" s="12" t="s">
        <v>225</v>
      </c>
      <c r="D82" s="23" t="s">
        <v>514</v>
      </c>
      <c r="E82" s="22" t="s">
        <v>516</v>
      </c>
      <c r="F82" s="12" t="s">
        <v>107</v>
      </c>
      <c r="G82" s="12" t="s">
        <v>817</v>
      </c>
      <c r="H82" s="12" t="s">
        <v>957</v>
      </c>
      <c r="I82" s="23" t="s">
        <v>958</v>
      </c>
      <c r="J82" s="12">
        <v>2012.0</v>
      </c>
      <c r="K82" s="23">
        <v>82.0</v>
      </c>
      <c r="L82" s="24">
        <v>6.0</v>
      </c>
      <c r="M82" s="25" t="s">
        <v>959</v>
      </c>
      <c r="N82" s="26" t="str">
        <f t="shared" ref="N82:N1739" si="2">D82 &amp; CHAR(10) &amp; LEFT(F82,3) &amp; CHAR(10) &amp; LOWER(LEFT(B82,1))</f>
        <v>155.25
EDI
m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0">
        <v>82.0</v>
      </c>
      <c r="B83" s="12" t="s">
        <v>969</v>
      </c>
      <c r="C83" s="12" t="s">
        <v>225</v>
      </c>
      <c r="D83" s="23" t="s">
        <v>528</v>
      </c>
      <c r="E83" s="22" t="s">
        <v>529</v>
      </c>
      <c r="F83" s="12" t="s">
        <v>771</v>
      </c>
      <c r="G83" s="12" t="s">
        <v>674</v>
      </c>
      <c r="H83" s="12" t="s">
        <v>725</v>
      </c>
      <c r="I83" s="23" t="s">
        <v>970</v>
      </c>
      <c r="J83" s="12">
        <v>2015.0</v>
      </c>
      <c r="K83" s="23" t="s">
        <v>814</v>
      </c>
      <c r="L83" s="24">
        <v>1.0</v>
      </c>
      <c r="M83" s="25" t="s">
        <v>971</v>
      </c>
      <c r="N83" s="26" t="str">
        <f t="shared" si="2"/>
        <v>155.5
ISM
b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0">
        <v>83.0</v>
      </c>
      <c r="B84" s="12" t="s">
        <v>977</v>
      </c>
      <c r="C84" s="12" t="s">
        <v>226</v>
      </c>
      <c r="D84" s="47">
        <v>297362.0</v>
      </c>
      <c r="E84" s="22" t="s">
        <v>978</v>
      </c>
      <c r="F84" s="12" t="s">
        <v>979</v>
      </c>
      <c r="G84" s="12" t="s">
        <v>980</v>
      </c>
      <c r="H84" s="12" t="s">
        <v>981</v>
      </c>
      <c r="I84" s="23">
        <v>9.786029211566E12</v>
      </c>
      <c r="J84" s="12">
        <v>2012.0</v>
      </c>
      <c r="K84" s="23">
        <v>130.0</v>
      </c>
      <c r="L84" s="24">
        <v>1.0</v>
      </c>
      <c r="M84" s="25" t="s">
        <v>982</v>
      </c>
      <c r="N84" s="26" t="str">
        <f t="shared" si="2"/>
        <v>297362
MUH
s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0">
        <v>84.0</v>
      </c>
      <c r="B85" s="12" t="s">
        <v>998</v>
      </c>
      <c r="C85" s="12" t="s">
        <v>226</v>
      </c>
      <c r="D85" s="23" t="s">
        <v>1000</v>
      </c>
      <c r="E85" s="22" t="s">
        <v>1001</v>
      </c>
      <c r="F85" s="12" t="s">
        <v>1003</v>
      </c>
      <c r="G85" s="12" t="s">
        <v>868</v>
      </c>
      <c r="H85" s="12" t="s">
        <v>1005</v>
      </c>
      <c r="I85" s="23" t="s">
        <v>1007</v>
      </c>
      <c r="J85" s="12">
        <v>2010.0</v>
      </c>
      <c r="K85" s="23">
        <v>180.0</v>
      </c>
      <c r="L85" s="24">
        <v>1.0</v>
      </c>
      <c r="M85" s="12" t="s">
        <v>340</v>
      </c>
      <c r="N85" s="26" t="str">
        <f t="shared" si="2"/>
        <v>297.07
ERW
k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0">
        <v>85.0</v>
      </c>
      <c r="B86" s="12" t="s">
        <v>1009</v>
      </c>
      <c r="C86" s="12" t="s">
        <v>226</v>
      </c>
      <c r="D86" s="23" t="s">
        <v>1010</v>
      </c>
      <c r="E86" s="12" t="s">
        <v>1011</v>
      </c>
      <c r="F86" s="12" t="s">
        <v>1012</v>
      </c>
      <c r="G86" s="12" t="s">
        <v>1013</v>
      </c>
      <c r="H86" s="12" t="s">
        <v>253</v>
      </c>
      <c r="I86" s="23" t="s">
        <v>1014</v>
      </c>
      <c r="J86" s="12">
        <v>2011.0</v>
      </c>
      <c r="K86" s="23">
        <v>74.0</v>
      </c>
      <c r="L86" s="24">
        <v>2.0</v>
      </c>
      <c r="M86" s="25" t="s">
        <v>1015</v>
      </c>
      <c r="N86" s="26" t="str">
        <f t="shared" si="2"/>
        <v>297.5
TJE
m</v>
      </c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0">
        <v>86.0</v>
      </c>
      <c r="B87" s="12" t="s">
        <v>1019</v>
      </c>
      <c r="C87" s="12" t="s">
        <v>226</v>
      </c>
      <c r="D87" s="23" t="s">
        <v>1022</v>
      </c>
      <c r="E87" s="12" t="s">
        <v>1023</v>
      </c>
      <c r="F87" s="12" t="s">
        <v>1024</v>
      </c>
      <c r="G87" s="12" t="s">
        <v>1025</v>
      </c>
      <c r="H87" s="12" t="s">
        <v>1026</v>
      </c>
      <c r="I87" s="35"/>
      <c r="J87" s="12">
        <v>2009.0</v>
      </c>
      <c r="K87" s="23">
        <v>43.0</v>
      </c>
      <c r="L87" s="24">
        <v>1.0</v>
      </c>
      <c r="M87" s="12" t="s">
        <v>340</v>
      </c>
      <c r="N87" s="26" t="str">
        <f t="shared" si="2"/>
        <v>297.3
HID
a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0">
        <v>87.0</v>
      </c>
      <c r="B88" s="12" t="s">
        <v>1027</v>
      </c>
      <c r="C88" s="12" t="s">
        <v>226</v>
      </c>
      <c r="D88" s="23" t="s">
        <v>1010</v>
      </c>
      <c r="E88" s="22" t="s">
        <v>1011</v>
      </c>
      <c r="F88" s="12" t="s">
        <v>1028</v>
      </c>
      <c r="G88" s="12" t="s">
        <v>1013</v>
      </c>
      <c r="H88" s="12" t="s">
        <v>253</v>
      </c>
      <c r="I88" s="23" t="s">
        <v>1029</v>
      </c>
      <c r="J88" s="12">
        <v>2011.0</v>
      </c>
      <c r="K88" s="23">
        <v>80.0</v>
      </c>
      <c r="L88" s="24">
        <v>2.0</v>
      </c>
      <c r="M88" s="12" t="s">
        <v>340</v>
      </c>
      <c r="N88" s="26" t="str">
        <f t="shared" si="2"/>
        <v>297.5
Drs
h</v>
      </c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0">
        <v>88.0</v>
      </c>
      <c r="B89" s="12" t="s">
        <v>1030</v>
      </c>
      <c r="C89" s="12" t="s">
        <v>226</v>
      </c>
      <c r="D89" s="23" t="s">
        <v>1031</v>
      </c>
      <c r="E89" s="22" t="s">
        <v>1032</v>
      </c>
      <c r="F89" s="12" t="s">
        <v>1033</v>
      </c>
      <c r="G89" s="12" t="s">
        <v>1034</v>
      </c>
      <c r="H89" s="12" t="s">
        <v>1035</v>
      </c>
      <c r="I89" s="35"/>
      <c r="J89" s="12">
        <v>2007.0</v>
      </c>
      <c r="K89" s="23">
        <v>208.0</v>
      </c>
      <c r="L89" s="24">
        <v>1.0</v>
      </c>
      <c r="M89" s="12" t="s">
        <v>340</v>
      </c>
      <c r="N89" s="26" t="str">
        <f t="shared" si="2"/>
        <v>2X1.121
ACE
p</v>
      </c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0">
        <v>89.0</v>
      </c>
      <c r="B90" s="12" t="s">
        <v>1036</v>
      </c>
      <c r="C90" s="12" t="s">
        <v>226</v>
      </c>
      <c r="D90" s="23" t="s">
        <v>1037</v>
      </c>
      <c r="E90" s="22" t="s">
        <v>1038</v>
      </c>
      <c r="F90" s="12" t="s">
        <v>107</v>
      </c>
      <c r="G90" s="12" t="s">
        <v>1039</v>
      </c>
      <c r="H90" s="12" t="s">
        <v>957</v>
      </c>
      <c r="I90" s="35"/>
      <c r="J90" s="12">
        <v>2011.0</v>
      </c>
      <c r="K90" s="23">
        <v>70.0</v>
      </c>
      <c r="L90" s="24">
        <v>2.0</v>
      </c>
      <c r="M90" s="25" t="s">
        <v>1040</v>
      </c>
      <c r="N90" s="26" t="str">
        <f t="shared" si="2"/>
        <v>2X4.251
EDI
k</v>
      </c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0">
        <v>90.0</v>
      </c>
      <c r="B91" s="12" t="s">
        <v>1041</v>
      </c>
      <c r="C91" s="12" t="s">
        <v>226</v>
      </c>
      <c r="D91" s="23">
        <v>297.0</v>
      </c>
      <c r="E91" s="12" t="s">
        <v>1042</v>
      </c>
      <c r="F91" s="12" t="s">
        <v>1043</v>
      </c>
      <c r="G91" s="12" t="s">
        <v>1044</v>
      </c>
      <c r="H91" s="12" t="s">
        <v>1045</v>
      </c>
      <c r="I91" s="23" t="s">
        <v>1046</v>
      </c>
      <c r="J91" s="12">
        <v>2016.0</v>
      </c>
      <c r="K91" s="23">
        <v>92.0</v>
      </c>
      <c r="L91" s="24">
        <v>3.0</v>
      </c>
      <c r="M91" s="25" t="s">
        <v>1047</v>
      </c>
      <c r="N91" s="26" t="str">
        <f t="shared" si="2"/>
        <v>297
ADH
p</v>
      </c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0">
        <v>91.0</v>
      </c>
      <c r="B92" s="12" t="s">
        <v>1049</v>
      </c>
      <c r="C92" s="12" t="s">
        <v>226</v>
      </c>
      <c r="D92" s="23" t="s">
        <v>1052</v>
      </c>
      <c r="E92" s="22" t="s">
        <v>1053</v>
      </c>
      <c r="F92" s="12" t="s">
        <v>1054</v>
      </c>
      <c r="G92" s="12" t="s">
        <v>1056</v>
      </c>
      <c r="H92" s="12" t="s">
        <v>1058</v>
      </c>
      <c r="I92" s="35"/>
      <c r="J92" s="12">
        <v>1995.0</v>
      </c>
      <c r="K92" s="23">
        <v>161.0</v>
      </c>
      <c r="L92" s="24">
        <v>1.0</v>
      </c>
      <c r="M92" s="12" t="s">
        <v>340</v>
      </c>
      <c r="N92" s="26" t="str">
        <f t="shared" si="2"/>
        <v>2X3.4 
ZAI
k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0">
        <v>92.0</v>
      </c>
      <c r="B93" s="12" t="s">
        <v>1060</v>
      </c>
      <c r="C93" s="12" t="s">
        <v>226</v>
      </c>
      <c r="D93" s="23" t="s">
        <v>1061</v>
      </c>
      <c r="E93" s="22" t="s">
        <v>1062</v>
      </c>
      <c r="F93" s="12" t="s">
        <v>1063</v>
      </c>
      <c r="G93" s="22"/>
      <c r="H93" s="12" t="s">
        <v>1064</v>
      </c>
      <c r="I93" s="23" t="s">
        <v>1065</v>
      </c>
      <c r="J93" s="12">
        <v>2014.0</v>
      </c>
      <c r="K93" s="23">
        <v>278.0</v>
      </c>
      <c r="L93" s="24">
        <v>1.0</v>
      </c>
      <c r="M93" s="12" t="s">
        <v>340</v>
      </c>
      <c r="N93" s="26" t="str">
        <f t="shared" si="2"/>
        <v>2X4.12
MUH
m</v>
      </c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0">
        <v>93.0</v>
      </c>
      <c r="B94" s="12" t="s">
        <v>1066</v>
      </c>
      <c r="C94" s="12" t="s">
        <v>226</v>
      </c>
      <c r="D94" s="23" t="s">
        <v>1031</v>
      </c>
      <c r="E94" s="22" t="s">
        <v>1032</v>
      </c>
      <c r="F94" s="12" t="s">
        <v>1068</v>
      </c>
      <c r="G94" s="12" t="s">
        <v>1069</v>
      </c>
      <c r="H94" s="22"/>
      <c r="I94" s="35"/>
      <c r="J94" s="12">
        <v>1986.0</v>
      </c>
      <c r="K94" s="23">
        <v>148.0</v>
      </c>
      <c r="L94" s="24">
        <v>1.0</v>
      </c>
      <c r="M94" s="25" t="s">
        <v>1070</v>
      </c>
      <c r="N94" s="26" t="str">
        <f t="shared" si="2"/>
        <v>2X1.121
HID
p</v>
      </c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0">
        <v>94.0</v>
      </c>
      <c r="B95" s="12" t="s">
        <v>1076</v>
      </c>
      <c r="C95" s="12" t="s">
        <v>226</v>
      </c>
      <c r="D95" s="23" t="s">
        <v>1077</v>
      </c>
      <c r="E95" s="22" t="s">
        <v>1078</v>
      </c>
      <c r="F95" s="12" t="s">
        <v>1079</v>
      </c>
      <c r="G95" s="12" t="s">
        <v>1079</v>
      </c>
      <c r="H95" s="12" t="s">
        <v>1080</v>
      </c>
      <c r="I95" s="35"/>
      <c r="J95" s="12">
        <v>2011.0</v>
      </c>
      <c r="K95" s="23">
        <v>192.0</v>
      </c>
      <c r="L95" s="24">
        <v>1.0</v>
      </c>
      <c r="M95" s="38" t="s">
        <v>1081</v>
      </c>
      <c r="N95" s="26" t="str">
        <f t="shared" si="2"/>
        <v>297.648
MUA
s</v>
      </c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0">
        <v>95.0</v>
      </c>
      <c r="B96" s="12" t="s">
        <v>1083</v>
      </c>
      <c r="C96" s="12" t="s">
        <v>226</v>
      </c>
      <c r="D96" s="23" t="s">
        <v>1022</v>
      </c>
      <c r="E96" s="22" t="s">
        <v>1084</v>
      </c>
      <c r="F96" s="12" t="s">
        <v>1085</v>
      </c>
      <c r="G96" s="12" t="s">
        <v>107</v>
      </c>
      <c r="H96" s="12" t="s">
        <v>253</v>
      </c>
      <c r="I96" s="23" t="s">
        <v>1086</v>
      </c>
      <c r="J96" s="12">
        <v>2015.0</v>
      </c>
      <c r="K96" s="23">
        <v>134.0</v>
      </c>
      <c r="L96" s="24">
        <v>3.0</v>
      </c>
      <c r="M96" s="12" t="s">
        <v>340</v>
      </c>
      <c r="N96" s="26" t="str">
        <f t="shared" si="2"/>
        <v>297.3
ADD
t</v>
      </c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0">
        <v>96.0</v>
      </c>
      <c r="B97" s="12" t="s">
        <v>1088</v>
      </c>
      <c r="C97" s="12" t="s">
        <v>38</v>
      </c>
      <c r="D97" s="23">
        <v>813.0</v>
      </c>
      <c r="E97" s="12" t="s">
        <v>1089</v>
      </c>
      <c r="F97" s="12" t="s">
        <v>1090</v>
      </c>
      <c r="G97" s="12" t="s">
        <v>1091</v>
      </c>
      <c r="H97" s="12" t="s">
        <v>1092</v>
      </c>
      <c r="I97" s="23">
        <v>9.799793415399E12</v>
      </c>
      <c r="J97" s="12">
        <v>2015.0</v>
      </c>
      <c r="K97" s="23" t="s">
        <v>1093</v>
      </c>
      <c r="L97" s="24">
        <v>1.0</v>
      </c>
      <c r="M97" s="25" t="s">
        <v>1094</v>
      </c>
      <c r="N97" s="26" t="str">
        <f t="shared" si="2"/>
        <v>813
SEN
b</v>
      </c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0">
        <v>97.0</v>
      </c>
      <c r="B98" s="12" t="s">
        <v>1099</v>
      </c>
      <c r="C98" s="12" t="s">
        <v>226</v>
      </c>
      <c r="D98" s="23" t="s">
        <v>1102</v>
      </c>
      <c r="E98" s="22" t="s">
        <v>1103</v>
      </c>
      <c r="F98" s="12" t="s">
        <v>1105</v>
      </c>
      <c r="G98" s="22"/>
      <c r="H98" s="12" t="s">
        <v>1107</v>
      </c>
      <c r="I98" s="23" t="s">
        <v>1108</v>
      </c>
      <c r="J98" s="12">
        <v>2010.0</v>
      </c>
      <c r="K98" s="23">
        <v>58.0</v>
      </c>
      <c r="L98" s="24">
        <v>2.0</v>
      </c>
      <c r="M98" s="25" t="s">
        <v>1109</v>
      </c>
      <c r="N98" s="26" t="str">
        <f t="shared" si="2"/>
        <v>297.211
MUH
u</v>
      </c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0">
        <v>98.0</v>
      </c>
      <c r="B99" s="12" t="s">
        <v>1110</v>
      </c>
      <c r="C99" s="12" t="s">
        <v>226</v>
      </c>
      <c r="D99" s="23" t="s">
        <v>1010</v>
      </c>
      <c r="E99" s="22" t="s">
        <v>1011</v>
      </c>
      <c r="F99" s="12" t="s">
        <v>1111</v>
      </c>
      <c r="G99" s="12" t="s">
        <v>868</v>
      </c>
      <c r="H99" s="12" t="s">
        <v>869</v>
      </c>
      <c r="I99" s="23" t="s">
        <v>1112</v>
      </c>
      <c r="J99" s="12">
        <v>2010.0</v>
      </c>
      <c r="K99" s="23">
        <v>94.0</v>
      </c>
      <c r="L99" s="24">
        <v>2.0</v>
      </c>
      <c r="M99" s="12" t="s">
        <v>340</v>
      </c>
      <c r="N99" s="26" t="str">
        <f t="shared" si="2"/>
        <v>297.5
AGU
a</v>
      </c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0">
        <v>99.0</v>
      </c>
      <c r="B100" s="12" t="s">
        <v>1113</v>
      </c>
      <c r="C100" s="12" t="s">
        <v>226</v>
      </c>
      <c r="D100" s="23" t="s">
        <v>1114</v>
      </c>
      <c r="E100" s="22" t="s">
        <v>1115</v>
      </c>
      <c r="F100" s="12" t="s">
        <v>1116</v>
      </c>
      <c r="G100" s="12" t="s">
        <v>1117</v>
      </c>
      <c r="H100" s="12" t="s">
        <v>1118</v>
      </c>
      <c r="I100" s="35"/>
      <c r="J100" s="12">
        <v>2009.0</v>
      </c>
      <c r="K100" s="23">
        <v>42.0</v>
      </c>
      <c r="L100" s="24">
        <v>1.0</v>
      </c>
      <c r="M100" s="12" t="s">
        <v>340</v>
      </c>
      <c r="N100" s="26" t="str">
        <f t="shared" si="2"/>
        <v>297.125
SOL
k</v>
      </c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0">
        <v>100.0</v>
      </c>
      <c r="B101" s="12" t="s">
        <v>1119</v>
      </c>
      <c r="C101" s="12" t="s">
        <v>226</v>
      </c>
      <c r="D101" s="23" t="s">
        <v>1120</v>
      </c>
      <c r="E101" s="22" t="s">
        <v>1121</v>
      </c>
      <c r="F101" s="12" t="s">
        <v>1122</v>
      </c>
      <c r="G101" s="12" t="s">
        <v>1123</v>
      </c>
      <c r="H101" s="12" t="s">
        <v>1124</v>
      </c>
      <c r="I101" s="23" t="s">
        <v>1125</v>
      </c>
      <c r="J101" s="22"/>
      <c r="K101" s="23">
        <v>212.0</v>
      </c>
      <c r="L101" s="24">
        <v>1.0</v>
      </c>
      <c r="M101" s="25" t="s">
        <v>1126</v>
      </c>
      <c r="N101" s="26" t="str">
        <f t="shared" si="2"/>
        <v>297.362
FAR
e</v>
      </c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0">
        <v>101.0</v>
      </c>
      <c r="B102" s="12" t="s">
        <v>1127</v>
      </c>
      <c r="C102" s="12" t="s">
        <v>226</v>
      </c>
      <c r="D102" s="23" t="s">
        <v>1129</v>
      </c>
      <c r="E102" s="22" t="s">
        <v>1130</v>
      </c>
      <c r="F102" s="12" t="s">
        <v>1131</v>
      </c>
      <c r="G102" s="12" t="s">
        <v>1132</v>
      </c>
      <c r="H102" s="12" t="s">
        <v>1107</v>
      </c>
      <c r="I102" s="23" t="s">
        <v>1134</v>
      </c>
      <c r="J102" s="12">
        <v>2010.0</v>
      </c>
      <c r="K102" s="23">
        <v>58.0</v>
      </c>
      <c r="L102" s="24">
        <v>2.0</v>
      </c>
      <c r="M102" s="12" t="s">
        <v>340</v>
      </c>
      <c r="N102" s="26" t="str">
        <f t="shared" si="2"/>
        <v>2X9.13
PRO
s</v>
      </c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0">
        <v>102.0</v>
      </c>
      <c r="B103" s="12" t="s">
        <v>1136</v>
      </c>
      <c r="C103" s="12" t="s">
        <v>226</v>
      </c>
      <c r="D103" s="23" t="s">
        <v>1137</v>
      </c>
      <c r="E103" s="22" t="s">
        <v>1084</v>
      </c>
      <c r="F103" s="12" t="s">
        <v>1139</v>
      </c>
      <c r="G103" s="12" t="s">
        <v>1140</v>
      </c>
      <c r="H103" s="12" t="s">
        <v>1107</v>
      </c>
      <c r="I103" s="23" t="s">
        <v>1141</v>
      </c>
      <c r="J103" s="12">
        <v>2010.0</v>
      </c>
      <c r="K103" s="23">
        <v>59.0</v>
      </c>
      <c r="L103" s="24">
        <v>1.0</v>
      </c>
      <c r="M103" s="12" t="s">
        <v>340</v>
      </c>
      <c r="N103" s="26" t="str">
        <f t="shared" si="2"/>
        <v>2X4.1
PRO
r</v>
      </c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0">
        <v>103.0</v>
      </c>
      <c r="B104" s="12" t="s">
        <v>1143</v>
      </c>
      <c r="C104" s="12" t="s">
        <v>226</v>
      </c>
      <c r="D104" s="23" t="s">
        <v>1144</v>
      </c>
      <c r="E104" s="22" t="s">
        <v>1145</v>
      </c>
      <c r="F104" s="12" t="s">
        <v>1131</v>
      </c>
      <c r="G104" s="12" t="s">
        <v>1132</v>
      </c>
      <c r="H104" s="12" t="s">
        <v>1107</v>
      </c>
      <c r="I104" s="23" t="s">
        <v>1146</v>
      </c>
      <c r="J104" s="12">
        <v>2010.0</v>
      </c>
      <c r="K104" s="23">
        <v>58.0</v>
      </c>
      <c r="L104" s="24">
        <v>1.0</v>
      </c>
      <c r="M104" s="12" t="s">
        <v>340</v>
      </c>
      <c r="N104" s="26" t="str">
        <f t="shared" si="2"/>
        <v>2X1.4
PRO
t</v>
      </c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0">
        <v>104.0</v>
      </c>
      <c r="B105" s="12" t="s">
        <v>1149</v>
      </c>
      <c r="C105" s="12" t="s">
        <v>226</v>
      </c>
      <c r="D105" s="23" t="s">
        <v>1144</v>
      </c>
      <c r="E105" s="22" t="s">
        <v>1145</v>
      </c>
      <c r="F105" s="12" t="s">
        <v>1150</v>
      </c>
      <c r="G105" s="12" t="s">
        <v>1132</v>
      </c>
      <c r="H105" s="12" t="s">
        <v>1107</v>
      </c>
      <c r="I105" s="23" t="s">
        <v>1151</v>
      </c>
      <c r="J105" s="12">
        <v>2010.0</v>
      </c>
      <c r="K105" s="23">
        <v>58.0</v>
      </c>
      <c r="L105" s="24">
        <v>1.0</v>
      </c>
      <c r="M105" s="25" t="s">
        <v>1152</v>
      </c>
      <c r="N105" s="26" t="str">
        <f t="shared" si="2"/>
        <v>2X1.4
DAS
t</v>
      </c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0">
        <v>105.0</v>
      </c>
      <c r="B106" s="12" t="s">
        <v>1154</v>
      </c>
      <c r="C106" s="12" t="s">
        <v>226</v>
      </c>
      <c r="D106" s="35"/>
      <c r="E106" s="22" t="s">
        <v>1155</v>
      </c>
      <c r="F106" s="12" t="s">
        <v>1156</v>
      </c>
      <c r="G106" s="12" t="s">
        <v>1157</v>
      </c>
      <c r="H106" s="12" t="s">
        <v>1158</v>
      </c>
      <c r="I106" s="35"/>
      <c r="J106" s="12">
        <v>2009.0</v>
      </c>
      <c r="K106" s="23">
        <v>72.0</v>
      </c>
      <c r="L106" s="24">
        <v>1.0</v>
      </c>
      <c r="M106" s="12" t="s">
        <v>340</v>
      </c>
      <c r="N106" s="26" t="str">
        <f t="shared" si="2"/>
        <v>
DJA
a</v>
      </c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0">
        <v>106.0</v>
      </c>
      <c r="B107" s="12" t="s">
        <v>1159</v>
      </c>
      <c r="C107" s="12" t="s">
        <v>226</v>
      </c>
      <c r="D107" s="23">
        <v>297.0</v>
      </c>
      <c r="E107" s="12" t="s">
        <v>1042</v>
      </c>
      <c r="F107" s="12" t="s">
        <v>1160</v>
      </c>
      <c r="G107" s="12" t="s">
        <v>1161</v>
      </c>
      <c r="H107" s="12" t="s">
        <v>1162</v>
      </c>
      <c r="I107" s="23" t="s">
        <v>1163</v>
      </c>
      <c r="J107" s="12">
        <v>2011.0</v>
      </c>
      <c r="K107" s="23">
        <v>98.0</v>
      </c>
      <c r="L107" s="24">
        <v>2.0</v>
      </c>
      <c r="M107" s="25" t="s">
        <v>1165</v>
      </c>
      <c r="N107" s="26" t="str">
        <f t="shared" si="2"/>
        <v>297
SUC
i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0">
        <v>107.0</v>
      </c>
      <c r="B108" s="12" t="s">
        <v>1166</v>
      </c>
      <c r="C108" s="12" t="s">
        <v>226</v>
      </c>
      <c r="D108" s="23" t="s">
        <v>1167</v>
      </c>
      <c r="E108" s="22" t="s">
        <v>1078</v>
      </c>
      <c r="F108" s="12" t="s">
        <v>1168</v>
      </c>
      <c r="G108" s="22"/>
      <c r="H108" s="12" t="s">
        <v>1169</v>
      </c>
      <c r="I108" s="23" t="s">
        <v>1170</v>
      </c>
      <c r="J108" s="12">
        <v>2002.0</v>
      </c>
      <c r="K108" s="23">
        <v>72.0</v>
      </c>
      <c r="L108" s="24">
        <v>1.0</v>
      </c>
      <c r="M108" s="25" t="s">
        <v>1171</v>
      </c>
      <c r="N108" s="26" t="str">
        <f t="shared" si="2"/>
        <v>297.648 
SAB
a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0">
        <v>108.0</v>
      </c>
      <c r="B109" s="12" t="s">
        <v>1173</v>
      </c>
      <c r="C109" s="12" t="s">
        <v>226</v>
      </c>
      <c r="D109" s="23" t="s">
        <v>1137</v>
      </c>
      <c r="E109" s="22" t="s">
        <v>1084</v>
      </c>
      <c r="F109" s="12" t="s">
        <v>1024</v>
      </c>
      <c r="G109" s="12" t="s">
        <v>1177</v>
      </c>
      <c r="H109" s="12" t="s">
        <v>1179</v>
      </c>
      <c r="I109" s="35"/>
      <c r="J109" s="12">
        <v>2009.0</v>
      </c>
      <c r="K109" s="23">
        <v>44.0</v>
      </c>
      <c r="L109" s="24">
        <v>2.0</v>
      </c>
      <c r="M109" s="12" t="s">
        <v>340</v>
      </c>
      <c r="N109" s="26" t="str">
        <f t="shared" si="2"/>
        <v>2X4.1
HID
t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0">
        <v>109.0</v>
      </c>
      <c r="B110" s="12" t="s">
        <v>1183</v>
      </c>
      <c r="C110" s="12" t="s">
        <v>226</v>
      </c>
      <c r="D110" s="23" t="s">
        <v>1184</v>
      </c>
      <c r="E110" s="22" t="s">
        <v>1185</v>
      </c>
      <c r="F110" s="12" t="s">
        <v>1186</v>
      </c>
      <c r="G110" s="12" t="s">
        <v>1187</v>
      </c>
      <c r="H110" s="12" t="s">
        <v>1188</v>
      </c>
      <c r="I110" s="23" t="s">
        <v>1189</v>
      </c>
      <c r="J110" s="12">
        <v>2010.0</v>
      </c>
      <c r="K110" s="23">
        <v>55.0</v>
      </c>
      <c r="L110" s="24">
        <v>1.0</v>
      </c>
      <c r="M110" s="25" t="s">
        <v>1190</v>
      </c>
      <c r="N110" s="26" t="str">
        <f t="shared" si="2"/>
        <v>2X3.46
ASE
s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0">
        <v>110.0</v>
      </c>
      <c r="B111" s="12" t="s">
        <v>1195</v>
      </c>
      <c r="C111" s="12" t="s">
        <v>226</v>
      </c>
      <c r="D111" s="23" t="s">
        <v>1184</v>
      </c>
      <c r="E111" s="22" t="s">
        <v>1185</v>
      </c>
      <c r="F111" s="12" t="s">
        <v>1186</v>
      </c>
      <c r="G111" s="12" t="s">
        <v>1187</v>
      </c>
      <c r="H111" s="12" t="s">
        <v>1188</v>
      </c>
      <c r="I111" s="23" t="s">
        <v>1197</v>
      </c>
      <c r="J111" s="12">
        <v>2010.0</v>
      </c>
      <c r="K111" s="23">
        <v>55.0</v>
      </c>
      <c r="L111" s="24">
        <v>1.0</v>
      </c>
      <c r="M111" s="25" t="s">
        <v>1198</v>
      </c>
      <c r="N111" s="26" t="str">
        <f t="shared" si="2"/>
        <v>2X3.46
ASE
s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0">
        <v>111.0</v>
      </c>
      <c r="B112" s="12" t="s">
        <v>1200</v>
      </c>
      <c r="C112" s="12" t="s">
        <v>226</v>
      </c>
      <c r="D112" s="23" t="s">
        <v>1203</v>
      </c>
      <c r="E112" s="22" t="s">
        <v>1205</v>
      </c>
      <c r="F112" s="12" t="s">
        <v>1206</v>
      </c>
      <c r="G112" s="12" t="s">
        <v>1207</v>
      </c>
      <c r="H112" s="12" t="s">
        <v>1208</v>
      </c>
      <c r="I112" s="35"/>
      <c r="J112" s="12">
        <v>2009.0</v>
      </c>
      <c r="K112" s="23">
        <v>44.0</v>
      </c>
      <c r="L112" s="24">
        <v>1.0</v>
      </c>
      <c r="M112" s="12" t="s">
        <v>340</v>
      </c>
      <c r="N112" s="26" t="str">
        <f t="shared" si="2"/>
        <v>2X4.121 
DEW
a</v>
      </c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0">
        <v>112.0</v>
      </c>
      <c r="B113" s="12" t="s">
        <v>1209</v>
      </c>
      <c r="C113" s="12" t="s">
        <v>226</v>
      </c>
      <c r="D113" s="23" t="s">
        <v>1210</v>
      </c>
      <c r="E113" s="22" t="s">
        <v>1211</v>
      </c>
      <c r="F113" s="12" t="s">
        <v>1212</v>
      </c>
      <c r="G113" s="22"/>
      <c r="H113" s="12" t="s">
        <v>1213</v>
      </c>
      <c r="I113" s="35"/>
      <c r="J113" s="12">
        <v>2007.0</v>
      </c>
      <c r="K113" s="23">
        <v>116.0</v>
      </c>
      <c r="L113" s="24">
        <v>1.0</v>
      </c>
      <c r="M113" s="25" t="s">
        <v>1214</v>
      </c>
      <c r="N113" s="26" t="str">
        <f t="shared" si="2"/>
        <v>297.23
ABU
k</v>
      </c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0">
        <v>113.0</v>
      </c>
      <c r="B114" s="12" t="s">
        <v>1218</v>
      </c>
      <c r="C114" s="12" t="s">
        <v>226</v>
      </c>
      <c r="D114" s="23" t="s">
        <v>1010</v>
      </c>
      <c r="E114" s="12" t="s">
        <v>1219</v>
      </c>
      <c r="F114" s="12" t="s">
        <v>1220</v>
      </c>
      <c r="G114" s="22"/>
      <c r="H114" s="12" t="s">
        <v>1221</v>
      </c>
      <c r="I114" s="23">
        <v>9.786029396195E12</v>
      </c>
      <c r="J114" s="12">
        <v>2015.0</v>
      </c>
      <c r="K114" s="23">
        <v>163.0</v>
      </c>
      <c r="L114" s="24">
        <v>1.0</v>
      </c>
      <c r="M114" s="25" t="s">
        <v>1222</v>
      </c>
      <c r="N114" s="26" t="str">
        <f t="shared" si="2"/>
        <v>297.5
SHA
m</v>
      </c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0">
        <v>114.0</v>
      </c>
      <c r="B115" s="12" t="s">
        <v>1226</v>
      </c>
      <c r="C115" s="12" t="s">
        <v>226</v>
      </c>
      <c r="D115" s="23" t="s">
        <v>1120</v>
      </c>
      <c r="E115" s="22" t="s">
        <v>1121</v>
      </c>
      <c r="F115" s="12" t="s">
        <v>1227</v>
      </c>
      <c r="G115" s="12" t="s">
        <v>1228</v>
      </c>
      <c r="H115" s="12" t="s">
        <v>1229</v>
      </c>
      <c r="I115" s="23" t="s">
        <v>1230</v>
      </c>
      <c r="J115" s="12">
        <v>2012.0</v>
      </c>
      <c r="K115" s="23">
        <v>122.0</v>
      </c>
      <c r="L115" s="24">
        <v>1.0</v>
      </c>
      <c r="M115" s="12" t="s">
        <v>340</v>
      </c>
      <c r="N115" s="26" t="str">
        <f t="shared" si="2"/>
        <v>297.362
IKH
m</v>
      </c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0">
        <v>115.0</v>
      </c>
      <c r="B116" s="12" t="s">
        <v>1233</v>
      </c>
      <c r="C116" s="12" t="s">
        <v>226</v>
      </c>
      <c r="D116" s="35"/>
      <c r="E116" s="22"/>
      <c r="F116" s="12" t="s">
        <v>1235</v>
      </c>
      <c r="G116" s="22"/>
      <c r="H116" s="12" t="s">
        <v>1236</v>
      </c>
      <c r="I116" s="35"/>
      <c r="J116" s="22"/>
      <c r="K116" s="23">
        <v>88.0</v>
      </c>
      <c r="L116" s="24">
        <v>1.0</v>
      </c>
      <c r="M116" s="12" t="s">
        <v>340</v>
      </c>
      <c r="N116" s="26" t="str">
        <f t="shared" si="2"/>
        <v>
AHM
p</v>
      </c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0">
        <v>116.0</v>
      </c>
      <c r="B117" s="12" t="s">
        <v>1239</v>
      </c>
      <c r="C117" s="12" t="s">
        <v>226</v>
      </c>
      <c r="D117" s="35"/>
      <c r="E117" s="22"/>
      <c r="F117" s="12" t="s">
        <v>1240</v>
      </c>
      <c r="G117" s="22"/>
      <c r="H117" s="12" t="s">
        <v>1241</v>
      </c>
      <c r="I117" s="35"/>
      <c r="J117" s="12">
        <v>1967.0</v>
      </c>
      <c r="K117" s="23">
        <v>63.0</v>
      </c>
      <c r="L117" s="24">
        <v>2.0</v>
      </c>
      <c r="M117" s="12" t="s">
        <v>340</v>
      </c>
      <c r="N117" s="26" t="str">
        <f t="shared" si="2"/>
        <v>
A M
p</v>
      </c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0">
        <v>117.0</v>
      </c>
      <c r="B118" s="12" t="s">
        <v>1245</v>
      </c>
      <c r="C118" s="12" t="s">
        <v>226</v>
      </c>
      <c r="D118" s="35"/>
      <c r="E118" s="22"/>
      <c r="F118" s="12" t="s">
        <v>1246</v>
      </c>
      <c r="G118" s="12" t="s">
        <v>1248</v>
      </c>
      <c r="H118" s="12" t="s">
        <v>1249</v>
      </c>
      <c r="I118" s="23" t="s">
        <v>1250</v>
      </c>
      <c r="J118" s="12">
        <v>2008.0</v>
      </c>
      <c r="K118" s="23">
        <v>80.0</v>
      </c>
      <c r="L118" s="24">
        <v>1.0</v>
      </c>
      <c r="M118" s="12" t="s">
        <v>340</v>
      </c>
      <c r="N118" s="26" t="str">
        <f t="shared" si="2"/>
        <v>
M. 
i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0">
        <v>118.0</v>
      </c>
      <c r="B119" s="12" t="s">
        <v>1252</v>
      </c>
      <c r="C119" s="12" t="s">
        <v>226</v>
      </c>
      <c r="D119" s="35"/>
      <c r="E119" s="22"/>
      <c r="F119" s="12" t="s">
        <v>1246</v>
      </c>
      <c r="G119" s="22"/>
      <c r="H119" s="12" t="s">
        <v>1249</v>
      </c>
      <c r="I119" s="23" t="s">
        <v>1253</v>
      </c>
      <c r="J119" s="12">
        <v>2008.0</v>
      </c>
      <c r="K119" s="23">
        <v>80.0</v>
      </c>
      <c r="L119" s="24">
        <v>1.0</v>
      </c>
      <c r="M119" s="12" t="s">
        <v>340</v>
      </c>
      <c r="N119" s="26" t="str">
        <f t="shared" si="2"/>
        <v>
M. 
i</v>
      </c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0">
        <v>119.0</v>
      </c>
      <c r="B120" s="12" t="s">
        <v>1254</v>
      </c>
      <c r="C120" s="12" t="s">
        <v>226</v>
      </c>
      <c r="D120" s="35"/>
      <c r="E120" s="22"/>
      <c r="F120" s="12" t="s">
        <v>1246</v>
      </c>
      <c r="G120" s="22"/>
      <c r="H120" s="12" t="s">
        <v>1249</v>
      </c>
      <c r="I120" s="23" t="s">
        <v>1258</v>
      </c>
      <c r="J120" s="12">
        <v>2008.0</v>
      </c>
      <c r="K120" s="23">
        <v>88.0</v>
      </c>
      <c r="L120" s="24">
        <v>1.0</v>
      </c>
      <c r="M120" s="12" t="s">
        <v>340</v>
      </c>
      <c r="N120" s="26" t="str">
        <f t="shared" si="2"/>
        <v>
M. 
i</v>
      </c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0">
        <v>120.0</v>
      </c>
      <c r="B121" s="12" t="s">
        <v>1261</v>
      </c>
      <c r="C121" s="12" t="s">
        <v>226</v>
      </c>
      <c r="D121" s="35"/>
      <c r="E121" s="22"/>
      <c r="F121" s="12" t="s">
        <v>1262</v>
      </c>
      <c r="G121" s="22"/>
      <c r="H121" s="12" t="s">
        <v>1263</v>
      </c>
      <c r="I121" s="35"/>
      <c r="J121" s="12">
        <v>1990.0</v>
      </c>
      <c r="K121" s="23">
        <v>96.0</v>
      </c>
      <c r="L121" s="24">
        <v>1.0</v>
      </c>
      <c r="M121" s="12" t="s">
        <v>340</v>
      </c>
      <c r="N121" s="26" t="str">
        <f t="shared" si="2"/>
        <v>
ABU
t</v>
      </c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0">
        <v>121.0</v>
      </c>
      <c r="B122" s="12" t="s">
        <v>1264</v>
      </c>
      <c r="C122" s="12" t="s">
        <v>226</v>
      </c>
      <c r="D122" s="35"/>
      <c r="E122" s="22"/>
      <c r="F122" s="12" t="s">
        <v>1265</v>
      </c>
      <c r="G122" s="22"/>
      <c r="H122" s="12" t="s">
        <v>1266</v>
      </c>
      <c r="I122" s="35"/>
      <c r="J122" s="12">
        <v>2014.0</v>
      </c>
      <c r="K122" s="23">
        <v>338.0</v>
      </c>
      <c r="L122" s="24">
        <v>1.0</v>
      </c>
      <c r="M122" s="12" t="s">
        <v>340</v>
      </c>
      <c r="N122" s="26" t="str">
        <f t="shared" si="2"/>
        <v>
HEN
r</v>
      </c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0">
        <v>122.0</v>
      </c>
      <c r="B123" s="12" t="s">
        <v>1268</v>
      </c>
      <c r="C123" s="12" t="s">
        <v>226</v>
      </c>
      <c r="D123" s="23">
        <v>297.0</v>
      </c>
      <c r="E123" s="12" t="s">
        <v>1042</v>
      </c>
      <c r="F123" s="12" t="s">
        <v>1271</v>
      </c>
      <c r="G123" s="12" t="s">
        <v>1272</v>
      </c>
      <c r="H123" s="12" t="s">
        <v>1273</v>
      </c>
      <c r="I123" s="23" t="s">
        <v>1274</v>
      </c>
      <c r="J123" s="22"/>
      <c r="K123" s="23">
        <v>96.0</v>
      </c>
      <c r="L123" s="24">
        <v>1.0</v>
      </c>
      <c r="M123" s="25" t="s">
        <v>1276</v>
      </c>
      <c r="N123" s="26" t="str">
        <f t="shared" si="2"/>
        <v>297
ASY
a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0">
        <v>123.0</v>
      </c>
      <c r="B124" s="12" t="s">
        <v>1279</v>
      </c>
      <c r="C124" s="12" t="s">
        <v>226</v>
      </c>
      <c r="D124" s="23">
        <v>297.0</v>
      </c>
      <c r="E124" s="12" t="s">
        <v>1042</v>
      </c>
      <c r="F124" s="12" t="s">
        <v>1280</v>
      </c>
      <c r="G124" s="12" t="s">
        <v>1281</v>
      </c>
      <c r="H124" s="12" t="s">
        <v>1282</v>
      </c>
      <c r="I124" s="23" t="s">
        <v>1284</v>
      </c>
      <c r="J124" s="12">
        <v>2010.0</v>
      </c>
      <c r="K124" s="23">
        <v>74.0</v>
      </c>
      <c r="L124" s="24">
        <v>1.0</v>
      </c>
      <c r="M124" s="25" t="s">
        <v>1286</v>
      </c>
      <c r="N124" s="26" t="str">
        <f t="shared" si="2"/>
        <v>297
ABB
s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0">
        <v>124.0</v>
      </c>
      <c r="B125" s="12" t="s">
        <v>1289</v>
      </c>
      <c r="C125" s="12" t="s">
        <v>226</v>
      </c>
      <c r="D125" s="23">
        <v>297.0</v>
      </c>
      <c r="E125" s="12" t="s">
        <v>1042</v>
      </c>
      <c r="F125" s="12" t="s">
        <v>1290</v>
      </c>
      <c r="G125" s="12" t="s">
        <v>1291</v>
      </c>
      <c r="H125" s="12" t="s">
        <v>1292</v>
      </c>
      <c r="I125" s="23" t="s">
        <v>1293</v>
      </c>
      <c r="J125" s="12">
        <v>2008.0</v>
      </c>
      <c r="K125" s="23">
        <v>96.0</v>
      </c>
      <c r="L125" s="24">
        <v>1.0</v>
      </c>
      <c r="M125" s="25" t="s">
        <v>1294</v>
      </c>
      <c r="N125" s="26" t="str">
        <f t="shared" si="2"/>
        <v>297
AHM
a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0">
        <v>125.0</v>
      </c>
      <c r="B126" s="12" t="s">
        <v>1301</v>
      </c>
      <c r="C126" s="12" t="s">
        <v>226</v>
      </c>
      <c r="D126" s="35"/>
      <c r="E126" s="22"/>
      <c r="F126" s="12" t="s">
        <v>1302</v>
      </c>
      <c r="G126" s="22"/>
      <c r="H126" s="12" t="s">
        <v>1303</v>
      </c>
      <c r="I126" s="35"/>
      <c r="J126" s="22"/>
      <c r="K126" s="23">
        <v>64.0</v>
      </c>
      <c r="L126" s="24">
        <v>1.0</v>
      </c>
      <c r="M126" s="12" t="s">
        <v>340</v>
      </c>
      <c r="N126" s="26" t="str">
        <f t="shared" si="2"/>
        <v>
MUL
d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0">
        <v>126.0</v>
      </c>
      <c r="B127" s="12" t="s">
        <v>1304</v>
      </c>
      <c r="C127" s="12" t="s">
        <v>226</v>
      </c>
      <c r="D127" s="23">
        <v>297.0</v>
      </c>
      <c r="E127" s="12" t="s">
        <v>1042</v>
      </c>
      <c r="F127" s="12" t="s">
        <v>1305</v>
      </c>
      <c r="G127" s="12" t="s">
        <v>1306</v>
      </c>
      <c r="H127" s="12" t="s">
        <v>1307</v>
      </c>
      <c r="I127" s="23" t="s">
        <v>1308</v>
      </c>
      <c r="J127" s="12">
        <v>2008.0</v>
      </c>
      <c r="K127" s="23">
        <v>96.0</v>
      </c>
      <c r="L127" s="24">
        <v>2.0</v>
      </c>
      <c r="M127" s="25" t="s">
        <v>1309</v>
      </c>
      <c r="N127" s="26" t="str">
        <f t="shared" si="2"/>
        <v>297
UMA
a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0">
        <v>127.0</v>
      </c>
      <c r="B128" s="12" t="s">
        <v>1316</v>
      </c>
      <c r="C128" s="12" t="s">
        <v>226</v>
      </c>
      <c r="D128" s="23">
        <v>297.0</v>
      </c>
      <c r="E128" s="12" t="s">
        <v>1042</v>
      </c>
      <c r="F128" s="12" t="s">
        <v>1317</v>
      </c>
      <c r="G128" s="12" t="s">
        <v>1318</v>
      </c>
      <c r="H128" s="12" t="s">
        <v>1273</v>
      </c>
      <c r="I128" s="23" t="s">
        <v>1319</v>
      </c>
      <c r="J128" s="12">
        <v>2008.0</v>
      </c>
      <c r="K128" s="23">
        <v>96.0</v>
      </c>
      <c r="L128" s="24">
        <v>1.0</v>
      </c>
      <c r="M128" s="25" t="s">
        <v>1320</v>
      </c>
      <c r="N128" s="26" t="str">
        <f t="shared" si="2"/>
        <v>297
JAM
w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0">
        <v>128.0</v>
      </c>
      <c r="B129" s="12" t="s">
        <v>1328</v>
      </c>
      <c r="C129" s="12" t="s">
        <v>226</v>
      </c>
      <c r="D129" s="23">
        <v>297.0</v>
      </c>
      <c r="E129" s="12" t="s">
        <v>1042</v>
      </c>
      <c r="F129" s="12" t="s">
        <v>1329</v>
      </c>
      <c r="G129" s="12" t="s">
        <v>1330</v>
      </c>
      <c r="H129" s="12" t="s">
        <v>1179</v>
      </c>
      <c r="I129" s="23" t="s">
        <v>1331</v>
      </c>
      <c r="J129" s="12">
        <v>2008.0</v>
      </c>
      <c r="K129" s="23">
        <v>57.0</v>
      </c>
      <c r="L129" s="24">
        <v>1.0</v>
      </c>
      <c r="M129" s="25" t="s">
        <v>1332</v>
      </c>
      <c r="N129" s="26" t="str">
        <f t="shared" si="2"/>
        <v>297
ACH
b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0">
        <v>129.0</v>
      </c>
      <c r="B130" s="12" t="s">
        <v>1339</v>
      </c>
      <c r="C130" s="12" t="s">
        <v>226</v>
      </c>
      <c r="D130" s="23">
        <v>297.0</v>
      </c>
      <c r="E130" s="12" t="s">
        <v>1042</v>
      </c>
      <c r="F130" s="12" t="s">
        <v>1340</v>
      </c>
      <c r="G130" s="12" t="s">
        <v>1341</v>
      </c>
      <c r="H130" s="12" t="s">
        <v>1342</v>
      </c>
      <c r="I130" s="35"/>
      <c r="J130" s="12">
        <v>2010.0</v>
      </c>
      <c r="K130" s="35"/>
      <c r="L130" s="24">
        <v>1.0</v>
      </c>
      <c r="M130" s="38" t="s">
        <v>1343</v>
      </c>
      <c r="N130" s="26" t="str">
        <f t="shared" si="2"/>
        <v>297
AID
j</v>
      </c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0">
        <v>130.0</v>
      </c>
      <c r="B131" s="12" t="s">
        <v>1351</v>
      </c>
      <c r="C131" s="12" t="s">
        <v>226</v>
      </c>
      <c r="D131" s="23">
        <v>297.0</v>
      </c>
      <c r="E131" s="12" t="s">
        <v>1042</v>
      </c>
      <c r="F131" s="12" t="s">
        <v>1352</v>
      </c>
      <c r="G131" s="12" t="s">
        <v>1353</v>
      </c>
      <c r="H131" s="12" t="s">
        <v>433</v>
      </c>
      <c r="I131" s="23">
        <v>9.789790180833E12</v>
      </c>
      <c r="J131" s="22"/>
      <c r="K131" s="23">
        <v>55.0</v>
      </c>
      <c r="L131" s="24">
        <v>1.0</v>
      </c>
      <c r="M131" s="25" t="s">
        <v>1354</v>
      </c>
      <c r="N131" s="26" t="str">
        <f t="shared" si="2"/>
        <v>297
TIM
m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0">
        <v>131.0</v>
      </c>
      <c r="B132" s="12" t="s">
        <v>1362</v>
      </c>
      <c r="C132" s="12" t="s">
        <v>226</v>
      </c>
      <c r="D132" s="23">
        <v>297.0</v>
      </c>
      <c r="E132" s="12" t="s">
        <v>1042</v>
      </c>
      <c r="F132" s="12" t="s">
        <v>1363</v>
      </c>
      <c r="G132" s="22"/>
      <c r="H132" s="12" t="s">
        <v>1273</v>
      </c>
      <c r="I132" s="23" t="s">
        <v>1364</v>
      </c>
      <c r="J132" s="12">
        <v>2008.0</v>
      </c>
      <c r="K132" s="23">
        <v>96.0</v>
      </c>
      <c r="L132" s="24">
        <v>1.0</v>
      </c>
      <c r="M132" s="25" t="s">
        <v>1365</v>
      </c>
      <c r="N132" s="26" t="str">
        <f t="shared" si="2"/>
        <v>297
YUS
k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0">
        <v>132.0</v>
      </c>
      <c r="B133" s="12" t="s">
        <v>1371</v>
      </c>
      <c r="C133" s="12" t="s">
        <v>226</v>
      </c>
      <c r="D133" s="23">
        <v>297.0</v>
      </c>
      <c r="E133" s="12" t="s">
        <v>1042</v>
      </c>
      <c r="F133" s="12" t="s">
        <v>1372</v>
      </c>
      <c r="G133" s="12" t="s">
        <v>1373</v>
      </c>
      <c r="H133" s="12" t="s">
        <v>1292</v>
      </c>
      <c r="I133" s="23" t="s">
        <v>1374</v>
      </c>
      <c r="J133" s="12">
        <v>2008.0</v>
      </c>
      <c r="K133" s="23">
        <v>96.0</v>
      </c>
      <c r="L133" s="24">
        <v>1.0</v>
      </c>
      <c r="M133" s="25" t="s">
        <v>1375</v>
      </c>
      <c r="N133" s="26" t="str">
        <f t="shared" si="2"/>
        <v>297
IBN
h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0">
        <v>133.0</v>
      </c>
      <c r="B134" s="12" t="s">
        <v>1382</v>
      </c>
      <c r="C134" s="12" t="s">
        <v>226</v>
      </c>
      <c r="D134" s="23">
        <v>297.0</v>
      </c>
      <c r="E134" s="12" t="s">
        <v>1042</v>
      </c>
      <c r="F134" s="12" t="s">
        <v>1383</v>
      </c>
      <c r="G134" s="22"/>
      <c r="H134" s="12" t="s">
        <v>1292</v>
      </c>
      <c r="I134" s="23" t="s">
        <v>1384</v>
      </c>
      <c r="J134" s="12">
        <v>2008.0</v>
      </c>
      <c r="K134" s="23">
        <v>95.0</v>
      </c>
      <c r="L134" s="24">
        <v>1.0</v>
      </c>
      <c r="M134" s="25" t="s">
        <v>1385</v>
      </c>
      <c r="N134" s="26" t="str">
        <f t="shared" si="2"/>
        <v>297
AHM
m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0">
        <v>134.0</v>
      </c>
      <c r="B135" s="12" t="s">
        <v>1392</v>
      </c>
      <c r="C135" s="12" t="s">
        <v>226</v>
      </c>
      <c r="D135" s="50" t="s">
        <v>1393</v>
      </c>
      <c r="E135" s="50" t="s">
        <v>1394</v>
      </c>
      <c r="F135" s="12" t="s">
        <v>1395</v>
      </c>
      <c r="G135" s="12" t="s">
        <v>1396</v>
      </c>
      <c r="H135" s="12" t="s">
        <v>433</v>
      </c>
      <c r="I135" s="23" t="s">
        <v>1397</v>
      </c>
      <c r="J135" s="12">
        <v>2010.0</v>
      </c>
      <c r="K135" s="23">
        <v>56.0</v>
      </c>
      <c r="L135" s="24">
        <v>2.0</v>
      </c>
      <c r="M135" s="25" t="s">
        <v>1398</v>
      </c>
      <c r="N135" s="26" t="str">
        <f t="shared" si="2"/>
        <v>297.6
BAR
t</v>
      </c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0">
        <v>135.0</v>
      </c>
      <c r="B136" s="12" t="s">
        <v>1404</v>
      </c>
      <c r="C136" s="12" t="s">
        <v>226</v>
      </c>
      <c r="D136" s="23" t="s">
        <v>1406</v>
      </c>
      <c r="E136" s="22" t="s">
        <v>1407</v>
      </c>
      <c r="F136" s="12" t="s">
        <v>1408</v>
      </c>
      <c r="G136" s="22"/>
      <c r="H136" s="12" t="s">
        <v>1273</v>
      </c>
      <c r="I136" s="23" t="s">
        <v>1409</v>
      </c>
      <c r="J136" s="12">
        <v>2008.0</v>
      </c>
      <c r="K136" s="23">
        <v>94.0</v>
      </c>
      <c r="L136" s="24">
        <v>1.0</v>
      </c>
      <c r="M136" s="25" t="s">
        <v>1410</v>
      </c>
      <c r="N136" s="26" t="str">
        <f t="shared" si="2"/>
        <v>297.1
MUS
m</v>
      </c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0">
        <v>136.0</v>
      </c>
      <c r="B137" s="12" t="s">
        <v>1411</v>
      </c>
      <c r="C137" s="12" t="s">
        <v>226</v>
      </c>
      <c r="D137" s="23">
        <v>297.0</v>
      </c>
      <c r="E137" s="12" t="s">
        <v>1042</v>
      </c>
      <c r="F137" s="12" t="s">
        <v>1412</v>
      </c>
      <c r="G137" s="12" t="s">
        <v>1414</v>
      </c>
      <c r="H137" s="12" t="s">
        <v>1415</v>
      </c>
      <c r="I137" s="23" t="s">
        <v>1416</v>
      </c>
      <c r="J137" s="12">
        <v>2015.0</v>
      </c>
      <c r="K137" s="23">
        <v>63.0</v>
      </c>
      <c r="L137" s="24">
        <v>1.0</v>
      </c>
      <c r="M137" s="25" t="s">
        <v>1417</v>
      </c>
      <c r="N137" s="26" t="str">
        <f t="shared" si="2"/>
        <v>297
THA
a</v>
      </c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0">
        <v>137.0</v>
      </c>
      <c r="B138" s="12" t="s">
        <v>1419</v>
      </c>
      <c r="C138" s="12" t="s">
        <v>226</v>
      </c>
      <c r="D138" s="35"/>
      <c r="E138" s="22"/>
      <c r="F138" s="12" t="s">
        <v>1420</v>
      </c>
      <c r="G138" s="12" t="s">
        <v>1421</v>
      </c>
      <c r="H138" s="12" t="s">
        <v>1422</v>
      </c>
      <c r="I138" s="23" t="s">
        <v>1423</v>
      </c>
      <c r="J138" s="12">
        <v>2005.0</v>
      </c>
      <c r="K138" s="23">
        <v>70.0</v>
      </c>
      <c r="L138" s="24">
        <v>1.0</v>
      </c>
      <c r="M138" s="12" t="s">
        <v>340</v>
      </c>
      <c r="N138" s="26" t="str">
        <f t="shared" si="2"/>
        <v>
AGU
k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0">
        <v>138.0</v>
      </c>
      <c r="B139" s="12" t="s">
        <v>1424</v>
      </c>
      <c r="C139" s="12" t="s">
        <v>226</v>
      </c>
      <c r="D139" s="23">
        <v>297.0</v>
      </c>
      <c r="E139" s="12" t="s">
        <v>1042</v>
      </c>
      <c r="F139" s="12" t="s">
        <v>1363</v>
      </c>
      <c r="G139" s="12" t="s">
        <v>1426</v>
      </c>
      <c r="H139" s="12" t="s">
        <v>1273</v>
      </c>
      <c r="I139" s="23" t="s">
        <v>1427</v>
      </c>
      <c r="J139" s="12">
        <v>2008.0</v>
      </c>
      <c r="K139" s="23">
        <v>96.0</v>
      </c>
      <c r="L139" s="24">
        <v>3.0</v>
      </c>
      <c r="M139" s="25" t="s">
        <v>1428</v>
      </c>
      <c r="N139" s="26" t="str">
        <f t="shared" si="2"/>
        <v>297
YUS
k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0">
        <v>139.0</v>
      </c>
      <c r="B140" s="12" t="s">
        <v>1430</v>
      </c>
      <c r="C140" s="12" t="s">
        <v>226</v>
      </c>
      <c r="D140" s="23">
        <v>297.0</v>
      </c>
      <c r="E140" s="12" t="s">
        <v>1042</v>
      </c>
      <c r="F140" s="12" t="s">
        <v>1305</v>
      </c>
      <c r="G140" s="12" t="s">
        <v>1432</v>
      </c>
      <c r="H140" s="12" t="s">
        <v>1273</v>
      </c>
      <c r="I140" s="23" t="s">
        <v>1433</v>
      </c>
      <c r="J140" s="22"/>
      <c r="K140" s="23">
        <v>96.0</v>
      </c>
      <c r="L140" s="24">
        <v>1.0</v>
      </c>
      <c r="M140" s="25" t="s">
        <v>1434</v>
      </c>
      <c r="N140" s="26" t="str">
        <f t="shared" si="2"/>
        <v>297
UMA
m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0">
        <v>140.0</v>
      </c>
      <c r="B141" s="12" t="s">
        <v>1435</v>
      </c>
      <c r="C141" s="12" t="s">
        <v>226</v>
      </c>
      <c r="D141" s="23" t="s">
        <v>1393</v>
      </c>
      <c r="E141" s="12" t="s">
        <v>1436</v>
      </c>
      <c r="F141" s="12" t="s">
        <v>1437</v>
      </c>
      <c r="G141" s="12" t="s">
        <v>1438</v>
      </c>
      <c r="H141" s="12" t="s">
        <v>1439</v>
      </c>
      <c r="I141" s="23" t="s">
        <v>1440</v>
      </c>
      <c r="J141" s="12">
        <v>2009.0</v>
      </c>
      <c r="K141" s="23">
        <v>68.0</v>
      </c>
      <c r="L141" s="24">
        <v>1.0</v>
      </c>
      <c r="M141" s="25" t="s">
        <v>1441</v>
      </c>
      <c r="N141" s="26" t="str">
        <f t="shared" si="2"/>
        <v>297.6
LUF
a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0">
        <v>141.0</v>
      </c>
      <c r="B142" s="12" t="s">
        <v>1442</v>
      </c>
      <c r="C142" s="12" t="s">
        <v>226</v>
      </c>
      <c r="D142" s="23">
        <v>297.0</v>
      </c>
      <c r="E142" s="12" t="s">
        <v>1042</v>
      </c>
      <c r="F142" s="12" t="s">
        <v>1443</v>
      </c>
      <c r="G142" s="12" t="s">
        <v>1444</v>
      </c>
      <c r="H142" s="12" t="s">
        <v>1179</v>
      </c>
      <c r="I142" s="23" t="s">
        <v>1445</v>
      </c>
      <c r="J142" s="12">
        <v>2008.0</v>
      </c>
      <c r="K142" s="23">
        <v>75.0</v>
      </c>
      <c r="L142" s="24">
        <v>1.0</v>
      </c>
      <c r="M142" s="25" t="s">
        <v>1446</v>
      </c>
      <c r="N142" s="26" t="str">
        <f t="shared" si="2"/>
        <v>297
PRO
b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0">
        <v>142.0</v>
      </c>
      <c r="B143" s="12" t="s">
        <v>1450</v>
      </c>
      <c r="C143" s="12" t="s">
        <v>226</v>
      </c>
      <c r="D143" s="35"/>
      <c r="E143" s="22"/>
      <c r="F143" s="12" t="s">
        <v>1454</v>
      </c>
      <c r="G143" s="12" t="s">
        <v>1455</v>
      </c>
      <c r="H143" s="12" t="s">
        <v>1456</v>
      </c>
      <c r="I143" s="23" t="s">
        <v>1457</v>
      </c>
      <c r="J143" s="12">
        <v>2010.0</v>
      </c>
      <c r="K143" s="23">
        <v>94.0</v>
      </c>
      <c r="L143" s="24">
        <v>1.0</v>
      </c>
      <c r="M143" s="12" t="s">
        <v>340</v>
      </c>
      <c r="N143" s="26" t="str">
        <f t="shared" si="2"/>
        <v>
RUD
m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0">
        <v>143.0</v>
      </c>
      <c r="B144" s="12" t="s">
        <v>1459</v>
      </c>
      <c r="C144" s="12" t="s">
        <v>226</v>
      </c>
      <c r="D144" s="35"/>
      <c r="E144" s="22"/>
      <c r="F144" s="12" t="s">
        <v>1460</v>
      </c>
      <c r="G144" s="12" t="s">
        <v>1248</v>
      </c>
      <c r="H144" s="12" t="s">
        <v>1461</v>
      </c>
      <c r="I144" s="23" t="s">
        <v>1462</v>
      </c>
      <c r="J144" s="12">
        <v>2008.0</v>
      </c>
      <c r="K144" s="23">
        <v>80.0</v>
      </c>
      <c r="L144" s="24">
        <v>1.0</v>
      </c>
      <c r="M144" s="12" t="s">
        <v>340</v>
      </c>
      <c r="N144" s="26" t="str">
        <f t="shared" si="2"/>
        <v>
M. 
i</v>
      </c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0">
        <v>144.0</v>
      </c>
      <c r="B145" s="12" t="s">
        <v>1463</v>
      </c>
      <c r="C145" s="12" t="s">
        <v>226</v>
      </c>
      <c r="D145" s="23">
        <v>297.0</v>
      </c>
      <c r="E145" s="12" t="s">
        <v>1042</v>
      </c>
      <c r="F145" s="12" t="s">
        <v>1464</v>
      </c>
      <c r="G145" s="12" t="s">
        <v>1465</v>
      </c>
      <c r="H145" s="12" t="s">
        <v>1466</v>
      </c>
      <c r="I145" s="23">
        <v>9.786027817159E12</v>
      </c>
      <c r="J145" s="12">
        <v>2013.0</v>
      </c>
      <c r="K145" s="23" t="s">
        <v>1467</v>
      </c>
      <c r="L145" s="24">
        <v>5.0</v>
      </c>
      <c r="M145" s="25" t="s">
        <v>1468</v>
      </c>
      <c r="N145" s="26" t="str">
        <f t="shared" si="2"/>
        <v>297
ANI
s</v>
      </c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0">
        <v>145.0</v>
      </c>
      <c r="B146" s="12" t="s">
        <v>1469</v>
      </c>
      <c r="C146" s="12" t="s">
        <v>226</v>
      </c>
      <c r="D146" s="23">
        <v>297.0</v>
      </c>
      <c r="E146" s="12" t="s">
        <v>1042</v>
      </c>
      <c r="F146" s="12" t="s">
        <v>1470</v>
      </c>
      <c r="G146" s="12" t="s">
        <v>1472</v>
      </c>
      <c r="H146" s="12" t="s">
        <v>1473</v>
      </c>
      <c r="I146" s="23">
        <v>9.789799282798E12</v>
      </c>
      <c r="J146" s="12">
        <v>2007.0</v>
      </c>
      <c r="K146" s="23">
        <v>48.0</v>
      </c>
      <c r="L146" s="24">
        <v>4.0</v>
      </c>
      <c r="M146" s="25" t="s">
        <v>1474</v>
      </c>
      <c r="N146" s="26" t="str">
        <f t="shared" si="2"/>
        <v>297
RED
m</v>
      </c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0">
        <v>146.0</v>
      </c>
      <c r="B147" s="12" t="s">
        <v>1475</v>
      </c>
      <c r="C147" s="12" t="s">
        <v>226</v>
      </c>
      <c r="D147" s="23">
        <v>297.0</v>
      </c>
      <c r="E147" s="12" t="s">
        <v>1042</v>
      </c>
      <c r="F147" s="12" t="s">
        <v>1476</v>
      </c>
      <c r="G147" s="12" t="s">
        <v>1477</v>
      </c>
      <c r="H147" s="12" t="s">
        <v>1124</v>
      </c>
      <c r="I147" s="23">
        <v>9.789799177162E12</v>
      </c>
      <c r="J147" s="12">
        <v>2006.0</v>
      </c>
      <c r="K147" s="23">
        <v>56.0</v>
      </c>
      <c r="L147" s="24">
        <v>4.0</v>
      </c>
      <c r="M147" s="25" t="s">
        <v>1478</v>
      </c>
      <c r="N147" s="26" t="str">
        <f t="shared" si="2"/>
        <v>297
SYA
s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0">
        <v>147.0</v>
      </c>
      <c r="B148" s="12" t="s">
        <v>1488</v>
      </c>
      <c r="C148" s="12" t="s">
        <v>226</v>
      </c>
      <c r="D148" s="23">
        <v>297.0</v>
      </c>
      <c r="E148" s="12" t="s">
        <v>1042</v>
      </c>
      <c r="F148" s="12" t="s">
        <v>1122</v>
      </c>
      <c r="G148" s="12" t="s">
        <v>1489</v>
      </c>
      <c r="H148" s="12" t="s">
        <v>1124</v>
      </c>
      <c r="I148" s="23">
        <v>9.789799177186E12</v>
      </c>
      <c r="J148" s="12">
        <v>2007.0</v>
      </c>
      <c r="K148" s="23" t="s">
        <v>1490</v>
      </c>
      <c r="L148" s="24">
        <v>4.0</v>
      </c>
      <c r="M148" s="25" t="s">
        <v>1491</v>
      </c>
      <c r="N148" s="26" t="str">
        <f t="shared" si="2"/>
        <v>297
FAR
k</v>
      </c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0">
        <v>148.0</v>
      </c>
      <c r="B149" s="12" t="s">
        <v>1498</v>
      </c>
      <c r="C149" s="12" t="s">
        <v>226</v>
      </c>
      <c r="D149" s="35"/>
      <c r="E149" s="22"/>
      <c r="F149" s="12" t="s">
        <v>1499</v>
      </c>
      <c r="G149" s="12" t="s">
        <v>1500</v>
      </c>
      <c r="H149" s="12" t="s">
        <v>1501</v>
      </c>
      <c r="I149" s="23">
        <v>9.786024180799E12</v>
      </c>
      <c r="J149" s="12">
        <v>2016.0</v>
      </c>
      <c r="K149" s="23">
        <v>206.0</v>
      </c>
      <c r="L149" s="24">
        <v>1.0</v>
      </c>
      <c r="M149" s="12" t="s">
        <v>340</v>
      </c>
      <c r="N149" s="26" t="str">
        <f t="shared" si="2"/>
        <v>
SAT
a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0">
        <v>149.0</v>
      </c>
      <c r="B150" s="12" t="s">
        <v>1502</v>
      </c>
      <c r="C150" s="12" t="s">
        <v>226</v>
      </c>
      <c r="D150" s="23">
        <v>297.0</v>
      </c>
      <c r="E150" s="12" t="s">
        <v>1042</v>
      </c>
      <c r="F150" s="12" t="s">
        <v>1503</v>
      </c>
      <c r="G150" s="22"/>
      <c r="H150" s="12" t="s">
        <v>1504</v>
      </c>
      <c r="I150" s="23">
        <v>9.78602168768E12</v>
      </c>
      <c r="J150" s="12">
        <v>2015.0</v>
      </c>
      <c r="K150" s="23">
        <v>178.0</v>
      </c>
      <c r="L150" s="24">
        <v>1.0</v>
      </c>
      <c r="M150" s="25" t="s">
        <v>1505</v>
      </c>
      <c r="N150" s="26" t="str">
        <f t="shared" si="2"/>
        <v>297
MOH
m</v>
      </c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0">
        <v>150.0</v>
      </c>
      <c r="B151" s="12" t="s">
        <v>1513</v>
      </c>
      <c r="C151" s="12" t="s">
        <v>226</v>
      </c>
      <c r="D151" s="23">
        <v>297.0</v>
      </c>
      <c r="E151" s="12" t="s">
        <v>1042</v>
      </c>
      <c r="F151" s="12" t="s">
        <v>1515</v>
      </c>
      <c r="G151" s="12" t="s">
        <v>1187</v>
      </c>
      <c r="H151" s="12" t="s">
        <v>1516</v>
      </c>
      <c r="I151" s="23">
        <v>9.789799475442E12</v>
      </c>
      <c r="J151" s="12">
        <v>2010.0</v>
      </c>
      <c r="K151" s="23">
        <v>55.0</v>
      </c>
      <c r="L151" s="24">
        <v>1.0</v>
      </c>
      <c r="M151" s="25" t="s">
        <v>1517</v>
      </c>
      <c r="N151" s="26" t="str">
        <f t="shared" si="2"/>
        <v>297
ASE
s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0">
        <v>151.0</v>
      </c>
      <c r="B152" s="12" t="s">
        <v>1520</v>
      </c>
      <c r="C152" s="12" t="s">
        <v>226</v>
      </c>
      <c r="D152" s="35"/>
      <c r="E152" s="22"/>
      <c r="F152" s="12" t="s">
        <v>1522</v>
      </c>
      <c r="G152" s="12" t="s">
        <v>1523</v>
      </c>
      <c r="H152" s="12" t="s">
        <v>588</v>
      </c>
      <c r="I152" s="23">
        <v>9.789797816896E12</v>
      </c>
      <c r="J152" s="12">
        <v>2006.0</v>
      </c>
      <c r="K152" s="23">
        <v>95.0</v>
      </c>
      <c r="L152" s="24">
        <v>1.0</v>
      </c>
      <c r="M152" s="12" t="s">
        <v>340</v>
      </c>
      <c r="N152" s="26" t="str">
        <f t="shared" si="2"/>
        <v>
MOK
a</v>
      </c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0">
        <v>152.0</v>
      </c>
      <c r="B153" s="12" t="s">
        <v>1525</v>
      </c>
      <c r="C153" s="12" t="s">
        <v>226</v>
      </c>
      <c r="D153" s="35"/>
      <c r="E153" s="22"/>
      <c r="F153" s="12" t="s">
        <v>1515</v>
      </c>
      <c r="G153" s="12" t="s">
        <v>1187</v>
      </c>
      <c r="H153" s="12" t="s">
        <v>57</v>
      </c>
      <c r="I153" s="23">
        <v>9.789799475381E12</v>
      </c>
      <c r="J153" s="12">
        <v>2010.0</v>
      </c>
      <c r="K153" s="23">
        <v>55.0</v>
      </c>
      <c r="L153" s="24">
        <v>1.0</v>
      </c>
      <c r="M153" s="12" t="s">
        <v>340</v>
      </c>
      <c r="N153" s="26" t="str">
        <f t="shared" si="2"/>
        <v>
ASE
s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0">
        <v>153.0</v>
      </c>
      <c r="B154" s="12" t="s">
        <v>1528</v>
      </c>
      <c r="C154" s="12" t="s">
        <v>226</v>
      </c>
      <c r="D154" s="23">
        <v>297.0</v>
      </c>
      <c r="E154" s="12" t="s">
        <v>1042</v>
      </c>
      <c r="F154" s="12" t="s">
        <v>1533</v>
      </c>
      <c r="G154" s="22"/>
      <c r="H154" s="12" t="s">
        <v>1535</v>
      </c>
      <c r="I154" s="23">
        <v>9.786029806212E12</v>
      </c>
      <c r="J154" s="12">
        <v>2008.0</v>
      </c>
      <c r="K154" s="23">
        <v>96.0</v>
      </c>
      <c r="L154" s="24">
        <v>1.0</v>
      </c>
      <c r="M154" s="25" t="s">
        <v>1568</v>
      </c>
      <c r="N154" s="26" t="str">
        <f t="shared" si="2"/>
        <v>297
MIS
3</v>
      </c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0">
        <v>154.0</v>
      </c>
      <c r="B155" s="12" t="s">
        <v>1569</v>
      </c>
      <c r="C155" s="12" t="s">
        <v>226</v>
      </c>
      <c r="D155" s="23" t="s">
        <v>1570</v>
      </c>
      <c r="E155" s="12" t="s">
        <v>1053</v>
      </c>
      <c r="F155" s="12" t="s">
        <v>1186</v>
      </c>
      <c r="G155" s="12" t="s">
        <v>1187</v>
      </c>
      <c r="H155" s="12" t="s">
        <v>1516</v>
      </c>
      <c r="I155" s="23">
        <v>9.789799475466E12</v>
      </c>
      <c r="J155" s="12">
        <v>2010.0</v>
      </c>
      <c r="K155" s="23">
        <v>55.0</v>
      </c>
      <c r="L155" s="24">
        <v>1.0</v>
      </c>
      <c r="M155" s="25" t="s">
        <v>1571</v>
      </c>
      <c r="N155" s="26" t="str">
        <f t="shared" si="2"/>
        <v>2x3,4
ASE
s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0">
        <v>155.0</v>
      </c>
      <c r="B156" s="12" t="s">
        <v>1572</v>
      </c>
      <c r="C156" s="12" t="s">
        <v>226</v>
      </c>
      <c r="D156" s="35"/>
      <c r="E156" s="22"/>
      <c r="F156" s="12" t="s">
        <v>1573</v>
      </c>
      <c r="G156" s="22"/>
      <c r="H156" s="12" t="s">
        <v>1574</v>
      </c>
      <c r="I156" s="35"/>
      <c r="J156" s="12">
        <v>1989.0</v>
      </c>
      <c r="K156" s="23" t="s">
        <v>1575</v>
      </c>
      <c r="L156" s="24">
        <v>1.0</v>
      </c>
      <c r="M156" s="12" t="s">
        <v>340</v>
      </c>
      <c r="N156" s="26" t="str">
        <f t="shared" si="2"/>
        <v>
S.A
k</v>
      </c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0">
        <v>156.0</v>
      </c>
      <c r="B157" s="12" t="s">
        <v>1576</v>
      </c>
      <c r="C157" s="12" t="s">
        <v>226</v>
      </c>
      <c r="D157" s="35"/>
      <c r="E157" s="22"/>
      <c r="F157" s="12" t="s">
        <v>1577</v>
      </c>
      <c r="G157" s="22"/>
      <c r="H157" s="12" t="s">
        <v>1578</v>
      </c>
      <c r="I157" s="35"/>
      <c r="J157" s="12">
        <v>1983.0</v>
      </c>
      <c r="K157" s="23" t="s">
        <v>1579</v>
      </c>
      <c r="L157" s="24">
        <v>1.0</v>
      </c>
      <c r="M157" s="12" t="s">
        <v>340</v>
      </c>
      <c r="N157" s="26" t="str">
        <f t="shared" si="2"/>
        <v>
A.A
j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0">
        <v>157.0</v>
      </c>
      <c r="B158" s="12" t="s">
        <v>1580</v>
      </c>
      <c r="C158" s="12" t="s">
        <v>226</v>
      </c>
      <c r="D158" s="23">
        <v>297.0</v>
      </c>
      <c r="E158" s="12" t="s">
        <v>1042</v>
      </c>
      <c r="F158" s="12" t="s">
        <v>1581</v>
      </c>
      <c r="G158" s="22"/>
      <c r="H158" s="12" t="s">
        <v>1582</v>
      </c>
      <c r="I158" s="23">
        <v>9.786023500123E12</v>
      </c>
      <c r="J158" s="12">
        <v>2015.0</v>
      </c>
      <c r="K158" s="23">
        <v>252.0</v>
      </c>
      <c r="L158" s="24">
        <v>1.0</v>
      </c>
      <c r="M158" s="25" t="s">
        <v>1583</v>
      </c>
      <c r="N158" s="26" t="str">
        <f t="shared" si="2"/>
        <v>297
MUH
s</v>
      </c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0">
        <v>158.0</v>
      </c>
      <c r="B159" s="12" t="s">
        <v>1584</v>
      </c>
      <c r="C159" s="12" t="s">
        <v>226</v>
      </c>
      <c r="D159" s="35"/>
      <c r="E159" s="22"/>
      <c r="F159" s="12" t="s">
        <v>1585</v>
      </c>
      <c r="G159" s="12" t="s">
        <v>1586</v>
      </c>
      <c r="H159" s="12" t="s">
        <v>1587</v>
      </c>
      <c r="I159" s="23" t="s">
        <v>1588</v>
      </c>
      <c r="J159" s="22"/>
      <c r="K159" s="23">
        <v>96.0</v>
      </c>
      <c r="L159" s="24">
        <v>1.0</v>
      </c>
      <c r="M159" s="12" t="s">
        <v>340</v>
      </c>
      <c r="N159" s="26" t="str">
        <f t="shared" si="2"/>
        <v>
M. 
k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0">
        <v>159.0</v>
      </c>
      <c r="B160" s="12" t="s">
        <v>1589</v>
      </c>
      <c r="C160" s="12" t="s">
        <v>226</v>
      </c>
      <c r="D160" s="23" t="s">
        <v>1393</v>
      </c>
      <c r="E160" s="12" t="s">
        <v>1436</v>
      </c>
      <c r="F160" s="12" t="s">
        <v>1590</v>
      </c>
      <c r="G160" s="12" t="s">
        <v>1591</v>
      </c>
      <c r="H160" s="12" t="s">
        <v>1592</v>
      </c>
      <c r="I160" s="23" t="s">
        <v>1593</v>
      </c>
      <c r="J160" s="12">
        <v>2007.0</v>
      </c>
      <c r="K160" s="23">
        <v>48.0</v>
      </c>
      <c r="L160" s="24">
        <v>1.0</v>
      </c>
      <c r="M160" s="25" t="s">
        <v>1594</v>
      </c>
      <c r="N160" s="26" t="str">
        <f t="shared" si="2"/>
        <v>297.6
IMA
k</v>
      </c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0">
        <v>160.0</v>
      </c>
      <c r="B161" s="12" t="s">
        <v>1595</v>
      </c>
      <c r="C161" s="12" t="s">
        <v>226</v>
      </c>
      <c r="D161" s="23">
        <v>297.0</v>
      </c>
      <c r="E161" s="12" t="s">
        <v>1042</v>
      </c>
      <c r="F161" s="12" t="s">
        <v>1596</v>
      </c>
      <c r="G161" s="12" t="s">
        <v>1597</v>
      </c>
      <c r="H161" s="12" t="s">
        <v>382</v>
      </c>
      <c r="I161" s="35"/>
      <c r="J161" s="12">
        <v>2017.0</v>
      </c>
      <c r="K161" s="23">
        <v>80.0</v>
      </c>
      <c r="L161" s="24">
        <v>5.0</v>
      </c>
      <c r="M161" s="64" t="s">
        <v>1598</v>
      </c>
      <c r="N161" s="26" t="str">
        <f t="shared" si="2"/>
        <v>297
ABD
d</v>
      </c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0">
        <v>161.0</v>
      </c>
      <c r="B162" s="12" t="s">
        <v>1599</v>
      </c>
      <c r="C162" s="12" t="s">
        <v>226</v>
      </c>
      <c r="D162" s="23" t="s">
        <v>1600</v>
      </c>
      <c r="E162" s="12" t="s">
        <v>1053</v>
      </c>
      <c r="F162" s="12" t="s">
        <v>1596</v>
      </c>
      <c r="G162" s="12" t="s">
        <v>1597</v>
      </c>
      <c r="H162" s="12" t="s">
        <v>382</v>
      </c>
      <c r="I162" s="35"/>
      <c r="J162" s="12">
        <v>2017.0</v>
      </c>
      <c r="K162" s="23">
        <v>217.0</v>
      </c>
      <c r="L162" s="24">
        <v>5.0</v>
      </c>
      <c r="M162" s="38" t="s">
        <v>1601</v>
      </c>
      <c r="N162" s="26" t="str">
        <f t="shared" si="2"/>
        <v>2X3.4
ABD
t</v>
      </c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0">
        <v>162.0</v>
      </c>
      <c r="B163" s="12" t="s">
        <v>1602</v>
      </c>
      <c r="C163" s="12" t="s">
        <v>226</v>
      </c>
      <c r="D163" s="35"/>
      <c r="E163" s="22"/>
      <c r="F163" s="12" t="s">
        <v>1603</v>
      </c>
      <c r="G163" s="22"/>
      <c r="H163" s="12" t="s">
        <v>1604</v>
      </c>
      <c r="I163" s="23" t="s">
        <v>1605</v>
      </c>
      <c r="J163" s="12">
        <v>2012.0</v>
      </c>
      <c r="K163" s="23">
        <v>388.0</v>
      </c>
      <c r="L163" s="24">
        <v>1.0</v>
      </c>
      <c r="M163" s="12" t="s">
        <v>340</v>
      </c>
      <c r="N163" s="26" t="str">
        <f t="shared" si="2"/>
        <v>
SIB
k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0">
        <v>163.0</v>
      </c>
      <c r="B164" s="12" t="s">
        <v>1606</v>
      </c>
      <c r="C164" s="12" t="s">
        <v>226</v>
      </c>
      <c r="D164" s="23" t="s">
        <v>1607</v>
      </c>
      <c r="E164" s="12" t="s">
        <v>1608</v>
      </c>
      <c r="F164" s="12" t="s">
        <v>1609</v>
      </c>
      <c r="G164" s="12" t="s">
        <v>1610</v>
      </c>
      <c r="H164" s="12" t="s">
        <v>646</v>
      </c>
      <c r="I164" s="23">
        <v>9.786027768406E12</v>
      </c>
      <c r="J164" s="12">
        <v>2013.0</v>
      </c>
      <c r="K164" s="23">
        <v>200.0</v>
      </c>
      <c r="L164" s="24">
        <v>1.0</v>
      </c>
      <c r="M164" s="25" t="s">
        <v>1611</v>
      </c>
      <c r="N164" s="26" t="str">
        <f t="shared" si="2"/>
        <v>297.03
SYA
k</v>
      </c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0">
        <v>164.0</v>
      </c>
      <c r="B165" s="12" t="s">
        <v>1612</v>
      </c>
      <c r="C165" s="12" t="s">
        <v>226</v>
      </c>
      <c r="D165" s="23">
        <v>297.0</v>
      </c>
      <c r="E165" s="12" t="s">
        <v>1042</v>
      </c>
      <c r="F165" s="12" t="s">
        <v>1613</v>
      </c>
      <c r="G165" s="22"/>
      <c r="H165" s="12" t="s">
        <v>1614</v>
      </c>
      <c r="I165" s="23">
        <v>9.786021803677E12</v>
      </c>
      <c r="J165" s="12">
        <v>2012.0</v>
      </c>
      <c r="K165" s="23">
        <v>171.0</v>
      </c>
      <c r="L165" s="24">
        <v>1.0</v>
      </c>
      <c r="M165" s="25" t="s">
        <v>1615</v>
      </c>
      <c r="N165" s="26" t="str">
        <f t="shared" si="2"/>
        <v>297
HAS
t</v>
      </c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0">
        <v>165.0</v>
      </c>
      <c r="B166" s="12" t="s">
        <v>1616</v>
      </c>
      <c r="C166" s="12" t="s">
        <v>246</v>
      </c>
      <c r="D166" s="23">
        <v>570.0</v>
      </c>
      <c r="E166" s="12" t="s">
        <v>1616</v>
      </c>
      <c r="F166" s="12" t="s">
        <v>1617</v>
      </c>
      <c r="G166" s="22"/>
      <c r="H166" s="12" t="s">
        <v>1618</v>
      </c>
      <c r="I166" s="23" t="s">
        <v>1619</v>
      </c>
      <c r="J166" s="12">
        <v>2004.0</v>
      </c>
      <c r="K166" s="23" t="s">
        <v>1620</v>
      </c>
      <c r="L166" s="24">
        <v>1.0</v>
      </c>
      <c r="M166" s="25" t="s">
        <v>1621</v>
      </c>
      <c r="N166" s="26" t="str">
        <f t="shared" si="2"/>
        <v>570
MIE
k</v>
      </c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0">
        <v>166.0</v>
      </c>
      <c r="B167" s="12" t="s">
        <v>1622</v>
      </c>
      <c r="C167" s="12" t="s">
        <v>226</v>
      </c>
      <c r="D167" s="23">
        <v>297.0</v>
      </c>
      <c r="E167" s="12" t="s">
        <v>1042</v>
      </c>
      <c r="F167" s="12" t="s">
        <v>1623</v>
      </c>
      <c r="G167" s="12" t="s">
        <v>1624</v>
      </c>
      <c r="H167" s="12" t="s">
        <v>1625</v>
      </c>
      <c r="I167" s="23" t="s">
        <v>1626</v>
      </c>
      <c r="J167" s="12">
        <v>2012.0</v>
      </c>
      <c r="K167" s="23">
        <v>262.0</v>
      </c>
      <c r="L167" s="24">
        <v>1.0</v>
      </c>
      <c r="M167" s="25" t="s">
        <v>1627</v>
      </c>
      <c r="N167" s="26" t="str">
        <f t="shared" si="2"/>
        <v>297
YUS
m</v>
      </c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0">
        <v>167.0</v>
      </c>
      <c r="B168" s="12" t="s">
        <v>1628</v>
      </c>
      <c r="C168" s="12" t="s">
        <v>226</v>
      </c>
      <c r="D168" s="23" t="s">
        <v>1629</v>
      </c>
      <c r="E168" s="22" t="s">
        <v>1185</v>
      </c>
      <c r="F168" s="12" t="s">
        <v>1515</v>
      </c>
      <c r="G168" s="22"/>
      <c r="H168" s="12" t="s">
        <v>57</v>
      </c>
      <c r="I168" s="23" t="s">
        <v>1630</v>
      </c>
      <c r="J168" s="12">
        <v>2007.0</v>
      </c>
      <c r="K168" s="23" t="s">
        <v>1631</v>
      </c>
      <c r="L168" s="24">
        <v>1.0</v>
      </c>
      <c r="M168" s="12" t="s">
        <v>340</v>
      </c>
      <c r="N168" s="26" t="str">
        <f t="shared" si="2"/>
        <v>2X3.46 
ASE
s</v>
      </c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0">
        <v>168.0</v>
      </c>
      <c r="B169" s="12" t="s">
        <v>1632</v>
      </c>
      <c r="C169" s="12" t="s">
        <v>226</v>
      </c>
      <c r="D169" s="23" t="s">
        <v>1633</v>
      </c>
      <c r="E169" s="12" t="s">
        <v>1634</v>
      </c>
      <c r="F169" s="12" t="s">
        <v>1635</v>
      </c>
      <c r="G169" s="12" t="s">
        <v>1161</v>
      </c>
      <c r="H169" s="12" t="s">
        <v>1636</v>
      </c>
      <c r="I169" s="23">
        <v>9.786022210764E12</v>
      </c>
      <c r="J169" s="12">
        <v>2011.0</v>
      </c>
      <c r="K169" s="23">
        <v>110.0</v>
      </c>
      <c r="L169" s="24">
        <v>1.0</v>
      </c>
      <c r="M169" s="25" t="s">
        <v>1637</v>
      </c>
      <c r="N169" s="26" t="str">
        <f t="shared" si="2"/>
        <v>297.72
MUH
m</v>
      </c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0">
        <v>169.0</v>
      </c>
      <c r="B170" s="12" t="s">
        <v>1638</v>
      </c>
      <c r="C170" s="12" t="s">
        <v>229</v>
      </c>
      <c r="D170" s="23">
        <v>370.0</v>
      </c>
      <c r="E170" s="12" t="s">
        <v>1639</v>
      </c>
      <c r="F170" s="12" t="s">
        <v>1640</v>
      </c>
      <c r="G170" s="22"/>
      <c r="H170" s="12" t="s">
        <v>1641</v>
      </c>
      <c r="I170" s="23">
        <v>9.786022311249E12</v>
      </c>
      <c r="J170" s="12">
        <v>2013.0</v>
      </c>
      <c r="K170" s="23" t="s">
        <v>1642</v>
      </c>
      <c r="L170" s="24">
        <v>1.0</v>
      </c>
      <c r="M170" s="25" t="s">
        <v>1643</v>
      </c>
      <c r="N170" s="26" t="str">
        <f t="shared" si="2"/>
        <v>370
MAR
m</v>
      </c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0">
        <v>170.0</v>
      </c>
      <c r="B171" s="12" t="s">
        <v>1644</v>
      </c>
      <c r="C171" s="12" t="s">
        <v>226</v>
      </c>
      <c r="D171" s="35"/>
      <c r="E171" s="22"/>
      <c r="F171" s="12" t="s">
        <v>1645</v>
      </c>
      <c r="G171" s="12" t="s">
        <v>1140</v>
      </c>
      <c r="H171" s="12" t="s">
        <v>1107</v>
      </c>
      <c r="I171" s="23" t="s">
        <v>1646</v>
      </c>
      <c r="J171" s="12">
        <v>2010.0</v>
      </c>
      <c r="K171" s="23" t="s">
        <v>1647</v>
      </c>
      <c r="L171" s="24">
        <v>1.0</v>
      </c>
      <c r="M171" s="12" t="s">
        <v>340</v>
      </c>
      <c r="N171" s="26" t="str">
        <f t="shared" si="2"/>
        <v>
ABD
w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0">
        <v>171.0</v>
      </c>
      <c r="B172" s="12" t="s">
        <v>1648</v>
      </c>
      <c r="C172" s="12" t="s">
        <v>226</v>
      </c>
      <c r="D172" s="23">
        <v>297.0</v>
      </c>
      <c r="E172" s="12" t="s">
        <v>1042</v>
      </c>
      <c r="F172" s="12" t="s">
        <v>1352</v>
      </c>
      <c r="G172" s="12" t="s">
        <v>1228</v>
      </c>
      <c r="H172" s="12" t="s">
        <v>433</v>
      </c>
      <c r="I172" s="23">
        <v>9.789790180857E12</v>
      </c>
      <c r="J172" s="12">
        <v>2007.0</v>
      </c>
      <c r="K172" s="23" t="s">
        <v>418</v>
      </c>
      <c r="L172" s="24">
        <v>1.0</v>
      </c>
      <c r="M172" s="25" t="s">
        <v>1649</v>
      </c>
      <c r="N172" s="26" t="str">
        <f t="shared" si="2"/>
        <v>297
TIM
m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0">
        <v>172.0</v>
      </c>
      <c r="B173" s="12" t="s">
        <v>1650</v>
      </c>
      <c r="C173" s="12" t="s">
        <v>226</v>
      </c>
      <c r="D173" s="35"/>
      <c r="E173" s="22"/>
      <c r="F173" s="12" t="s">
        <v>1651</v>
      </c>
      <c r="G173" s="22"/>
      <c r="H173" s="12" t="s">
        <v>1303</v>
      </c>
      <c r="I173" s="35"/>
      <c r="J173" s="22"/>
      <c r="K173" s="23">
        <v>88.0</v>
      </c>
      <c r="L173" s="24">
        <v>2.0</v>
      </c>
      <c r="M173" s="12" t="s">
        <v>340</v>
      </c>
      <c r="N173" s="26" t="str">
        <f t="shared" si="2"/>
        <v>
Ust
t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0">
        <v>173.0</v>
      </c>
      <c r="B174" s="12" t="s">
        <v>1652</v>
      </c>
      <c r="C174" s="12" t="s">
        <v>226</v>
      </c>
      <c r="D174" s="23" t="s">
        <v>1629</v>
      </c>
      <c r="E174" s="22" t="s">
        <v>1185</v>
      </c>
      <c r="F174" s="12" t="s">
        <v>1653</v>
      </c>
      <c r="G174" s="12" t="s">
        <v>1654</v>
      </c>
      <c r="H174" s="12" t="s">
        <v>1655</v>
      </c>
      <c r="I174" s="23">
        <v>9.786022182894E12</v>
      </c>
      <c r="J174" s="22"/>
      <c r="K174" s="23">
        <v>24.0</v>
      </c>
      <c r="L174" s="24">
        <v>1.0</v>
      </c>
      <c r="M174" s="12" t="s">
        <v>340</v>
      </c>
      <c r="N174" s="26" t="str">
        <f t="shared" si="2"/>
        <v>2X3.46 
IBN
n</v>
      </c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0">
        <v>174.0</v>
      </c>
      <c r="B175" s="12" t="s">
        <v>1656</v>
      </c>
      <c r="C175" s="12" t="s">
        <v>229</v>
      </c>
      <c r="D175" s="23" t="s">
        <v>1657</v>
      </c>
      <c r="E175" s="12" t="s">
        <v>1658</v>
      </c>
      <c r="F175" s="12" t="s">
        <v>1659</v>
      </c>
      <c r="G175" s="12" t="s">
        <v>1660</v>
      </c>
      <c r="H175" s="12" t="s">
        <v>1661</v>
      </c>
      <c r="I175" s="23">
        <v>9.789799475619E12</v>
      </c>
      <c r="J175" s="12">
        <v>2010.0</v>
      </c>
      <c r="K175" s="23">
        <v>100.0</v>
      </c>
      <c r="L175" s="24">
        <v>2.0</v>
      </c>
      <c r="M175" s="25" t="s">
        <v>1662</v>
      </c>
      <c r="N175" s="26" t="str">
        <f t="shared" si="2"/>
        <v>371.3
YAY
m</v>
      </c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0">
        <v>175.0</v>
      </c>
      <c r="B176" s="12" t="s">
        <v>1663</v>
      </c>
      <c r="C176" s="12" t="s">
        <v>229</v>
      </c>
      <c r="D176" s="23" t="s">
        <v>1657</v>
      </c>
      <c r="E176" s="12" t="s">
        <v>1658</v>
      </c>
      <c r="F176" s="12" t="s">
        <v>1659</v>
      </c>
      <c r="G176" s="12" t="s">
        <v>1660</v>
      </c>
      <c r="H176" s="12" t="s">
        <v>1661</v>
      </c>
      <c r="I176" s="23">
        <v>9.789799475626E12</v>
      </c>
      <c r="J176" s="12">
        <v>2010.0</v>
      </c>
      <c r="K176" s="23">
        <v>108.0</v>
      </c>
      <c r="L176" s="24">
        <v>2.0</v>
      </c>
      <c r="M176" s="25" t="s">
        <v>1664</v>
      </c>
      <c r="N176" s="26" t="str">
        <f t="shared" si="2"/>
        <v>371.3
YAY
m</v>
      </c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0">
        <v>176.0</v>
      </c>
      <c r="B177" s="12" t="s">
        <v>1665</v>
      </c>
      <c r="C177" s="12" t="s">
        <v>229</v>
      </c>
      <c r="D177" s="23" t="s">
        <v>1666</v>
      </c>
      <c r="E177" s="12" t="s">
        <v>1667</v>
      </c>
      <c r="F177" s="12" t="s">
        <v>1668</v>
      </c>
      <c r="G177" s="12" t="s">
        <v>1660</v>
      </c>
      <c r="H177" s="12" t="s">
        <v>1661</v>
      </c>
      <c r="I177" s="23">
        <v>9.789799475787E12</v>
      </c>
      <c r="J177" s="12">
        <v>2010.0</v>
      </c>
      <c r="K177" s="23">
        <v>60.0</v>
      </c>
      <c r="L177" s="24">
        <v>2.0</v>
      </c>
      <c r="M177" s="25" t="s">
        <v>1669</v>
      </c>
      <c r="N177" s="26" t="str">
        <f t="shared" si="2"/>
        <v>323.6
PRO
k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0">
        <v>177.0</v>
      </c>
      <c r="B178" s="12" t="s">
        <v>1670</v>
      </c>
      <c r="C178" s="12" t="s">
        <v>229</v>
      </c>
      <c r="D178" s="23" t="s">
        <v>1671</v>
      </c>
      <c r="E178" s="22" t="s">
        <v>1672</v>
      </c>
      <c r="F178" s="12" t="s">
        <v>1668</v>
      </c>
      <c r="G178" s="12" t="s">
        <v>1660</v>
      </c>
      <c r="H178" s="12" t="s">
        <v>1661</v>
      </c>
      <c r="I178" s="23">
        <v>9.789799475763E12</v>
      </c>
      <c r="J178" s="12">
        <v>2010.0</v>
      </c>
      <c r="K178" s="23">
        <v>60.0</v>
      </c>
      <c r="L178" s="24">
        <v>2.0</v>
      </c>
      <c r="M178" s="25" t="s">
        <v>1673</v>
      </c>
      <c r="N178" s="26" t="str">
        <f t="shared" si="2"/>
        <v>342.03
PRO
a</v>
      </c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0">
        <v>178.0</v>
      </c>
      <c r="B179" s="12" t="s">
        <v>1674</v>
      </c>
      <c r="C179" s="12" t="s">
        <v>229</v>
      </c>
      <c r="D179" s="23" t="s">
        <v>1675</v>
      </c>
      <c r="E179" s="22" t="s">
        <v>1676</v>
      </c>
      <c r="F179" s="12" t="s">
        <v>1677</v>
      </c>
      <c r="G179" s="12" t="s">
        <v>1678</v>
      </c>
      <c r="H179" s="12" t="s">
        <v>1679</v>
      </c>
      <c r="I179" s="23" t="s">
        <v>1680</v>
      </c>
      <c r="J179" s="12">
        <v>2008.0</v>
      </c>
      <c r="K179" s="23">
        <v>122.0</v>
      </c>
      <c r="L179" s="24">
        <v>1.0</v>
      </c>
      <c r="M179" s="12" t="s">
        <v>340</v>
      </c>
      <c r="N179" s="26" t="str">
        <f t="shared" si="2"/>
        <v>371.1
CEP
b</v>
      </c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0">
        <v>179.0</v>
      </c>
      <c r="B180" s="12" t="s">
        <v>1681</v>
      </c>
      <c r="C180" s="12" t="s">
        <v>229</v>
      </c>
      <c r="D180" s="23" t="s">
        <v>1675</v>
      </c>
      <c r="E180" s="22" t="s">
        <v>1676</v>
      </c>
      <c r="F180" s="12" t="s">
        <v>1682</v>
      </c>
      <c r="G180" s="12" t="s">
        <v>1683</v>
      </c>
      <c r="H180" s="12" t="s">
        <v>1684</v>
      </c>
      <c r="I180" s="23" t="s">
        <v>1685</v>
      </c>
      <c r="J180" s="12">
        <v>2008.0</v>
      </c>
      <c r="K180" s="23">
        <v>120.0</v>
      </c>
      <c r="L180" s="24">
        <v>1.0</v>
      </c>
      <c r="M180" s="12" t="s">
        <v>340</v>
      </c>
      <c r="N180" s="26" t="str">
        <f t="shared" si="2"/>
        <v>371.1
TAU
w</v>
      </c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0">
        <v>180.0</v>
      </c>
      <c r="B181" s="12" t="s">
        <v>1686</v>
      </c>
      <c r="C181" s="12" t="s">
        <v>229</v>
      </c>
      <c r="D181" s="23" t="s">
        <v>1687</v>
      </c>
      <c r="E181" s="22" t="s">
        <v>1688</v>
      </c>
      <c r="F181" s="12" t="s">
        <v>1689</v>
      </c>
      <c r="G181" s="12" t="s">
        <v>1690</v>
      </c>
      <c r="H181" s="12" t="s">
        <v>1691</v>
      </c>
      <c r="I181" s="23" t="s">
        <v>1692</v>
      </c>
      <c r="J181" s="12">
        <v>2009.0</v>
      </c>
      <c r="K181" s="23" t="s">
        <v>1693</v>
      </c>
      <c r="L181" s="24">
        <v>1.0</v>
      </c>
      <c r="M181" s="25" t="s">
        <v>1694</v>
      </c>
      <c r="N181" s="26" t="str">
        <f t="shared" si="2"/>
        <v>340.5
ARI
a</v>
      </c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0">
        <v>181.0</v>
      </c>
      <c r="B182" s="12" t="s">
        <v>1695</v>
      </c>
      <c r="C182" s="12" t="s">
        <v>229</v>
      </c>
      <c r="D182" s="23" t="s">
        <v>1696</v>
      </c>
      <c r="E182" s="22" t="s">
        <v>1697</v>
      </c>
      <c r="F182" s="12" t="s">
        <v>107</v>
      </c>
      <c r="G182" s="12" t="s">
        <v>1698</v>
      </c>
      <c r="H182" s="12" t="s">
        <v>108</v>
      </c>
      <c r="I182" s="23" t="s">
        <v>1699</v>
      </c>
      <c r="J182" s="12">
        <v>2015.0</v>
      </c>
      <c r="K182" s="23" t="s">
        <v>1700</v>
      </c>
      <c r="L182" s="24">
        <v>1.0</v>
      </c>
      <c r="M182" s="25" t="s">
        <v>1701</v>
      </c>
      <c r="N182" s="26" t="str">
        <f t="shared" si="2"/>
        <v>300
EDI
m</v>
      </c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0">
        <v>182.0</v>
      </c>
      <c r="B183" s="12" t="s">
        <v>1702</v>
      </c>
      <c r="C183" s="12" t="s">
        <v>229</v>
      </c>
      <c r="D183" s="23" t="s">
        <v>1703</v>
      </c>
      <c r="E183" s="22" t="s">
        <v>1704</v>
      </c>
      <c r="F183" s="12" t="s">
        <v>1705</v>
      </c>
      <c r="G183" s="12" t="s">
        <v>1705</v>
      </c>
      <c r="H183" s="12" t="s">
        <v>1705</v>
      </c>
      <c r="I183" s="35"/>
      <c r="J183" s="12">
        <v>2014.0</v>
      </c>
      <c r="K183" s="23">
        <v>167.0</v>
      </c>
      <c r="L183" s="24">
        <v>1.0</v>
      </c>
      <c r="M183" s="25" t="s">
        <v>1706</v>
      </c>
      <c r="N183" s="26" t="str">
        <f t="shared" si="2"/>
        <v>304.6
KOM
s</v>
      </c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0">
        <v>183.0</v>
      </c>
      <c r="B184" s="12" t="s">
        <v>1707</v>
      </c>
      <c r="C184" s="12" t="s">
        <v>229</v>
      </c>
      <c r="D184" s="23" t="s">
        <v>1708</v>
      </c>
      <c r="E184" s="22" t="s">
        <v>1709</v>
      </c>
      <c r="F184" s="12" t="s">
        <v>1710</v>
      </c>
      <c r="G184" s="12" t="s">
        <v>1711</v>
      </c>
      <c r="H184" s="12" t="s">
        <v>1712</v>
      </c>
      <c r="I184" s="23">
        <v>9.789796929429E12</v>
      </c>
      <c r="J184" s="12">
        <v>2009.0</v>
      </c>
      <c r="K184" s="23">
        <v>192.0</v>
      </c>
      <c r="L184" s="24">
        <v>1.0</v>
      </c>
      <c r="M184" s="25" t="s">
        <v>1713</v>
      </c>
      <c r="N184" s="26" t="str">
        <f t="shared" si="2"/>
        <v>330.9598
HIK
m</v>
      </c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0">
        <v>184.0</v>
      </c>
      <c r="B185" s="12" t="s">
        <v>1714</v>
      </c>
      <c r="C185" s="12" t="s">
        <v>229</v>
      </c>
      <c r="D185" s="47">
        <v>341448.0</v>
      </c>
      <c r="E185" s="12" t="s">
        <v>1715</v>
      </c>
      <c r="F185" s="12" t="s">
        <v>1716</v>
      </c>
      <c r="G185" s="22"/>
      <c r="H185" s="12" t="s">
        <v>1717</v>
      </c>
      <c r="I185" s="35"/>
      <c r="J185" s="12">
        <v>2006.0</v>
      </c>
      <c r="K185" s="23" t="s">
        <v>1718</v>
      </c>
      <c r="L185" s="24">
        <v>3.0</v>
      </c>
      <c r="M185" s="25" t="s">
        <v>1719</v>
      </c>
      <c r="N185" s="26" t="str">
        <f t="shared" si="2"/>
        <v>341448
DIY
h</v>
      </c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0">
        <v>185.0</v>
      </c>
      <c r="B186" s="12" t="s">
        <v>1720</v>
      </c>
      <c r="C186" s="12" t="s">
        <v>229</v>
      </c>
      <c r="D186" s="23" t="s">
        <v>1721</v>
      </c>
      <c r="E186" s="22" t="s">
        <v>1722</v>
      </c>
      <c r="F186" s="12" t="s">
        <v>1723</v>
      </c>
      <c r="G186" s="22"/>
      <c r="H186" s="22"/>
      <c r="I186" s="35"/>
      <c r="J186" s="12">
        <v>2009.0</v>
      </c>
      <c r="K186" s="23">
        <v>62.0</v>
      </c>
      <c r="L186" s="24">
        <v>1.0</v>
      </c>
      <c r="M186" s="25" t="s">
        <v>1724</v>
      </c>
      <c r="N186" s="26" t="str">
        <f t="shared" si="2"/>
        <v>369.43
DEP
p</v>
      </c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0">
        <v>186.0</v>
      </c>
      <c r="B187" s="12" t="s">
        <v>1725</v>
      </c>
      <c r="C187" s="12" t="s">
        <v>229</v>
      </c>
      <c r="D187" s="23" t="s">
        <v>1726</v>
      </c>
      <c r="E187" s="22" t="s">
        <v>1727</v>
      </c>
      <c r="F187" s="12" t="s">
        <v>1728</v>
      </c>
      <c r="G187" s="12" t="s">
        <v>1690</v>
      </c>
      <c r="H187" s="12" t="s">
        <v>1691</v>
      </c>
      <c r="I187" s="23" t="s">
        <v>1729</v>
      </c>
      <c r="J187" s="12">
        <v>2009.0</v>
      </c>
      <c r="K187" s="23">
        <v>252.0</v>
      </c>
      <c r="L187" s="24">
        <v>1.0</v>
      </c>
      <c r="M187" s="25" t="s">
        <v>1730</v>
      </c>
      <c r="N187" s="26" t="str">
        <f t="shared" si="2"/>
        <v>327.2
MOH
d</v>
      </c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0">
        <v>187.0</v>
      </c>
      <c r="B188" s="12" t="s">
        <v>1731</v>
      </c>
      <c r="C188" s="12" t="s">
        <v>229</v>
      </c>
      <c r="D188" s="23" t="s">
        <v>1732</v>
      </c>
      <c r="E188" s="22" t="s">
        <v>1733</v>
      </c>
      <c r="F188" s="12" t="s">
        <v>1734</v>
      </c>
      <c r="G188" s="22"/>
      <c r="H188" s="12" t="s">
        <v>1735</v>
      </c>
      <c r="I188" s="23" t="s">
        <v>1736</v>
      </c>
      <c r="J188" s="12">
        <v>2015.0</v>
      </c>
      <c r="K188" s="23">
        <v>64.0</v>
      </c>
      <c r="L188" s="24">
        <v>3.0</v>
      </c>
      <c r="M188" s="12" t="s">
        <v>340</v>
      </c>
      <c r="N188" s="26" t="str">
        <f t="shared" si="2"/>
        <v>383
JIN
p</v>
      </c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0">
        <v>188.0</v>
      </c>
      <c r="B189" s="12" t="s">
        <v>1737</v>
      </c>
      <c r="C189" s="12" t="s">
        <v>229</v>
      </c>
      <c r="D189" s="23" t="s">
        <v>1738</v>
      </c>
      <c r="E189" s="22" t="s">
        <v>1739</v>
      </c>
      <c r="F189" s="12" t="s">
        <v>1740</v>
      </c>
      <c r="G189" s="12" t="s">
        <v>1741</v>
      </c>
      <c r="H189" s="12" t="s">
        <v>1742</v>
      </c>
      <c r="I189" s="23" t="s">
        <v>1743</v>
      </c>
      <c r="J189" s="12">
        <v>2014.0</v>
      </c>
      <c r="K189" s="23">
        <v>148.0</v>
      </c>
      <c r="L189" s="24">
        <v>1.0</v>
      </c>
      <c r="M189" s="25" t="s">
        <v>1744</v>
      </c>
      <c r="N189" s="26" t="str">
        <f t="shared" si="2"/>
        <v>321.8
MOH
d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0">
        <v>189.0</v>
      </c>
      <c r="B190" s="12" t="s">
        <v>1745</v>
      </c>
      <c r="C190" s="12" t="s">
        <v>229</v>
      </c>
      <c r="D190" s="23" t="s">
        <v>1746</v>
      </c>
      <c r="E190" s="22" t="s">
        <v>1747</v>
      </c>
      <c r="F190" s="12" t="s">
        <v>1748</v>
      </c>
      <c r="G190" s="12" t="s">
        <v>1749</v>
      </c>
      <c r="H190" s="12" t="s">
        <v>1750</v>
      </c>
      <c r="I190" s="23">
        <v>9.789797816698E12</v>
      </c>
      <c r="J190" s="12">
        <v>2000.0</v>
      </c>
      <c r="K190" s="23">
        <v>101.0</v>
      </c>
      <c r="L190" s="24">
        <v>1.0</v>
      </c>
      <c r="M190" s="25" t="s">
        <v>1751</v>
      </c>
      <c r="N190" s="26" t="str">
        <f t="shared" si="2"/>
        <v>303.6
PEG
h</v>
      </c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0">
        <v>190.0</v>
      </c>
      <c r="B191" s="12" t="s">
        <v>1752</v>
      </c>
      <c r="C191" s="12" t="s">
        <v>229</v>
      </c>
      <c r="D191" s="23">
        <v>370.0</v>
      </c>
      <c r="E191" s="12" t="s">
        <v>1639</v>
      </c>
      <c r="F191" s="12" t="s">
        <v>1753</v>
      </c>
      <c r="G191" s="12" t="s">
        <v>1472</v>
      </c>
      <c r="H191" s="12" t="s">
        <v>1754</v>
      </c>
      <c r="I191" s="23" t="s">
        <v>1755</v>
      </c>
      <c r="J191" s="12">
        <v>2007.0</v>
      </c>
      <c r="K191" s="23">
        <v>76.0</v>
      </c>
      <c r="L191" s="24">
        <v>1.0</v>
      </c>
      <c r="M191" s="25" t="s">
        <v>1756</v>
      </c>
      <c r="N191" s="26" t="str">
        <f t="shared" si="2"/>
        <v>370
ASE
m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0">
        <v>191.0</v>
      </c>
      <c r="B192" s="12" t="s">
        <v>1757</v>
      </c>
      <c r="C192" s="12" t="s">
        <v>229</v>
      </c>
      <c r="D192" s="23">
        <v>370.0</v>
      </c>
      <c r="E192" s="12" t="s">
        <v>1639</v>
      </c>
      <c r="F192" s="12" t="s">
        <v>1758</v>
      </c>
      <c r="G192" s="12" t="s">
        <v>1759</v>
      </c>
      <c r="H192" s="12" t="s">
        <v>807</v>
      </c>
      <c r="I192" s="23">
        <v>9.786028450058E12</v>
      </c>
      <c r="J192" s="12">
        <v>2013.0</v>
      </c>
      <c r="K192" s="23" t="s">
        <v>1760</v>
      </c>
      <c r="L192" s="24">
        <v>1.0</v>
      </c>
      <c r="M192" s="25" t="s">
        <v>1761</v>
      </c>
      <c r="N192" s="26" t="str">
        <f t="shared" si="2"/>
        <v>370
AMA
p</v>
      </c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0">
        <v>192.0</v>
      </c>
      <c r="B193" s="12" t="s">
        <v>1762</v>
      </c>
      <c r="C193" s="12" t="s">
        <v>229</v>
      </c>
      <c r="D193" s="35"/>
      <c r="E193" s="22" t="s">
        <v>1155</v>
      </c>
      <c r="F193" s="12" t="s">
        <v>1763</v>
      </c>
      <c r="G193" s="12" t="s">
        <v>1764</v>
      </c>
      <c r="H193" s="12" t="s">
        <v>1765</v>
      </c>
      <c r="I193" s="23" t="s">
        <v>1766</v>
      </c>
      <c r="J193" s="12">
        <v>2013.0</v>
      </c>
      <c r="K193" s="23">
        <v>132.0</v>
      </c>
      <c r="L193" s="24">
        <v>1.0</v>
      </c>
      <c r="M193" s="12" t="s">
        <v>340</v>
      </c>
      <c r="N193" s="26" t="str">
        <f t="shared" si="2"/>
        <v>
MAR
m</v>
      </c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0">
        <v>193.0</v>
      </c>
      <c r="B194" s="12" t="s">
        <v>1767</v>
      </c>
      <c r="C194" s="12" t="s">
        <v>229</v>
      </c>
      <c r="D194" s="23" t="s">
        <v>1768</v>
      </c>
      <c r="E194" s="22" t="s">
        <v>1769</v>
      </c>
      <c r="F194" s="12" t="s">
        <v>1770</v>
      </c>
      <c r="G194" s="12" t="s">
        <v>1771</v>
      </c>
      <c r="H194" s="12" t="s">
        <v>206</v>
      </c>
      <c r="I194" s="23" t="s">
        <v>1772</v>
      </c>
      <c r="J194" s="12">
        <v>2008.0</v>
      </c>
      <c r="K194" s="23" t="s">
        <v>1773</v>
      </c>
      <c r="L194" s="24">
        <v>1.0</v>
      </c>
      <c r="M194" s="25" t="s">
        <v>1774</v>
      </c>
      <c r="N194" s="26" t="str">
        <f t="shared" si="2"/>
        <v>362.293
DOD
b</v>
      </c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0">
        <v>194.0</v>
      </c>
      <c r="B195" s="12" t="s">
        <v>1775</v>
      </c>
      <c r="C195" s="12" t="s">
        <v>229</v>
      </c>
      <c r="D195" s="23" t="s">
        <v>1776</v>
      </c>
      <c r="E195" s="22" t="s">
        <v>1777</v>
      </c>
      <c r="F195" s="12" t="s">
        <v>1778</v>
      </c>
      <c r="G195" s="12" t="s">
        <v>1779</v>
      </c>
      <c r="H195" s="12" t="s">
        <v>1780</v>
      </c>
      <c r="I195" s="23" t="s">
        <v>1781</v>
      </c>
      <c r="J195" s="12">
        <v>2009.0</v>
      </c>
      <c r="K195" s="23" t="s">
        <v>1782</v>
      </c>
      <c r="L195" s="24">
        <v>1.0</v>
      </c>
      <c r="M195" s="12" t="s">
        <v>340</v>
      </c>
      <c r="N195" s="26" t="str">
        <f t="shared" si="2"/>
        <v>307.72
DIN
m</v>
      </c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0">
        <v>195.0</v>
      </c>
      <c r="B196" s="12" t="s">
        <v>1783</v>
      </c>
      <c r="C196" s="12" t="s">
        <v>229</v>
      </c>
      <c r="D196" s="23" t="s">
        <v>1657</v>
      </c>
      <c r="E196" s="22" t="s">
        <v>1784</v>
      </c>
      <c r="F196" s="12" t="s">
        <v>1785</v>
      </c>
      <c r="G196" s="12" t="s">
        <v>340</v>
      </c>
      <c r="H196" s="12" t="s">
        <v>1786</v>
      </c>
      <c r="I196" s="23" t="s">
        <v>1787</v>
      </c>
      <c r="J196" s="12">
        <v>2007.0</v>
      </c>
      <c r="K196" s="23" t="s">
        <v>1788</v>
      </c>
      <c r="L196" s="24">
        <v>9.0</v>
      </c>
      <c r="M196" s="25" t="s">
        <v>1789</v>
      </c>
      <c r="N196" s="26" t="str">
        <f t="shared" si="2"/>
        <v>371.3
ILZ
p</v>
      </c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0">
        <v>196.0</v>
      </c>
      <c r="B197" s="12" t="s">
        <v>1790</v>
      </c>
      <c r="C197" s="12" t="s">
        <v>229</v>
      </c>
      <c r="D197" s="35"/>
      <c r="E197" s="22" t="s">
        <v>1155</v>
      </c>
      <c r="F197" s="12" t="s">
        <v>1791</v>
      </c>
      <c r="G197" s="12" t="s">
        <v>1792</v>
      </c>
      <c r="H197" s="12" t="s">
        <v>588</v>
      </c>
      <c r="I197" s="23" t="s">
        <v>1793</v>
      </c>
      <c r="J197" s="12">
        <v>2012.0</v>
      </c>
      <c r="K197" s="23" t="s">
        <v>1794</v>
      </c>
      <c r="L197" s="24">
        <v>1.0</v>
      </c>
      <c r="M197" s="12" t="s">
        <v>340</v>
      </c>
      <c r="N197" s="26" t="str">
        <f t="shared" si="2"/>
        <v>
H.D
h</v>
      </c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0">
        <v>197.0</v>
      </c>
      <c r="B198" s="12" t="s">
        <v>1795</v>
      </c>
      <c r="C198" s="12" t="s">
        <v>229</v>
      </c>
      <c r="D198" s="23" t="s">
        <v>1696</v>
      </c>
      <c r="E198" s="22" t="s">
        <v>1796</v>
      </c>
      <c r="F198" s="12" t="s">
        <v>1797</v>
      </c>
      <c r="G198" s="22"/>
      <c r="H198" s="12" t="s">
        <v>1798</v>
      </c>
      <c r="I198" s="23" t="s">
        <v>1799</v>
      </c>
      <c r="J198" s="12">
        <v>2009.0</v>
      </c>
      <c r="K198" s="23" t="s">
        <v>1800</v>
      </c>
      <c r="L198" s="24">
        <v>1.0</v>
      </c>
      <c r="M198" s="25" t="s">
        <v>1801</v>
      </c>
      <c r="N198" s="26" t="str">
        <f t="shared" si="2"/>
        <v>300
Dr.
i</v>
      </c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0">
        <v>198.0</v>
      </c>
      <c r="B199" s="12" t="s">
        <v>1802</v>
      </c>
      <c r="C199" s="12" t="s">
        <v>229</v>
      </c>
      <c r="D199" s="23" t="s">
        <v>1696</v>
      </c>
      <c r="E199" s="22" t="s">
        <v>1796</v>
      </c>
      <c r="F199" s="12" t="s">
        <v>1797</v>
      </c>
      <c r="G199" s="22"/>
      <c r="H199" s="12" t="s">
        <v>1798</v>
      </c>
      <c r="I199" s="23" t="s">
        <v>1803</v>
      </c>
      <c r="J199" s="12">
        <v>2013.0</v>
      </c>
      <c r="K199" s="23" t="s">
        <v>1804</v>
      </c>
      <c r="L199" s="24">
        <v>3.0</v>
      </c>
      <c r="M199" s="25" t="s">
        <v>1805</v>
      </c>
      <c r="N199" s="26" t="str">
        <f t="shared" si="2"/>
        <v>300
Dr.
i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0">
        <v>199.0</v>
      </c>
      <c r="B200" s="12" t="s">
        <v>1806</v>
      </c>
      <c r="C200" s="12" t="s">
        <v>229</v>
      </c>
      <c r="D200" s="23" t="s">
        <v>1807</v>
      </c>
      <c r="E200" s="22" t="s">
        <v>1808</v>
      </c>
      <c r="F200" s="12" t="s">
        <v>1809</v>
      </c>
      <c r="G200" s="12" t="s">
        <v>1792</v>
      </c>
      <c r="H200" s="12" t="s">
        <v>588</v>
      </c>
      <c r="I200" s="23" t="s">
        <v>1810</v>
      </c>
      <c r="J200" s="12">
        <v>2011.0</v>
      </c>
      <c r="K200" s="23" t="s">
        <v>1811</v>
      </c>
      <c r="L200" s="24">
        <v>1.0</v>
      </c>
      <c r="M200" s="25" t="s">
        <v>1812</v>
      </c>
      <c r="N200" s="26" t="str">
        <f t="shared" si="2"/>
        <v>370.114
SAP
d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0">
        <v>200.0</v>
      </c>
      <c r="B201" s="12" t="s">
        <v>1813</v>
      </c>
      <c r="C201" s="12" t="s">
        <v>229</v>
      </c>
      <c r="D201" s="23">
        <v>320.0</v>
      </c>
      <c r="E201" s="22" t="s">
        <v>1814</v>
      </c>
      <c r="F201" s="12" t="s">
        <v>1815</v>
      </c>
      <c r="G201" s="12" t="s">
        <v>1816</v>
      </c>
      <c r="H201" s="12" t="s">
        <v>1817</v>
      </c>
      <c r="I201" s="23" t="s">
        <v>1818</v>
      </c>
      <c r="J201" s="12">
        <v>2015.0</v>
      </c>
      <c r="K201" s="23">
        <v>66.0</v>
      </c>
      <c r="L201" s="24">
        <v>2.0</v>
      </c>
      <c r="M201" s="25" t="s">
        <v>1819</v>
      </c>
      <c r="N201" s="26" t="str">
        <f t="shared" si="2"/>
        <v>320
DOD
i</v>
      </c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0">
        <v>201.0</v>
      </c>
      <c r="B202" s="12" t="s">
        <v>1820</v>
      </c>
      <c r="C202" s="12" t="s">
        <v>229</v>
      </c>
      <c r="D202" s="23" t="s">
        <v>1821</v>
      </c>
      <c r="E202" s="12" t="s">
        <v>1822</v>
      </c>
      <c r="F202" s="12" t="s">
        <v>1823</v>
      </c>
      <c r="G202" s="12" t="s">
        <v>1824</v>
      </c>
      <c r="H202" s="12" t="s">
        <v>1825</v>
      </c>
      <c r="I202" s="23" t="s">
        <v>1826</v>
      </c>
      <c r="J202" s="12">
        <v>2010.0</v>
      </c>
      <c r="K202" s="23">
        <v>63.0</v>
      </c>
      <c r="L202" s="24">
        <v>2.0</v>
      </c>
      <c r="M202" s="25" t="s">
        <v>1827</v>
      </c>
      <c r="N202" s="26" t="str">
        <f t="shared" si="2"/>
        <v>306.2
H. 
m</v>
      </c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0">
        <v>202.0</v>
      </c>
      <c r="B203" s="12" t="s">
        <v>1828</v>
      </c>
      <c r="C203" s="12" t="s">
        <v>229</v>
      </c>
      <c r="D203" s="23" t="s">
        <v>1829</v>
      </c>
      <c r="E203" s="22" t="s">
        <v>1830</v>
      </c>
      <c r="F203" s="12" t="s">
        <v>1831</v>
      </c>
      <c r="G203" s="12" t="s">
        <v>107</v>
      </c>
      <c r="H203" s="12" t="s">
        <v>174</v>
      </c>
      <c r="I203" s="23" t="s">
        <v>1832</v>
      </c>
      <c r="J203" s="12">
        <v>2015.0</v>
      </c>
      <c r="K203" s="23">
        <v>80.0</v>
      </c>
      <c r="L203" s="24">
        <v>3.0</v>
      </c>
      <c r="M203" s="25" t="s">
        <v>1833</v>
      </c>
      <c r="N203" s="26" t="str">
        <f t="shared" si="2"/>
        <v>306.4
ANA
j</v>
      </c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0">
        <v>203.0</v>
      </c>
      <c r="B204" s="12" t="s">
        <v>1834</v>
      </c>
      <c r="C204" s="12" t="s">
        <v>229</v>
      </c>
      <c r="D204" s="23" t="s">
        <v>1835</v>
      </c>
      <c r="E204" s="22" t="s">
        <v>1639</v>
      </c>
      <c r="F204" s="12" t="s">
        <v>1836</v>
      </c>
      <c r="G204" s="12" t="s">
        <v>1837</v>
      </c>
      <c r="H204" s="12" t="s">
        <v>1838</v>
      </c>
      <c r="I204" s="23" t="s">
        <v>1839</v>
      </c>
      <c r="J204" s="12">
        <v>2009.0</v>
      </c>
      <c r="K204" s="23">
        <v>113.0</v>
      </c>
      <c r="L204" s="24">
        <v>2.0</v>
      </c>
      <c r="M204" s="25" t="s">
        <v>1840</v>
      </c>
      <c r="N204" s="26" t="str">
        <f t="shared" si="2"/>
        <v>370
KOS
k</v>
      </c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0">
        <v>204.0</v>
      </c>
      <c r="B205" s="12" t="s">
        <v>1841</v>
      </c>
      <c r="C205" s="12" t="s">
        <v>229</v>
      </c>
      <c r="D205" s="23" t="s">
        <v>1842</v>
      </c>
      <c r="E205" s="22" t="s">
        <v>1843</v>
      </c>
      <c r="F205" s="12" t="s">
        <v>107</v>
      </c>
      <c r="G205" s="12" t="s">
        <v>1844</v>
      </c>
      <c r="H205" s="12" t="s">
        <v>534</v>
      </c>
      <c r="I205" s="23" t="s">
        <v>1845</v>
      </c>
      <c r="J205" s="12">
        <v>2016.0</v>
      </c>
      <c r="K205" s="23">
        <v>90.0</v>
      </c>
      <c r="L205" s="24">
        <v>4.0</v>
      </c>
      <c r="M205" s="25" t="s">
        <v>1846</v>
      </c>
      <c r="N205" s="26" t="str">
        <f t="shared" si="2"/>
        <v>307.12
EDI
p</v>
      </c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0">
        <v>205.0</v>
      </c>
      <c r="B206" s="12" t="s">
        <v>1847</v>
      </c>
      <c r="C206" s="12" t="s">
        <v>229</v>
      </c>
      <c r="D206" s="23" t="s">
        <v>1848</v>
      </c>
      <c r="E206" s="22" t="s">
        <v>1849</v>
      </c>
      <c r="F206" s="12" t="s">
        <v>1850</v>
      </c>
      <c r="G206" s="12" t="s">
        <v>1851</v>
      </c>
      <c r="H206" s="12" t="s">
        <v>1852</v>
      </c>
      <c r="I206" s="23" t="s">
        <v>1853</v>
      </c>
      <c r="J206" s="12">
        <v>2010.0</v>
      </c>
      <c r="K206" s="23">
        <v>122.0</v>
      </c>
      <c r="L206" s="24">
        <v>1.0</v>
      </c>
      <c r="M206" s="25" t="s">
        <v>1854</v>
      </c>
      <c r="N206" s="26" t="str">
        <f t="shared" si="2"/>
        <v>302.2
Dr.
m</v>
      </c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0">
        <v>206.0</v>
      </c>
      <c r="B207" s="12" t="s">
        <v>1855</v>
      </c>
      <c r="C207" s="12" t="s">
        <v>229</v>
      </c>
      <c r="D207" s="23" t="s">
        <v>1856</v>
      </c>
      <c r="E207" s="12" t="s">
        <v>1857</v>
      </c>
      <c r="F207" s="12" t="s">
        <v>1858</v>
      </c>
      <c r="G207" s="12"/>
      <c r="H207" s="12" t="s">
        <v>1859</v>
      </c>
      <c r="I207" s="23"/>
      <c r="J207" s="12">
        <v>2000.0</v>
      </c>
      <c r="K207" s="23">
        <v>56.0</v>
      </c>
      <c r="L207" s="24">
        <v>1.0</v>
      </c>
      <c r="M207" s="25" t="s">
        <v>1860</v>
      </c>
      <c r="N207" s="26" t="str">
        <f t="shared" si="2"/>
        <v>398.2
AWI
n</v>
      </c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0">
        <v>207.0</v>
      </c>
      <c r="B208" s="12" t="s">
        <v>1861</v>
      </c>
      <c r="C208" s="12" t="s">
        <v>229</v>
      </c>
      <c r="D208" s="23" t="s">
        <v>1862</v>
      </c>
      <c r="E208" s="22" t="s">
        <v>1863</v>
      </c>
      <c r="F208" s="12" t="s">
        <v>1864</v>
      </c>
      <c r="G208" s="12" t="s">
        <v>1865</v>
      </c>
      <c r="H208" s="12" t="s">
        <v>1679</v>
      </c>
      <c r="I208" s="23" t="s">
        <v>1866</v>
      </c>
      <c r="J208" s="12">
        <v>2009.0</v>
      </c>
      <c r="K208" s="23">
        <v>57.0</v>
      </c>
      <c r="L208" s="24">
        <v>2.0</v>
      </c>
      <c r="M208" s="25" t="s">
        <v>1867</v>
      </c>
      <c r="N208" s="26" t="str">
        <f t="shared" si="2"/>
        <v>363.73
HAD
p</v>
      </c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0">
        <v>208.0</v>
      </c>
      <c r="B209" s="12" t="s">
        <v>1868</v>
      </c>
      <c r="C209" s="12" t="s">
        <v>229</v>
      </c>
      <c r="D209" s="23" t="s">
        <v>1869</v>
      </c>
      <c r="E209" s="22" t="s">
        <v>1870</v>
      </c>
      <c r="F209" s="12" t="s">
        <v>1871</v>
      </c>
      <c r="G209" s="22"/>
      <c r="H209" s="12" t="s">
        <v>1872</v>
      </c>
      <c r="I209" s="35"/>
      <c r="J209" s="12">
        <v>2017.0</v>
      </c>
      <c r="K209" s="23">
        <v>238.0</v>
      </c>
      <c r="L209" s="24">
        <v>1.0</v>
      </c>
      <c r="M209" s="12" t="s">
        <v>340</v>
      </c>
      <c r="N209" s="26" t="str">
        <f t="shared" si="2"/>
        <v>371.102
Dr.
p</v>
      </c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0">
        <v>209.0</v>
      </c>
      <c r="B210" s="12" t="s">
        <v>1873</v>
      </c>
      <c r="C210" s="12" t="s">
        <v>229</v>
      </c>
      <c r="D210" s="23" t="s">
        <v>1657</v>
      </c>
      <c r="E210" s="22" t="s">
        <v>1784</v>
      </c>
      <c r="F210" s="12" t="s">
        <v>1874</v>
      </c>
      <c r="G210" s="22"/>
      <c r="H210" s="12" t="s">
        <v>1875</v>
      </c>
      <c r="I210" s="35"/>
      <c r="J210" s="12">
        <v>2017.0</v>
      </c>
      <c r="K210" s="23">
        <v>106.0</v>
      </c>
      <c r="L210" s="24">
        <v>8.0</v>
      </c>
      <c r="M210" s="12" t="s">
        <v>340</v>
      </c>
      <c r="N210" s="26" t="str">
        <f t="shared" si="2"/>
        <v>371.3
ISM
p</v>
      </c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0">
        <v>210.0</v>
      </c>
      <c r="B211" s="12" t="s">
        <v>1876</v>
      </c>
      <c r="C211" s="12" t="s">
        <v>229</v>
      </c>
      <c r="D211" s="23" t="s">
        <v>1869</v>
      </c>
      <c r="E211" s="22" t="s">
        <v>1870</v>
      </c>
      <c r="F211" s="12" t="s">
        <v>1877</v>
      </c>
      <c r="G211" s="12" t="s">
        <v>1878</v>
      </c>
      <c r="H211" s="12" t="s">
        <v>1879</v>
      </c>
      <c r="I211" s="23" t="s">
        <v>1880</v>
      </c>
      <c r="J211" s="12">
        <v>2009.0</v>
      </c>
      <c r="K211" s="23">
        <v>90.0</v>
      </c>
      <c r="L211" s="24">
        <v>1.0</v>
      </c>
      <c r="M211" s="12" t="s">
        <v>340</v>
      </c>
      <c r="N211" s="26" t="str">
        <f t="shared" si="2"/>
        <v>371.102
H. 
p</v>
      </c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0">
        <v>211.0</v>
      </c>
      <c r="B212" s="12" t="s">
        <v>1881</v>
      </c>
      <c r="C212" s="12" t="s">
        <v>229</v>
      </c>
      <c r="D212" s="35"/>
      <c r="E212" s="22" t="s">
        <v>1155</v>
      </c>
      <c r="F212" s="12" t="s">
        <v>1877</v>
      </c>
      <c r="G212" s="12" t="s">
        <v>733</v>
      </c>
      <c r="H212" s="12" t="s">
        <v>1679</v>
      </c>
      <c r="I212" s="23" t="s">
        <v>1882</v>
      </c>
      <c r="J212" s="12">
        <v>2010.0</v>
      </c>
      <c r="K212" s="23">
        <v>88.0</v>
      </c>
      <c r="L212" s="24">
        <v>1.0</v>
      </c>
      <c r="M212" s="12" t="s">
        <v>340</v>
      </c>
      <c r="N212" s="26" t="str">
        <f t="shared" si="2"/>
        <v>
H. 
p</v>
      </c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0">
        <v>212.0</v>
      </c>
      <c r="B213" s="12" t="s">
        <v>1883</v>
      </c>
      <c r="C213" s="12" t="s">
        <v>229</v>
      </c>
      <c r="D213" s="23" t="s">
        <v>1884</v>
      </c>
      <c r="E213" s="22" t="s">
        <v>1885</v>
      </c>
      <c r="F213" s="12" t="s">
        <v>1886</v>
      </c>
      <c r="G213" s="12" t="s">
        <v>1887</v>
      </c>
      <c r="H213" s="12" t="s">
        <v>1888</v>
      </c>
      <c r="I213" s="23" t="s">
        <v>1889</v>
      </c>
      <c r="J213" s="12">
        <v>2015.0</v>
      </c>
      <c r="K213" s="23">
        <v>64.0</v>
      </c>
      <c r="L213" s="24">
        <v>2.0</v>
      </c>
      <c r="M213" s="12" t="s">
        <v>340</v>
      </c>
      <c r="N213" s="26" t="str">
        <f t="shared" si="2"/>
        <v>394.4
CHO
u</v>
      </c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0">
        <v>213.0</v>
      </c>
      <c r="B214" s="12" t="s">
        <v>1890</v>
      </c>
      <c r="C214" s="12" t="s">
        <v>229</v>
      </c>
      <c r="D214" s="23" t="s">
        <v>1657</v>
      </c>
      <c r="E214" s="12" t="s">
        <v>1891</v>
      </c>
      <c r="F214" s="12" t="s">
        <v>1892</v>
      </c>
      <c r="G214" s="12" t="s">
        <v>1893</v>
      </c>
      <c r="H214" s="12" t="s">
        <v>1894</v>
      </c>
      <c r="I214" s="23" t="s">
        <v>1895</v>
      </c>
      <c r="J214" s="12">
        <v>2008.0</v>
      </c>
      <c r="K214" s="23">
        <v>128.0</v>
      </c>
      <c r="L214" s="24">
        <v>2.0</v>
      </c>
      <c r="M214" s="25" t="s">
        <v>1896</v>
      </c>
      <c r="N214" s="26" t="str">
        <f t="shared" si="2"/>
        <v>371.3
ELI
g</v>
      </c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0">
        <v>214.0</v>
      </c>
      <c r="B215" s="12" t="s">
        <v>1897</v>
      </c>
      <c r="C215" s="12" t="s">
        <v>229</v>
      </c>
      <c r="D215" s="23" t="s">
        <v>1856</v>
      </c>
      <c r="E215" s="22" t="s">
        <v>1898</v>
      </c>
      <c r="F215" s="12" t="s">
        <v>1899</v>
      </c>
      <c r="G215" s="22"/>
      <c r="H215" s="12" t="s">
        <v>1900</v>
      </c>
      <c r="I215" s="35"/>
      <c r="J215" s="12">
        <v>2014.0</v>
      </c>
      <c r="K215" s="23">
        <v>56.0</v>
      </c>
      <c r="L215" s="24">
        <v>1.0</v>
      </c>
      <c r="M215" s="38" t="s">
        <v>1901</v>
      </c>
      <c r="N215" s="26" t="str">
        <f t="shared" si="2"/>
        <v>398.2
NOO
h</v>
      </c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0">
        <v>215.0</v>
      </c>
      <c r="B216" s="12" t="s">
        <v>1902</v>
      </c>
      <c r="C216" s="12" t="s">
        <v>229</v>
      </c>
      <c r="D216" s="35"/>
      <c r="E216" s="22" t="s">
        <v>1155</v>
      </c>
      <c r="F216" s="12" t="s">
        <v>1903</v>
      </c>
      <c r="G216" s="22"/>
      <c r="H216" s="22"/>
      <c r="I216" s="35"/>
      <c r="J216" s="22"/>
      <c r="K216" s="35"/>
      <c r="L216" s="24">
        <v>1.0</v>
      </c>
      <c r="M216" s="12" t="s">
        <v>340</v>
      </c>
      <c r="N216" s="26" t="str">
        <f t="shared" si="2"/>
        <v>
WAR
m</v>
      </c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0">
        <v>216.0</v>
      </c>
      <c r="B217" s="12" t="s">
        <v>1904</v>
      </c>
      <c r="C217" s="12" t="s">
        <v>229</v>
      </c>
      <c r="D217" s="23" t="s">
        <v>1905</v>
      </c>
      <c r="E217" s="22" t="s">
        <v>1906</v>
      </c>
      <c r="F217" s="12" t="s">
        <v>1907</v>
      </c>
      <c r="G217" s="12" t="s">
        <v>868</v>
      </c>
      <c r="H217" s="12" t="s">
        <v>1005</v>
      </c>
      <c r="I217" s="23">
        <v>9.789790560635E12</v>
      </c>
      <c r="J217" s="12">
        <v>2011.0</v>
      </c>
      <c r="K217" s="23">
        <v>122.0</v>
      </c>
      <c r="L217" s="24">
        <v>1.0</v>
      </c>
      <c r="M217" s="25" t="s">
        <v>1908</v>
      </c>
      <c r="N217" s="26" t="str">
        <f t="shared" si="2"/>
        <v>303.625
JO 
t</v>
      </c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0">
        <v>217.0</v>
      </c>
      <c r="B218" s="12" t="s">
        <v>1909</v>
      </c>
      <c r="C218" s="12" t="s">
        <v>229</v>
      </c>
      <c r="D218" s="23" t="s">
        <v>1910</v>
      </c>
      <c r="E218" s="22" t="s">
        <v>1769</v>
      </c>
      <c r="F218" s="12" t="s">
        <v>1911</v>
      </c>
      <c r="G218" s="22"/>
      <c r="H218" s="12" t="s">
        <v>1912</v>
      </c>
      <c r="I218" s="23" t="s">
        <v>1913</v>
      </c>
      <c r="J218" s="12">
        <v>2015.0</v>
      </c>
      <c r="K218" s="23">
        <v>72.0</v>
      </c>
      <c r="L218" s="24">
        <v>2.0</v>
      </c>
      <c r="M218" s="25" t="s">
        <v>1914</v>
      </c>
      <c r="N218" s="26" t="str">
        <f t="shared" si="2"/>
        <v>362.29
UMI
u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0">
        <v>218.0</v>
      </c>
      <c r="B219" s="12" t="s">
        <v>1915</v>
      </c>
      <c r="C219" s="12" t="s">
        <v>229</v>
      </c>
      <c r="D219" s="35"/>
      <c r="E219" s="22" t="s">
        <v>1155</v>
      </c>
      <c r="F219" s="12" t="s">
        <v>1916</v>
      </c>
      <c r="G219" s="12" t="s">
        <v>1917</v>
      </c>
      <c r="H219" s="12" t="s">
        <v>1918</v>
      </c>
      <c r="I219" s="35"/>
      <c r="J219" s="12">
        <v>2010.0</v>
      </c>
      <c r="K219" s="23">
        <v>64.0</v>
      </c>
      <c r="L219" s="24">
        <v>1.0</v>
      </c>
      <c r="M219" s="12" t="s">
        <v>340</v>
      </c>
      <c r="N219" s="26" t="str">
        <f t="shared" si="2"/>
        <v>
SEK
s</v>
      </c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0">
        <v>219.0</v>
      </c>
      <c r="B220" s="12" t="s">
        <v>1919</v>
      </c>
      <c r="C220" s="12" t="s">
        <v>229</v>
      </c>
      <c r="D220" s="23" t="s">
        <v>1920</v>
      </c>
      <c r="E220" s="22" t="s">
        <v>1921</v>
      </c>
      <c r="F220" s="12" t="s">
        <v>107</v>
      </c>
      <c r="G220" s="12" t="s">
        <v>876</v>
      </c>
      <c r="H220" s="12" t="s">
        <v>877</v>
      </c>
      <c r="I220" s="35"/>
      <c r="J220" s="12">
        <v>2009.0</v>
      </c>
      <c r="K220" s="23">
        <v>60.0</v>
      </c>
      <c r="L220" s="24">
        <v>1.0</v>
      </c>
      <c r="M220" s="25" t="s">
        <v>1922</v>
      </c>
      <c r="N220" s="26" t="str">
        <f t="shared" si="2"/>
        <v>363.73874
EDI
a</v>
      </c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0">
        <v>220.0</v>
      </c>
      <c r="B221" s="12" t="s">
        <v>1923</v>
      </c>
      <c r="C221" s="12" t="s">
        <v>229</v>
      </c>
      <c r="D221" s="23" t="s">
        <v>1924</v>
      </c>
      <c r="E221" s="22" t="s">
        <v>1925</v>
      </c>
      <c r="F221" s="12" t="s">
        <v>1926</v>
      </c>
      <c r="G221" s="12" t="s">
        <v>1117</v>
      </c>
      <c r="H221" s="12" t="s">
        <v>1927</v>
      </c>
      <c r="I221" s="35"/>
      <c r="J221" s="12">
        <v>2014.0</v>
      </c>
      <c r="K221" s="23">
        <v>52.0</v>
      </c>
      <c r="L221" s="24">
        <v>1.0</v>
      </c>
      <c r="M221" s="12" t="s">
        <v>340</v>
      </c>
      <c r="N221" s="26" t="str">
        <f t="shared" si="2"/>
        <v>392
YOD
a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0">
        <v>221.0</v>
      </c>
      <c r="B222" s="12" t="s">
        <v>1928</v>
      </c>
      <c r="C222" s="12" t="s">
        <v>229</v>
      </c>
      <c r="D222" s="23" t="s">
        <v>1924</v>
      </c>
      <c r="E222" s="22" t="s">
        <v>1925</v>
      </c>
      <c r="F222" s="12" t="s">
        <v>1929</v>
      </c>
      <c r="G222" s="12" t="s">
        <v>1930</v>
      </c>
      <c r="H222" s="12" t="s">
        <v>1927</v>
      </c>
      <c r="I222" s="35"/>
      <c r="J222" s="12">
        <v>2014.0</v>
      </c>
      <c r="K222" s="23">
        <v>52.0</v>
      </c>
      <c r="L222" s="24">
        <v>1.0</v>
      </c>
      <c r="M222" s="12" t="s">
        <v>340</v>
      </c>
      <c r="N222" s="26" t="str">
        <f t="shared" si="2"/>
        <v>392
DEW
a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0">
        <v>222.0</v>
      </c>
      <c r="B223" s="12" t="s">
        <v>1931</v>
      </c>
      <c r="C223" s="12" t="s">
        <v>229</v>
      </c>
      <c r="D223" s="23" t="s">
        <v>1768</v>
      </c>
      <c r="E223" s="22" t="s">
        <v>1769</v>
      </c>
      <c r="F223" s="12" t="s">
        <v>1932</v>
      </c>
      <c r="G223" s="12" t="s">
        <v>1933</v>
      </c>
      <c r="H223" s="12" t="s">
        <v>1934</v>
      </c>
      <c r="I223" s="23" t="s">
        <v>1935</v>
      </c>
      <c r="J223" s="12">
        <v>2015.0</v>
      </c>
      <c r="K223" s="23">
        <v>96.0</v>
      </c>
      <c r="L223" s="24">
        <v>2.0</v>
      </c>
      <c r="M223" s="25" t="s">
        <v>1936</v>
      </c>
      <c r="N223" s="26" t="str">
        <f t="shared" si="2"/>
        <v>362.293
BER
p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0">
        <v>223.0</v>
      </c>
      <c r="B224" s="12" t="s">
        <v>1937</v>
      </c>
      <c r="C224" s="12" t="s">
        <v>262</v>
      </c>
      <c r="D224" s="23" t="s">
        <v>1938</v>
      </c>
      <c r="E224" s="12" t="s">
        <v>1939</v>
      </c>
      <c r="F224" s="12" t="s">
        <v>1940</v>
      </c>
      <c r="G224" s="12" t="s">
        <v>1941</v>
      </c>
      <c r="H224" s="12" t="s">
        <v>174</v>
      </c>
      <c r="I224" s="23" t="s">
        <v>1942</v>
      </c>
      <c r="J224" s="12">
        <v>2015.0</v>
      </c>
      <c r="K224" s="23">
        <v>78.0</v>
      </c>
      <c r="L224" s="24">
        <v>3.0</v>
      </c>
      <c r="M224" s="25" t="s">
        <v>1943</v>
      </c>
      <c r="N224" s="26" t="str">
        <f t="shared" si="2"/>
        <v>959.8
ADD
p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0">
        <v>224.0</v>
      </c>
      <c r="B225" s="12" t="s">
        <v>1944</v>
      </c>
      <c r="C225" s="12" t="s">
        <v>229</v>
      </c>
      <c r="D225" s="23" t="s">
        <v>1945</v>
      </c>
      <c r="E225" s="22" t="s">
        <v>1946</v>
      </c>
      <c r="F225" s="12" t="s">
        <v>1947</v>
      </c>
      <c r="G225" s="12" t="s">
        <v>1948</v>
      </c>
      <c r="H225" s="12" t="s">
        <v>1949</v>
      </c>
      <c r="I225" s="23" t="s">
        <v>1950</v>
      </c>
      <c r="J225" s="12">
        <v>2015.0</v>
      </c>
      <c r="K225" s="23">
        <v>60.0</v>
      </c>
      <c r="L225" s="24">
        <v>2.0</v>
      </c>
      <c r="M225" s="25" t="s">
        <v>1951</v>
      </c>
      <c r="N225" s="26" t="str">
        <f t="shared" si="2"/>
        <v>332.024
IMA
m</v>
      </c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0">
        <v>225.0</v>
      </c>
      <c r="B226" s="12" t="s">
        <v>1952</v>
      </c>
      <c r="C226" s="12" t="s">
        <v>229</v>
      </c>
      <c r="D226" s="23" t="s">
        <v>1924</v>
      </c>
      <c r="E226" s="22" t="s">
        <v>1925</v>
      </c>
      <c r="F226" s="12" t="s">
        <v>1953</v>
      </c>
      <c r="G226" s="12" t="s">
        <v>1954</v>
      </c>
      <c r="H226" s="12" t="s">
        <v>1955</v>
      </c>
      <c r="I226" s="23" t="s">
        <v>1956</v>
      </c>
      <c r="J226" s="12">
        <v>2015.0</v>
      </c>
      <c r="K226" s="23">
        <v>64.0</v>
      </c>
      <c r="L226" s="24">
        <v>2.0</v>
      </c>
      <c r="M226" s="12" t="s">
        <v>340</v>
      </c>
      <c r="N226" s="26" t="str">
        <f t="shared" si="2"/>
        <v>392
SUR
t</v>
      </c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0">
        <v>226.0</v>
      </c>
      <c r="B227" s="12" t="s">
        <v>1957</v>
      </c>
      <c r="C227" s="12" t="s">
        <v>229</v>
      </c>
      <c r="D227" s="23" t="s">
        <v>1924</v>
      </c>
      <c r="E227" s="22" t="s">
        <v>1925</v>
      </c>
      <c r="F227" s="12" t="s">
        <v>1958</v>
      </c>
      <c r="G227" s="12" t="s">
        <v>1959</v>
      </c>
      <c r="H227" s="12" t="s">
        <v>1955</v>
      </c>
      <c r="I227" s="23" t="s">
        <v>1960</v>
      </c>
      <c r="J227" s="12">
        <v>2015.0</v>
      </c>
      <c r="K227" s="23">
        <v>64.0</v>
      </c>
      <c r="L227" s="24">
        <v>6.0</v>
      </c>
      <c r="M227" s="12" t="s">
        <v>340</v>
      </c>
      <c r="N227" s="26" t="str">
        <f t="shared" si="2"/>
        <v>392
SOE
t</v>
      </c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0">
        <v>227.0</v>
      </c>
      <c r="B228" s="12" t="s">
        <v>1961</v>
      </c>
      <c r="C228" s="12" t="s">
        <v>229</v>
      </c>
      <c r="D228" s="23" t="s">
        <v>1962</v>
      </c>
      <c r="E228" s="22" t="s">
        <v>1963</v>
      </c>
      <c r="F228" s="12" t="s">
        <v>1964</v>
      </c>
      <c r="G228" s="22"/>
      <c r="H228" s="12" t="s">
        <v>1965</v>
      </c>
      <c r="I228" s="23" t="s">
        <v>1966</v>
      </c>
      <c r="J228" s="12">
        <v>2013.0</v>
      </c>
      <c r="K228" s="23" t="s">
        <v>1967</v>
      </c>
      <c r="L228" s="24">
        <v>1.0</v>
      </c>
      <c r="M228" s="25" t="s">
        <v>1968</v>
      </c>
      <c r="N228" s="26" t="str">
        <f t="shared" si="2"/>
        <v>370.6
IR.
a</v>
      </c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0">
        <v>228.0</v>
      </c>
      <c r="B229" s="12" t="s">
        <v>1969</v>
      </c>
      <c r="C229" s="12" t="s">
        <v>229</v>
      </c>
      <c r="D229" s="35"/>
      <c r="E229" s="22" t="s">
        <v>1155</v>
      </c>
      <c r="F229" s="12" t="s">
        <v>1970</v>
      </c>
      <c r="G229" s="12" t="s">
        <v>1970</v>
      </c>
      <c r="H229" s="12" t="s">
        <v>1970</v>
      </c>
      <c r="I229" s="35"/>
      <c r="J229" s="12">
        <v>2016.0</v>
      </c>
      <c r="K229" s="23">
        <v>55.0</v>
      </c>
      <c r="L229" s="24">
        <v>1.0</v>
      </c>
      <c r="M229" s="12" t="s">
        <v>340</v>
      </c>
      <c r="N229" s="26" t="str">
        <f t="shared" si="2"/>
        <v>
DIN
m</v>
      </c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0">
        <v>229.0</v>
      </c>
      <c r="B230" s="12" t="s">
        <v>1971</v>
      </c>
      <c r="C230" s="12" t="s">
        <v>229</v>
      </c>
      <c r="D230" s="23" t="s">
        <v>1869</v>
      </c>
      <c r="E230" s="22" t="s">
        <v>1870</v>
      </c>
      <c r="F230" s="12" t="s">
        <v>1892</v>
      </c>
      <c r="G230" s="12" t="s">
        <v>1972</v>
      </c>
      <c r="H230" s="12" t="s">
        <v>1973</v>
      </c>
      <c r="I230" s="23" t="s">
        <v>1974</v>
      </c>
      <c r="J230" s="12">
        <v>2008.0</v>
      </c>
      <c r="K230" s="23">
        <v>128.0</v>
      </c>
      <c r="L230" s="24">
        <v>1.0</v>
      </c>
      <c r="M230" s="25" t="s">
        <v>1975</v>
      </c>
      <c r="N230" s="26" t="str">
        <f t="shared" si="2"/>
        <v>371.102
ELI
b</v>
      </c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0">
        <v>230.0</v>
      </c>
      <c r="B231" s="12" t="s">
        <v>1976</v>
      </c>
      <c r="C231" s="12" t="s">
        <v>229</v>
      </c>
      <c r="D231" s="23" t="s">
        <v>1977</v>
      </c>
      <c r="E231" s="22" t="s">
        <v>1978</v>
      </c>
      <c r="F231" s="12" t="s">
        <v>1979</v>
      </c>
      <c r="G231" s="12" t="s">
        <v>1980</v>
      </c>
      <c r="H231" s="12" t="s">
        <v>1981</v>
      </c>
      <c r="I231" s="23" t="s">
        <v>1982</v>
      </c>
      <c r="J231" s="12">
        <v>2008.0</v>
      </c>
      <c r="K231" s="23" t="s">
        <v>1983</v>
      </c>
      <c r="L231" s="24">
        <v>1.0</v>
      </c>
      <c r="M231" s="25" t="s">
        <v>1984</v>
      </c>
      <c r="N231" s="26" t="str">
        <f t="shared" si="2"/>
        <v>371
PRO
a</v>
      </c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0">
        <v>231.0</v>
      </c>
      <c r="B232" s="12" t="s">
        <v>1985</v>
      </c>
      <c r="C232" s="12" t="s">
        <v>229</v>
      </c>
      <c r="D232" s="23" t="s">
        <v>1657</v>
      </c>
      <c r="E232" s="22" t="s">
        <v>1784</v>
      </c>
      <c r="F232" s="12" t="s">
        <v>1986</v>
      </c>
      <c r="G232" s="12" t="s">
        <v>1987</v>
      </c>
      <c r="H232" s="12" t="s">
        <v>1988</v>
      </c>
      <c r="I232" s="23" t="s">
        <v>1989</v>
      </c>
      <c r="J232" s="12">
        <v>2014.0</v>
      </c>
      <c r="K232" s="23">
        <v>300.0</v>
      </c>
      <c r="L232" s="24">
        <v>1.0</v>
      </c>
      <c r="M232" s="25" t="s">
        <v>1990</v>
      </c>
      <c r="N232" s="26" t="str">
        <f t="shared" si="2"/>
        <v>371.3
ANN
s</v>
      </c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0">
        <v>232.0</v>
      </c>
      <c r="B233" s="12" t="s">
        <v>1991</v>
      </c>
      <c r="C233" s="12" t="s">
        <v>229</v>
      </c>
      <c r="D233" s="23" t="s">
        <v>1992</v>
      </c>
      <c r="E233" s="22" t="s">
        <v>1993</v>
      </c>
      <c r="F233" s="12" t="s">
        <v>1994</v>
      </c>
      <c r="G233" s="12" t="s">
        <v>1995</v>
      </c>
      <c r="H233" s="12" t="s">
        <v>653</v>
      </c>
      <c r="I233" s="23" t="s">
        <v>1996</v>
      </c>
      <c r="J233" s="12">
        <v>2017.0</v>
      </c>
      <c r="K233" s="23">
        <v>282.0</v>
      </c>
      <c r="L233" s="24">
        <v>3.0</v>
      </c>
      <c r="M233" s="25" t="s">
        <v>1997</v>
      </c>
      <c r="N233" s="26" t="str">
        <f t="shared" si="2"/>
        <v>370.15
Pro
s</v>
      </c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0">
        <v>233.0</v>
      </c>
      <c r="B234" s="12" t="s">
        <v>1998</v>
      </c>
      <c r="C234" s="12" t="s">
        <v>229</v>
      </c>
      <c r="D234" s="23">
        <v>370.0</v>
      </c>
      <c r="E234" s="12" t="s">
        <v>1639</v>
      </c>
      <c r="F234" s="12" t="s">
        <v>1999</v>
      </c>
      <c r="G234" s="12" t="s">
        <v>2000</v>
      </c>
      <c r="H234" s="12" t="s">
        <v>2001</v>
      </c>
      <c r="I234" s="23" t="s">
        <v>2002</v>
      </c>
      <c r="J234" s="12">
        <v>2013.0</v>
      </c>
      <c r="K234" s="23">
        <v>220.0</v>
      </c>
      <c r="L234" s="24">
        <v>4.0</v>
      </c>
      <c r="M234" s="25" t="s">
        <v>2003</v>
      </c>
      <c r="N234" s="26" t="str">
        <f t="shared" si="2"/>
        <v>370
LAU
s</v>
      </c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0">
        <v>234.0</v>
      </c>
      <c r="B235" s="12" t="s">
        <v>2004</v>
      </c>
      <c r="C235" s="12" t="s">
        <v>229</v>
      </c>
      <c r="D235" s="23" t="s">
        <v>1657</v>
      </c>
      <c r="E235" s="22" t="s">
        <v>1784</v>
      </c>
      <c r="F235" s="12" t="s">
        <v>2005</v>
      </c>
      <c r="G235" s="12" t="s">
        <v>2006</v>
      </c>
      <c r="H235" s="12" t="s">
        <v>2007</v>
      </c>
      <c r="I235" s="23" t="s">
        <v>2008</v>
      </c>
      <c r="J235" s="12">
        <v>2005.0</v>
      </c>
      <c r="K235" s="23" t="s">
        <v>2009</v>
      </c>
      <c r="L235" s="24">
        <v>1.0</v>
      </c>
      <c r="M235" s="25" t="s">
        <v>2010</v>
      </c>
      <c r="N235" s="26" t="str">
        <f t="shared" si="2"/>
        <v>371.3
BOB
q</v>
      </c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0">
        <v>235.0</v>
      </c>
      <c r="B236" s="12" t="s">
        <v>2011</v>
      </c>
      <c r="C236" s="12" t="s">
        <v>229</v>
      </c>
      <c r="D236" s="23" t="s">
        <v>1657</v>
      </c>
      <c r="E236" s="22" t="s">
        <v>2012</v>
      </c>
      <c r="F236" s="12" t="s">
        <v>2013</v>
      </c>
      <c r="G236" s="12" t="s">
        <v>2014</v>
      </c>
      <c r="H236" s="12" t="s">
        <v>2007</v>
      </c>
      <c r="I236" s="23" t="s">
        <v>2015</v>
      </c>
      <c r="J236" s="12">
        <v>2005.0</v>
      </c>
      <c r="K236" s="23" t="s">
        <v>2016</v>
      </c>
      <c r="L236" s="24">
        <v>1.0</v>
      </c>
      <c r="M236" s="25" t="s">
        <v>2017</v>
      </c>
      <c r="N236" s="26" t="str">
        <f t="shared" si="2"/>
        <v>371.3
DAV
t</v>
      </c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0">
        <v>236.0</v>
      </c>
      <c r="B237" s="12" t="s">
        <v>2018</v>
      </c>
      <c r="C237" s="12" t="s">
        <v>229</v>
      </c>
      <c r="D237" s="23" t="s">
        <v>2019</v>
      </c>
      <c r="E237" s="12" t="s">
        <v>2020</v>
      </c>
      <c r="F237" s="12" t="s">
        <v>2021</v>
      </c>
      <c r="G237" s="12" t="s">
        <v>850</v>
      </c>
      <c r="H237" s="12" t="s">
        <v>851</v>
      </c>
      <c r="I237" s="23" t="s">
        <v>2022</v>
      </c>
      <c r="J237" s="12">
        <v>2010.0</v>
      </c>
      <c r="K237" s="23">
        <v>208.0</v>
      </c>
      <c r="L237" s="24">
        <v>1.0</v>
      </c>
      <c r="M237" s="25" t="s">
        <v>2023</v>
      </c>
      <c r="N237" s="26" t="str">
        <f t="shared" si="2"/>
        <v>373.12
PRO
p</v>
      </c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0">
        <v>237.0</v>
      </c>
      <c r="B238" s="12" t="s">
        <v>2024</v>
      </c>
      <c r="C238" s="12" t="s">
        <v>229</v>
      </c>
      <c r="D238" s="23" t="s">
        <v>2025</v>
      </c>
      <c r="E238" s="22" t="s">
        <v>2026</v>
      </c>
      <c r="F238" s="12" t="s">
        <v>2027</v>
      </c>
      <c r="G238" s="12" t="s">
        <v>2028</v>
      </c>
      <c r="H238" s="12" t="s">
        <v>2029</v>
      </c>
      <c r="I238" s="23" t="s">
        <v>2030</v>
      </c>
      <c r="J238" s="12">
        <v>2011.0</v>
      </c>
      <c r="K238" s="23">
        <v>68.0</v>
      </c>
      <c r="L238" s="24">
        <v>1.0</v>
      </c>
      <c r="M238" s="25" t="s">
        <v>2031</v>
      </c>
      <c r="N238" s="26" t="str">
        <f t="shared" si="2"/>
        <v>306
ENU
b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0">
        <v>238.0</v>
      </c>
      <c r="B239" s="12" t="s">
        <v>2032</v>
      </c>
      <c r="C239" s="12" t="s">
        <v>229</v>
      </c>
      <c r="D239" s="23" t="s">
        <v>2033</v>
      </c>
      <c r="E239" s="12" t="s">
        <v>2034</v>
      </c>
      <c r="F239" s="12" t="s">
        <v>2035</v>
      </c>
      <c r="G239" s="12" t="s">
        <v>234</v>
      </c>
      <c r="H239" s="12" t="s">
        <v>2036</v>
      </c>
      <c r="I239" s="23" t="s">
        <v>2037</v>
      </c>
      <c r="J239" s="12">
        <v>2014.0</v>
      </c>
      <c r="K239" s="23">
        <v>66.0</v>
      </c>
      <c r="L239" s="24">
        <v>1.0</v>
      </c>
      <c r="M239" s="25" t="s">
        <v>2038</v>
      </c>
      <c r="N239" s="26" t="str">
        <f t="shared" si="2"/>
        <v>332.4
IRW
p</v>
      </c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0">
        <v>239.0</v>
      </c>
      <c r="B240" s="12" t="s">
        <v>2039</v>
      </c>
      <c r="C240" s="12" t="s">
        <v>229</v>
      </c>
      <c r="D240" s="23" t="s">
        <v>2040</v>
      </c>
      <c r="E240" s="12" t="s">
        <v>2039</v>
      </c>
      <c r="F240" s="12" t="s">
        <v>2041</v>
      </c>
      <c r="G240" s="12" t="s">
        <v>361</v>
      </c>
      <c r="H240" s="12" t="s">
        <v>362</v>
      </c>
      <c r="I240" s="23" t="s">
        <v>2042</v>
      </c>
      <c r="J240" s="12">
        <v>2014.0</v>
      </c>
      <c r="K240" s="23">
        <v>216.0</v>
      </c>
      <c r="L240" s="24">
        <v>3.0</v>
      </c>
      <c r="M240" s="25" t="s">
        <v>2043</v>
      </c>
      <c r="N240" s="26" t="str">
        <f t="shared" si="2"/>
        <v>330.03
IRF
k</v>
      </c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0">
        <v>240.0</v>
      </c>
      <c r="B241" s="12" t="s">
        <v>2044</v>
      </c>
      <c r="C241" s="12" t="s">
        <v>229</v>
      </c>
      <c r="D241" s="23" t="s">
        <v>2045</v>
      </c>
      <c r="E241" s="12" t="s">
        <v>2046</v>
      </c>
      <c r="F241" s="12" t="s">
        <v>2047</v>
      </c>
      <c r="G241" s="12" t="s">
        <v>868</v>
      </c>
      <c r="H241" s="12" t="s">
        <v>2048</v>
      </c>
      <c r="I241" s="23">
        <v>9.789790560659E12</v>
      </c>
      <c r="J241" s="12">
        <v>2010.0</v>
      </c>
      <c r="K241" s="23">
        <v>85.0</v>
      </c>
      <c r="L241" s="24">
        <v>2.0</v>
      </c>
      <c r="M241" s="25" t="s">
        <v>2049</v>
      </c>
      <c r="N241" s="26" t="str">
        <f t="shared" si="2"/>
        <v>320.54
SHO
b</v>
      </c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0">
        <v>241.0</v>
      </c>
      <c r="B242" s="12" t="s">
        <v>2050</v>
      </c>
      <c r="C242" s="12" t="s">
        <v>229</v>
      </c>
      <c r="D242" s="23" t="s">
        <v>2051</v>
      </c>
      <c r="E242" s="12" t="s">
        <v>2052</v>
      </c>
      <c r="F242" s="12" t="s">
        <v>2053</v>
      </c>
      <c r="G242" s="12" t="s">
        <v>518</v>
      </c>
      <c r="H242" s="12" t="s">
        <v>725</v>
      </c>
      <c r="I242" s="23" t="s">
        <v>2054</v>
      </c>
      <c r="J242" s="12">
        <v>2015.0</v>
      </c>
      <c r="K242" s="23">
        <v>70.0</v>
      </c>
      <c r="L242" s="24">
        <v>2.0</v>
      </c>
      <c r="M242" s="25" t="s">
        <v>2055</v>
      </c>
      <c r="N242" s="26" t="str">
        <f t="shared" si="2"/>
        <v>305.8
GIR
b</v>
      </c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0">
        <v>242.0</v>
      </c>
      <c r="B243" s="12" t="s">
        <v>2056</v>
      </c>
      <c r="C243" s="12" t="s">
        <v>229</v>
      </c>
      <c r="D243" s="23" t="s">
        <v>1924</v>
      </c>
      <c r="E243" s="22" t="s">
        <v>1925</v>
      </c>
      <c r="F243" s="12" t="s">
        <v>812</v>
      </c>
      <c r="G243" s="12" t="s">
        <v>733</v>
      </c>
      <c r="H243" s="12" t="s">
        <v>2057</v>
      </c>
      <c r="I243" s="23" t="s">
        <v>2058</v>
      </c>
      <c r="J243" s="12">
        <v>2015.0</v>
      </c>
      <c r="K243" s="23">
        <v>56.0</v>
      </c>
      <c r="L243" s="24">
        <v>2.0</v>
      </c>
      <c r="M243" s="25" t="s">
        <v>2059</v>
      </c>
      <c r="N243" s="26" t="str">
        <f t="shared" si="2"/>
        <v>392
ASE
r</v>
      </c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0">
        <v>243.0</v>
      </c>
      <c r="B244" s="12" t="s">
        <v>2060</v>
      </c>
      <c r="C244" s="12" t="s">
        <v>229</v>
      </c>
      <c r="D244" s="23" t="s">
        <v>1657</v>
      </c>
      <c r="E244" s="12" t="s">
        <v>1891</v>
      </c>
      <c r="F244" s="12" t="s">
        <v>2061</v>
      </c>
      <c r="G244" s="12" t="s">
        <v>2062</v>
      </c>
      <c r="H244" s="12" t="s">
        <v>646</v>
      </c>
      <c r="I244" s="23" t="s">
        <v>2063</v>
      </c>
      <c r="J244" s="12">
        <v>2016.0</v>
      </c>
      <c r="K244" s="23">
        <v>222.0</v>
      </c>
      <c r="L244" s="24">
        <v>4.0</v>
      </c>
      <c r="M244" s="25" t="s">
        <v>2064</v>
      </c>
      <c r="N244" s="26" t="str">
        <f t="shared" si="2"/>
        <v>371.3
LAU
s</v>
      </c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0">
        <v>244.0</v>
      </c>
      <c r="B245" s="12" t="s">
        <v>2065</v>
      </c>
      <c r="C245" s="12" t="s">
        <v>229</v>
      </c>
      <c r="D245" s="23" t="s">
        <v>2066</v>
      </c>
      <c r="E245" s="12" t="s">
        <v>874</v>
      </c>
      <c r="F245" s="12" t="s">
        <v>2067</v>
      </c>
      <c r="G245" s="12" t="s">
        <v>2068</v>
      </c>
      <c r="H245" s="12" t="s">
        <v>2069</v>
      </c>
      <c r="I245" s="23" t="s">
        <v>2070</v>
      </c>
      <c r="J245" s="12">
        <v>2015.0</v>
      </c>
      <c r="K245" s="23">
        <v>60.0</v>
      </c>
      <c r="L245" s="24">
        <v>1.0</v>
      </c>
      <c r="M245" s="25" t="s">
        <v>2071</v>
      </c>
      <c r="N245" s="26" t="str">
        <f t="shared" si="2"/>
        <v>302.5
SRI
m</v>
      </c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0">
        <v>245.0</v>
      </c>
      <c r="B246" s="12" t="s">
        <v>2072</v>
      </c>
      <c r="C246" s="12" t="s">
        <v>229</v>
      </c>
      <c r="D246" s="23" t="s">
        <v>2073</v>
      </c>
      <c r="E246" s="22" t="s">
        <v>2074</v>
      </c>
      <c r="F246" s="12" t="s">
        <v>2075</v>
      </c>
      <c r="G246" s="12" t="s">
        <v>2076</v>
      </c>
      <c r="H246" s="12" t="s">
        <v>2077</v>
      </c>
      <c r="I246" s="23" t="s">
        <v>2078</v>
      </c>
      <c r="J246" s="12">
        <v>2015.0</v>
      </c>
      <c r="K246" s="23" t="s">
        <v>2079</v>
      </c>
      <c r="L246" s="24">
        <v>1.0</v>
      </c>
      <c r="M246" s="25" t="s">
        <v>2080</v>
      </c>
      <c r="N246" s="26" t="str">
        <f t="shared" si="2"/>
        <v>361.2
REN
a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0">
        <v>246.0</v>
      </c>
      <c r="B247" s="12" t="s">
        <v>2081</v>
      </c>
      <c r="C247" s="12" t="s">
        <v>229</v>
      </c>
      <c r="D247" s="23" t="s">
        <v>2082</v>
      </c>
      <c r="E247" s="22" t="s">
        <v>2083</v>
      </c>
      <c r="F247" s="12" t="s">
        <v>2084</v>
      </c>
      <c r="G247" s="12" t="s">
        <v>518</v>
      </c>
      <c r="H247" s="12" t="s">
        <v>2036</v>
      </c>
      <c r="I247" s="23" t="s">
        <v>2085</v>
      </c>
      <c r="J247" s="12">
        <v>2014.0</v>
      </c>
      <c r="K247" s="23">
        <v>60.0</v>
      </c>
      <c r="L247" s="24">
        <v>1.0</v>
      </c>
      <c r="M247" s="12" t="s">
        <v>340</v>
      </c>
      <c r="N247" s="26" t="str">
        <f t="shared" si="2"/>
        <v>391
WUL
p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0">
        <v>247.0</v>
      </c>
      <c r="B248" s="12" t="s">
        <v>2086</v>
      </c>
      <c r="C248" s="12" t="s">
        <v>229</v>
      </c>
      <c r="D248" s="23" t="s">
        <v>2066</v>
      </c>
      <c r="E248" s="12" t="s">
        <v>2087</v>
      </c>
      <c r="F248" s="12" t="s">
        <v>2088</v>
      </c>
      <c r="G248" s="12" t="s">
        <v>2089</v>
      </c>
      <c r="H248" s="12" t="s">
        <v>2090</v>
      </c>
      <c r="I248" s="23" t="s">
        <v>2091</v>
      </c>
      <c r="J248" s="12">
        <v>2008.0</v>
      </c>
      <c r="K248" s="23">
        <v>58.0</v>
      </c>
      <c r="L248" s="24">
        <v>1.0</v>
      </c>
      <c r="M248" s="25" t="s">
        <v>2092</v>
      </c>
      <c r="N248" s="26" t="str">
        <f t="shared" si="2"/>
        <v>302.5
SUD
i</v>
      </c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0">
        <v>248.0</v>
      </c>
      <c r="B249" s="12" t="s">
        <v>2093</v>
      </c>
      <c r="C249" s="12" t="s">
        <v>229</v>
      </c>
      <c r="D249" s="23" t="s">
        <v>1675</v>
      </c>
      <c r="E249" s="12" t="s">
        <v>2094</v>
      </c>
      <c r="F249" s="12" t="s">
        <v>2095</v>
      </c>
      <c r="G249" s="12" t="s">
        <v>2096</v>
      </c>
      <c r="H249" s="12" t="s">
        <v>2097</v>
      </c>
      <c r="I249" s="23" t="s">
        <v>2098</v>
      </c>
      <c r="J249" s="12">
        <v>2009.0</v>
      </c>
      <c r="K249" s="23">
        <v>262.0</v>
      </c>
      <c r="L249" s="24">
        <v>1.0</v>
      </c>
      <c r="M249" s="25" t="s">
        <v>2099</v>
      </c>
      <c r="N249" s="26" t="str">
        <f t="shared" si="2"/>
        <v>371.1
Dr.
s</v>
      </c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0">
        <v>249.0</v>
      </c>
      <c r="B250" s="12" t="s">
        <v>2100</v>
      </c>
      <c r="C250" s="12" t="s">
        <v>229</v>
      </c>
      <c r="D250" s="23" t="s">
        <v>2101</v>
      </c>
      <c r="E250" s="22" t="s">
        <v>2102</v>
      </c>
      <c r="F250" s="12" t="s">
        <v>2103</v>
      </c>
      <c r="G250" s="12" t="s">
        <v>518</v>
      </c>
      <c r="H250" s="12" t="s">
        <v>725</v>
      </c>
      <c r="I250" s="23" t="s">
        <v>2104</v>
      </c>
      <c r="J250" s="12">
        <v>2015.0</v>
      </c>
      <c r="K250" s="23" t="s">
        <v>2105</v>
      </c>
      <c r="L250" s="24">
        <v>1.0</v>
      </c>
      <c r="M250" s="25" t="s">
        <v>2106</v>
      </c>
      <c r="N250" s="26" t="str">
        <f t="shared" si="2"/>
        <v>364.1323
BAM
b</v>
      </c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0">
        <v>250.0</v>
      </c>
      <c r="B251" s="12" t="s">
        <v>2107</v>
      </c>
      <c r="C251" s="12" t="s">
        <v>229</v>
      </c>
      <c r="D251" s="23" t="s">
        <v>2108</v>
      </c>
      <c r="E251" s="22" t="s">
        <v>2109</v>
      </c>
      <c r="F251" s="12" t="s">
        <v>2110</v>
      </c>
      <c r="G251" s="12" t="s">
        <v>518</v>
      </c>
      <c r="H251" s="12" t="s">
        <v>1439</v>
      </c>
      <c r="I251" s="23" t="s">
        <v>2111</v>
      </c>
      <c r="J251" s="12">
        <v>2015.0</v>
      </c>
      <c r="K251" s="23">
        <v>48.0</v>
      </c>
      <c r="L251" s="24">
        <v>1.0</v>
      </c>
      <c r="M251" s="25" t="s">
        <v>2112</v>
      </c>
      <c r="N251" s="26" t="str">
        <f t="shared" si="2"/>
        <v>363.37
WEN
s</v>
      </c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0">
        <v>251.0</v>
      </c>
      <c r="B252" s="12" t="s">
        <v>2113</v>
      </c>
      <c r="C252" s="12" t="s">
        <v>229</v>
      </c>
      <c r="D252" s="23" t="s">
        <v>2114</v>
      </c>
      <c r="E252" s="12" t="s">
        <v>2115</v>
      </c>
      <c r="F252" s="12" t="s">
        <v>2116</v>
      </c>
      <c r="G252" s="12" t="s">
        <v>2117</v>
      </c>
      <c r="H252" s="12" t="s">
        <v>2118</v>
      </c>
      <c r="I252" s="23" t="s">
        <v>2119</v>
      </c>
      <c r="J252" s="12">
        <v>2010.0</v>
      </c>
      <c r="K252" s="23">
        <v>150.0</v>
      </c>
      <c r="L252" s="24">
        <v>2.0</v>
      </c>
      <c r="M252" s="25" t="s">
        <v>2120</v>
      </c>
      <c r="N252" s="26" t="str">
        <f t="shared" si="2"/>
        <v>371.9
Pro
p</v>
      </c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0">
        <v>252.0</v>
      </c>
      <c r="B253" s="12" t="s">
        <v>2121</v>
      </c>
      <c r="C253" s="12" t="s">
        <v>226</v>
      </c>
      <c r="D253" s="23" t="s">
        <v>1010</v>
      </c>
      <c r="E253" s="12" t="s">
        <v>2122</v>
      </c>
      <c r="F253" s="12" t="s">
        <v>2123</v>
      </c>
      <c r="G253" s="12" t="s">
        <v>518</v>
      </c>
      <c r="H253" s="12" t="s">
        <v>2124</v>
      </c>
      <c r="I253" s="23" t="s">
        <v>2125</v>
      </c>
      <c r="J253" s="12">
        <v>2015.0</v>
      </c>
      <c r="K253" s="23">
        <v>56.0</v>
      </c>
      <c r="L253" s="24">
        <v>1.0</v>
      </c>
      <c r="M253" s="25" t="s">
        <v>2126</v>
      </c>
      <c r="N253" s="26" t="str">
        <f t="shared" si="2"/>
        <v>297.5
Pro
s</v>
      </c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0">
        <v>253.0</v>
      </c>
      <c r="B254" s="12" t="s">
        <v>2127</v>
      </c>
      <c r="C254" s="12" t="s">
        <v>229</v>
      </c>
      <c r="D254" s="23" t="s">
        <v>2128</v>
      </c>
      <c r="E254" s="22" t="s">
        <v>2129</v>
      </c>
      <c r="F254" s="22"/>
      <c r="G254" s="22"/>
      <c r="H254" s="12" t="s">
        <v>2130</v>
      </c>
      <c r="I254" s="35"/>
      <c r="J254" s="12">
        <v>1993.0</v>
      </c>
      <c r="K254" s="23">
        <v>107.0</v>
      </c>
      <c r="L254" s="24">
        <v>1.0</v>
      </c>
      <c r="M254" s="12" t="s">
        <v>340</v>
      </c>
      <c r="N254" s="26" t="str">
        <f t="shared" si="2"/>
        <v>379
b</v>
      </c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0">
        <v>254.0</v>
      </c>
      <c r="B255" s="12" t="s">
        <v>2131</v>
      </c>
      <c r="C255" s="12" t="s">
        <v>229</v>
      </c>
      <c r="D255" s="23" t="s">
        <v>2132</v>
      </c>
      <c r="E255" s="12" t="s">
        <v>1639</v>
      </c>
      <c r="F255" s="12" t="s">
        <v>2133</v>
      </c>
      <c r="G255" s="12" t="s">
        <v>2134</v>
      </c>
      <c r="H255" s="12" t="s">
        <v>2135</v>
      </c>
      <c r="I255" s="23">
        <v>9.786023130115E12</v>
      </c>
      <c r="J255" s="12">
        <v>2014.0</v>
      </c>
      <c r="K255" s="23" t="s">
        <v>2136</v>
      </c>
      <c r="L255" s="24">
        <v>1.0</v>
      </c>
      <c r="M255" s="25" t="s">
        <v>2137</v>
      </c>
      <c r="N255" s="26" t="str">
        <f t="shared" si="2"/>
        <v>370.1
H. 
p</v>
      </c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0">
        <v>255.0</v>
      </c>
      <c r="B256" s="12" t="s">
        <v>2138</v>
      </c>
      <c r="C256" s="12" t="s">
        <v>229</v>
      </c>
      <c r="D256" s="23" t="s">
        <v>2139</v>
      </c>
      <c r="E256" s="12" t="s">
        <v>2140</v>
      </c>
      <c r="F256" s="12" t="s">
        <v>173</v>
      </c>
      <c r="G256" s="12" t="s">
        <v>481</v>
      </c>
      <c r="H256" s="12" t="s">
        <v>2141</v>
      </c>
      <c r="I256" s="23" t="s">
        <v>2142</v>
      </c>
      <c r="J256" s="12">
        <v>2013.0</v>
      </c>
      <c r="K256" s="23">
        <v>68.0</v>
      </c>
      <c r="L256" s="24">
        <v>1.0</v>
      </c>
      <c r="M256" s="25" t="s">
        <v>2143</v>
      </c>
      <c r="N256" s="26" t="str">
        <f t="shared" si="2"/>
        <v>307.14
AMI
o</v>
      </c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0">
        <v>256.0</v>
      </c>
      <c r="B257" s="12" t="s">
        <v>2144</v>
      </c>
      <c r="C257" s="12" t="s">
        <v>229</v>
      </c>
      <c r="D257" s="23" t="s">
        <v>1924</v>
      </c>
      <c r="E257" s="22" t="s">
        <v>1925</v>
      </c>
      <c r="F257" s="12" t="s">
        <v>733</v>
      </c>
      <c r="G257" s="12" t="s">
        <v>674</v>
      </c>
      <c r="H257" s="12" t="s">
        <v>2145</v>
      </c>
      <c r="I257" s="23" t="s">
        <v>2146</v>
      </c>
      <c r="J257" s="12">
        <v>2015.0</v>
      </c>
      <c r="K257" s="23">
        <v>56.0</v>
      </c>
      <c r="L257" s="24">
        <v>4.0</v>
      </c>
      <c r="M257" s="12" t="s">
        <v>340</v>
      </c>
      <c r="N257" s="26" t="str">
        <f t="shared" si="2"/>
        <v>392
IZZ
r</v>
      </c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0">
        <v>257.0</v>
      </c>
      <c r="B258" s="12" t="s">
        <v>2147</v>
      </c>
      <c r="C258" s="12" t="s">
        <v>229</v>
      </c>
      <c r="D258" s="23" t="s">
        <v>1675</v>
      </c>
      <c r="E258" s="22" t="s">
        <v>1784</v>
      </c>
      <c r="F258" s="12" t="s">
        <v>2148</v>
      </c>
      <c r="G258" s="12" t="s">
        <v>2149</v>
      </c>
      <c r="H258" s="12" t="s">
        <v>653</v>
      </c>
      <c r="I258" s="23" t="s">
        <v>2150</v>
      </c>
      <c r="J258" s="12">
        <v>2017.0</v>
      </c>
      <c r="K258" s="23" t="s">
        <v>2151</v>
      </c>
      <c r="L258" s="24">
        <v>1.0</v>
      </c>
      <c r="M258" s="25" t="s">
        <v>2152</v>
      </c>
      <c r="N258" s="26" t="str">
        <f t="shared" si="2"/>
        <v>371.1
TIL
m</v>
      </c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0">
        <v>258.0</v>
      </c>
      <c r="B259" s="12" t="s">
        <v>2153</v>
      </c>
      <c r="C259" s="12" t="s">
        <v>229</v>
      </c>
      <c r="D259" s="23">
        <v>370.0</v>
      </c>
      <c r="E259" s="12" t="s">
        <v>1639</v>
      </c>
      <c r="F259" s="12" t="s">
        <v>2154</v>
      </c>
      <c r="G259" s="12" t="s">
        <v>2155</v>
      </c>
      <c r="H259" s="12" t="s">
        <v>2156</v>
      </c>
      <c r="I259" s="23" t="s">
        <v>2157</v>
      </c>
      <c r="J259" s="12">
        <v>2010.0</v>
      </c>
      <c r="K259" s="23">
        <v>82.0</v>
      </c>
      <c r="L259" s="24">
        <v>1.0</v>
      </c>
      <c r="M259" s="25" t="s">
        <v>2158</v>
      </c>
      <c r="N259" s="26" t="str">
        <f t="shared" si="2"/>
        <v>370
YAN
t</v>
      </c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0">
        <v>259.0</v>
      </c>
      <c r="B260" s="12" t="s">
        <v>2159</v>
      </c>
      <c r="C260" s="12" t="s">
        <v>229</v>
      </c>
      <c r="D260" s="23" t="s">
        <v>1657</v>
      </c>
      <c r="E260" s="12" t="s">
        <v>1784</v>
      </c>
      <c r="F260" s="12" t="s">
        <v>2160</v>
      </c>
      <c r="G260" s="12" t="s">
        <v>2096</v>
      </c>
      <c r="H260" s="12" t="s">
        <v>1691</v>
      </c>
      <c r="I260" s="23" t="s">
        <v>2161</v>
      </c>
      <c r="J260" s="12">
        <v>2009.0</v>
      </c>
      <c r="K260" s="23">
        <v>291.0</v>
      </c>
      <c r="L260" s="24">
        <v>1.0</v>
      </c>
      <c r="M260" s="25" t="s">
        <v>2162</v>
      </c>
      <c r="N260" s="26" t="str">
        <f t="shared" si="2"/>
        <v>371.3
ABD
p</v>
      </c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0">
        <v>260.0</v>
      </c>
      <c r="B261" s="12" t="s">
        <v>2163</v>
      </c>
      <c r="C261" s="12" t="s">
        <v>229</v>
      </c>
      <c r="D261" s="35"/>
      <c r="E261" s="22" t="s">
        <v>1155</v>
      </c>
      <c r="F261" s="12" t="s">
        <v>2164</v>
      </c>
      <c r="G261" s="12" t="s">
        <v>2165</v>
      </c>
      <c r="H261" s="12" t="s">
        <v>1691</v>
      </c>
      <c r="I261" s="23" t="s">
        <v>2166</v>
      </c>
      <c r="J261" s="12">
        <v>2010.0</v>
      </c>
      <c r="K261" s="23">
        <v>326.0</v>
      </c>
      <c r="L261" s="24">
        <v>1.0</v>
      </c>
      <c r="M261" s="12" t="s">
        <v>340</v>
      </c>
      <c r="N261" s="26" t="str">
        <f t="shared" si="2"/>
        <v>
NAN
m</v>
      </c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0">
        <v>261.0</v>
      </c>
      <c r="B262" s="12" t="s">
        <v>2167</v>
      </c>
      <c r="C262" s="12" t="s">
        <v>229</v>
      </c>
      <c r="D262" s="23" t="s">
        <v>1657</v>
      </c>
      <c r="E262" s="12" t="s">
        <v>2168</v>
      </c>
      <c r="F262" s="12" t="s">
        <v>2169</v>
      </c>
      <c r="G262" s="12" t="s">
        <v>2170</v>
      </c>
      <c r="H262" s="12" t="s">
        <v>1679</v>
      </c>
      <c r="I262" s="23" t="s">
        <v>2171</v>
      </c>
      <c r="J262" s="12">
        <v>2006.0</v>
      </c>
      <c r="K262" s="23">
        <v>82.0</v>
      </c>
      <c r="L262" s="24">
        <v>1.0</v>
      </c>
      <c r="M262" s="25" t="s">
        <v>2172</v>
      </c>
      <c r="N262" s="26" t="str">
        <f t="shared" si="2"/>
        <v>371.3
HEN
d</v>
      </c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0">
        <v>262.0</v>
      </c>
      <c r="B263" s="12" t="s">
        <v>2173</v>
      </c>
      <c r="C263" s="12" t="s">
        <v>229</v>
      </c>
      <c r="D263" s="23" t="s">
        <v>2174</v>
      </c>
      <c r="E263" s="22" t="s">
        <v>2175</v>
      </c>
      <c r="F263" s="12" t="s">
        <v>2176</v>
      </c>
      <c r="G263" s="12" t="s">
        <v>2177</v>
      </c>
      <c r="H263" s="12" t="s">
        <v>2178</v>
      </c>
      <c r="I263" s="23" t="s">
        <v>2179</v>
      </c>
      <c r="J263" s="12">
        <v>2015.0</v>
      </c>
      <c r="K263" s="23">
        <v>60.0</v>
      </c>
      <c r="L263" s="24">
        <v>2.0</v>
      </c>
      <c r="M263" s="25" t="s">
        <v>2180</v>
      </c>
      <c r="N263" s="26" t="str">
        <f t="shared" si="2"/>
        <v>370.2
IND
p</v>
      </c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0">
        <v>263.0</v>
      </c>
      <c r="B264" s="12" t="s">
        <v>2181</v>
      </c>
      <c r="C264" s="12" t="s">
        <v>229</v>
      </c>
      <c r="D264" s="23" t="s">
        <v>1657</v>
      </c>
      <c r="E264" s="12" t="s">
        <v>2168</v>
      </c>
      <c r="F264" s="12" t="s">
        <v>2182</v>
      </c>
      <c r="G264" s="12" t="s">
        <v>2183</v>
      </c>
      <c r="H264" s="12" t="s">
        <v>588</v>
      </c>
      <c r="I264" s="23" t="s">
        <v>2184</v>
      </c>
      <c r="J264" s="12">
        <v>2005.0</v>
      </c>
      <c r="K264" s="35"/>
      <c r="L264" s="24">
        <v>1.0</v>
      </c>
      <c r="M264" s="25" t="s">
        <v>2185</v>
      </c>
      <c r="N264" s="26" t="str">
        <f t="shared" si="2"/>
        <v>371.3
KAT
p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0">
        <v>264.0</v>
      </c>
      <c r="B265" s="12" t="s">
        <v>2186</v>
      </c>
      <c r="C265" s="12" t="s">
        <v>229</v>
      </c>
      <c r="D265" s="23" t="s">
        <v>1920</v>
      </c>
      <c r="E265" s="22" t="s">
        <v>1921</v>
      </c>
      <c r="F265" s="12" t="s">
        <v>2187</v>
      </c>
      <c r="G265" s="12" t="s">
        <v>2188</v>
      </c>
      <c r="H265" s="12" t="s">
        <v>2189</v>
      </c>
      <c r="I265" s="23" t="s">
        <v>2190</v>
      </c>
      <c r="J265" s="12">
        <v>2015.0</v>
      </c>
      <c r="K265" s="23">
        <v>66.0</v>
      </c>
      <c r="L265" s="24">
        <v>2.0</v>
      </c>
      <c r="M265" s="25" t="s">
        <v>2191</v>
      </c>
      <c r="N265" s="26" t="str">
        <f t="shared" si="2"/>
        <v>363.73874
FIT
p</v>
      </c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0">
        <v>265.0</v>
      </c>
      <c r="B266" s="12" t="s">
        <v>2192</v>
      </c>
      <c r="C266" s="12" t="s">
        <v>229</v>
      </c>
      <c r="D266" s="23" t="s">
        <v>2073</v>
      </c>
      <c r="E266" s="12" t="s">
        <v>2074</v>
      </c>
      <c r="F266" s="12" t="s">
        <v>2193</v>
      </c>
      <c r="G266" s="12" t="s">
        <v>2194</v>
      </c>
      <c r="H266" s="12" t="s">
        <v>2195</v>
      </c>
      <c r="I266" s="23" t="s">
        <v>2196</v>
      </c>
      <c r="J266" s="12">
        <v>2015.0</v>
      </c>
      <c r="K266" s="23">
        <v>56.0</v>
      </c>
      <c r="L266" s="24">
        <v>1.0</v>
      </c>
      <c r="M266" s="25" t="s">
        <v>2197</v>
      </c>
      <c r="N266" s="26" t="str">
        <f t="shared" si="2"/>
        <v>361.2
ADH
p</v>
      </c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0">
        <v>266.0</v>
      </c>
      <c r="B267" s="12" t="s">
        <v>2198</v>
      </c>
      <c r="C267" s="12" t="s">
        <v>229</v>
      </c>
      <c r="D267" s="23" t="s">
        <v>2199</v>
      </c>
      <c r="E267" s="12" t="s">
        <v>2200</v>
      </c>
      <c r="F267" s="12" t="s">
        <v>2201</v>
      </c>
      <c r="G267" s="12" t="s">
        <v>2194</v>
      </c>
      <c r="H267" s="12" t="s">
        <v>2202</v>
      </c>
      <c r="I267" s="23" t="s">
        <v>2203</v>
      </c>
      <c r="J267" s="12">
        <v>2009.0</v>
      </c>
      <c r="K267" s="23">
        <v>56.0</v>
      </c>
      <c r="L267" s="24">
        <v>1.0</v>
      </c>
      <c r="M267" s="25" t="s">
        <v>2204</v>
      </c>
      <c r="N267" s="26" t="str">
        <f t="shared" si="2"/>
        <v>304.2
DR.
p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0">
        <v>267.0</v>
      </c>
      <c r="B268" s="12" t="s">
        <v>2205</v>
      </c>
      <c r="C268" s="12" t="s">
        <v>229</v>
      </c>
      <c r="D268" s="23" t="s">
        <v>2082</v>
      </c>
      <c r="E268" s="22" t="s">
        <v>2083</v>
      </c>
      <c r="F268" s="12" t="s">
        <v>2206</v>
      </c>
      <c r="G268" s="12" t="s">
        <v>518</v>
      </c>
      <c r="H268" s="12" t="s">
        <v>2036</v>
      </c>
      <c r="I268" s="23" t="s">
        <v>2207</v>
      </c>
      <c r="J268" s="12">
        <v>2014.0</v>
      </c>
      <c r="K268" s="23">
        <v>90.0</v>
      </c>
      <c r="L268" s="24">
        <v>2.0</v>
      </c>
      <c r="M268" s="25" t="s">
        <v>2208</v>
      </c>
      <c r="N268" s="26" t="str">
        <f t="shared" si="2"/>
        <v>391
UDI
p</v>
      </c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0">
        <v>268.0</v>
      </c>
      <c r="B269" s="12" t="s">
        <v>2209</v>
      </c>
      <c r="C269" s="12" t="s">
        <v>229</v>
      </c>
      <c r="D269" s="23" t="s">
        <v>1666</v>
      </c>
      <c r="E269" s="12" t="s">
        <v>1667</v>
      </c>
      <c r="F269" s="12" t="s">
        <v>107</v>
      </c>
      <c r="G269" s="12" t="s">
        <v>2210</v>
      </c>
      <c r="H269" s="12" t="s">
        <v>2211</v>
      </c>
      <c r="I269" s="23" t="s">
        <v>2212</v>
      </c>
      <c r="J269" s="12">
        <v>2014.0</v>
      </c>
      <c r="K269" s="23">
        <v>64.0</v>
      </c>
      <c r="L269" s="24">
        <v>1.0</v>
      </c>
      <c r="M269" s="25" t="s">
        <v>2213</v>
      </c>
      <c r="N269" s="26" t="str">
        <f t="shared" si="2"/>
        <v>323.6
EDI
a</v>
      </c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0">
        <v>269.0</v>
      </c>
      <c r="B270" s="12" t="s">
        <v>2214</v>
      </c>
      <c r="C270" s="12" t="s">
        <v>229</v>
      </c>
      <c r="D270" s="23" t="s">
        <v>2051</v>
      </c>
      <c r="E270" s="12" t="s">
        <v>2215</v>
      </c>
      <c r="F270" s="12" t="s">
        <v>2216</v>
      </c>
      <c r="G270" s="12" t="s">
        <v>2217</v>
      </c>
      <c r="H270" s="12" t="s">
        <v>2218</v>
      </c>
      <c r="I270" s="23">
        <v>9.789791473101E12</v>
      </c>
      <c r="J270" s="12">
        <v>2010.0</v>
      </c>
      <c r="K270" s="23" t="s">
        <v>2219</v>
      </c>
      <c r="L270" s="24">
        <v>3.0</v>
      </c>
      <c r="M270" s="12" t="s">
        <v>340</v>
      </c>
      <c r="N270" s="26" t="str">
        <f t="shared" si="2"/>
        <v>305.8
BAY
s</v>
      </c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0">
        <v>270.0</v>
      </c>
      <c r="B271" s="12" t="s">
        <v>2220</v>
      </c>
      <c r="C271" s="12" t="s">
        <v>229</v>
      </c>
      <c r="D271" s="23">
        <v>370.0</v>
      </c>
      <c r="E271" s="12" t="s">
        <v>1639</v>
      </c>
      <c r="F271" s="12" t="s">
        <v>2221</v>
      </c>
      <c r="G271" s="12"/>
      <c r="H271" s="12" t="s">
        <v>2221</v>
      </c>
      <c r="I271" s="23"/>
      <c r="J271" s="12">
        <v>2011.0</v>
      </c>
      <c r="K271" s="23">
        <v>74.0</v>
      </c>
      <c r="L271" s="24">
        <v>1.0</v>
      </c>
      <c r="M271" s="38" t="s">
        <v>2222</v>
      </c>
      <c r="N271" s="26" t="str">
        <f t="shared" si="2"/>
        <v>370
KEM
p</v>
      </c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0">
        <v>271.0</v>
      </c>
      <c r="B272" s="12" t="s">
        <v>2223</v>
      </c>
      <c r="C272" s="12" t="s">
        <v>229</v>
      </c>
      <c r="D272" s="23">
        <v>330.0</v>
      </c>
      <c r="E272" s="12" t="s">
        <v>2224</v>
      </c>
      <c r="F272" s="12" t="s">
        <v>2225</v>
      </c>
      <c r="G272" s="12" t="s">
        <v>2226</v>
      </c>
      <c r="H272" s="12" t="s">
        <v>2036</v>
      </c>
      <c r="I272" s="23">
        <v>9.789796783731E12</v>
      </c>
      <c r="J272" s="12">
        <v>2014.0</v>
      </c>
      <c r="K272" s="23" t="s">
        <v>2227</v>
      </c>
      <c r="L272" s="24">
        <v>4.0</v>
      </c>
      <c r="M272" s="25" t="s">
        <v>2228</v>
      </c>
      <c r="N272" s="26" t="str">
        <f t="shared" si="2"/>
        <v>330
DEV
u</v>
      </c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0">
        <v>272.0</v>
      </c>
      <c r="B273" s="12" t="s">
        <v>2229</v>
      </c>
      <c r="C273" s="12" t="s">
        <v>229</v>
      </c>
      <c r="D273" s="23">
        <v>305.0</v>
      </c>
      <c r="E273" s="12" t="s">
        <v>2230</v>
      </c>
      <c r="F273" s="12" t="s">
        <v>2193</v>
      </c>
      <c r="G273" s="12" t="s">
        <v>2231</v>
      </c>
      <c r="H273" s="12" t="s">
        <v>2202</v>
      </c>
      <c r="I273" s="23">
        <v>6.028227445E9</v>
      </c>
      <c r="J273" s="12">
        <v>2014.0</v>
      </c>
      <c r="K273" s="23" t="s">
        <v>2227</v>
      </c>
      <c r="L273" s="24">
        <v>4.0</v>
      </c>
      <c r="M273" s="25" t="s">
        <v>2232</v>
      </c>
      <c r="N273" s="26" t="str">
        <f t="shared" si="2"/>
        <v>305
ADH
p</v>
      </c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0">
        <v>273.0</v>
      </c>
      <c r="B274" s="12" t="s">
        <v>2233</v>
      </c>
      <c r="C274" s="12" t="s">
        <v>229</v>
      </c>
      <c r="D274" s="23" t="s">
        <v>2234</v>
      </c>
      <c r="E274" s="12" t="s">
        <v>2087</v>
      </c>
      <c r="F274" s="12" t="s">
        <v>929</v>
      </c>
      <c r="G274" s="12" t="s">
        <v>897</v>
      </c>
      <c r="H274" s="12" t="s">
        <v>898</v>
      </c>
      <c r="I274" s="23">
        <v>9.786028181266E12</v>
      </c>
      <c r="J274" s="12">
        <v>2016.0</v>
      </c>
      <c r="K274" s="23" t="s">
        <v>2235</v>
      </c>
      <c r="L274" s="24">
        <v>4.0</v>
      </c>
      <c r="M274" s="25" t="s">
        <v>2236</v>
      </c>
      <c r="N274" s="26" t="str">
        <f t="shared" si="2"/>
        <v>302.14
LUT
g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0">
        <v>274.0</v>
      </c>
      <c r="B275" s="12" t="s">
        <v>2237</v>
      </c>
      <c r="C275" s="12" t="s">
        <v>229</v>
      </c>
      <c r="D275" s="23">
        <v>330.0</v>
      </c>
      <c r="E275" s="12" t="s">
        <v>2238</v>
      </c>
      <c r="F275" s="12" t="s">
        <v>2239</v>
      </c>
      <c r="G275" s="12" t="s">
        <v>2240</v>
      </c>
      <c r="H275" s="12" t="s">
        <v>2241</v>
      </c>
      <c r="I275" s="23">
        <v>9.786029168754E12</v>
      </c>
      <c r="J275" s="12">
        <v>2016.0</v>
      </c>
      <c r="K275" s="23" t="s">
        <v>2242</v>
      </c>
      <c r="L275" s="24">
        <v>4.0</v>
      </c>
      <c r="M275" s="25" t="s">
        <v>2243</v>
      </c>
      <c r="N275" s="26" t="str">
        <f t="shared" si="2"/>
        <v>330
AND
m</v>
      </c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0">
        <v>275.0</v>
      </c>
      <c r="B276" s="12" t="s">
        <v>2244</v>
      </c>
      <c r="C276" s="12" t="s">
        <v>229</v>
      </c>
      <c r="D276" s="23" t="s">
        <v>2245</v>
      </c>
      <c r="E276" s="12" t="s">
        <v>2246</v>
      </c>
      <c r="F276" s="12" t="s">
        <v>2247</v>
      </c>
      <c r="G276" s="12" t="s">
        <v>2248</v>
      </c>
      <c r="H276" s="12" t="s">
        <v>2249</v>
      </c>
      <c r="I276" s="23">
        <v>9.78602904894E12</v>
      </c>
      <c r="J276" s="12">
        <v>2016.0</v>
      </c>
      <c r="K276" s="23" t="s">
        <v>2250</v>
      </c>
      <c r="L276" s="24">
        <v>3.0</v>
      </c>
      <c r="M276" s="25" t="s">
        <v>2251</v>
      </c>
      <c r="N276" s="26" t="str">
        <f t="shared" si="2"/>
        <v>324.6
DAN
a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0">
        <v>276.0</v>
      </c>
      <c r="B277" s="12" t="s">
        <v>2252</v>
      </c>
      <c r="C277" s="12" t="s">
        <v>229</v>
      </c>
      <c r="D277" s="35"/>
      <c r="E277" s="22" t="s">
        <v>1155</v>
      </c>
      <c r="F277" s="12" t="s">
        <v>2253</v>
      </c>
      <c r="G277" s="12" t="s">
        <v>2254</v>
      </c>
      <c r="H277" s="12" t="s">
        <v>2255</v>
      </c>
      <c r="I277" s="23">
        <v>9.786028582575E12</v>
      </c>
      <c r="J277" s="12">
        <v>2016.0</v>
      </c>
      <c r="K277" s="23" t="s">
        <v>2256</v>
      </c>
      <c r="L277" s="24">
        <v>1.0</v>
      </c>
      <c r="M277" s="12" t="s">
        <v>340</v>
      </c>
      <c r="N277" s="26" t="str">
        <f t="shared" si="2"/>
        <v>
BIM
b</v>
      </c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0">
        <v>277.0</v>
      </c>
      <c r="B278" s="12" t="s">
        <v>2257</v>
      </c>
      <c r="C278" s="12" t="s">
        <v>229</v>
      </c>
      <c r="D278" s="23" t="s">
        <v>1768</v>
      </c>
      <c r="E278" s="22" t="s">
        <v>1769</v>
      </c>
      <c r="F278" s="12" t="s">
        <v>2258</v>
      </c>
      <c r="G278" s="12" t="s">
        <v>2259</v>
      </c>
      <c r="H278" s="12" t="s">
        <v>2260</v>
      </c>
      <c r="I278" s="23">
        <v>9.789792698978E12</v>
      </c>
      <c r="J278" s="12">
        <v>2012.0</v>
      </c>
      <c r="K278" s="23" t="s">
        <v>2261</v>
      </c>
      <c r="L278" s="24">
        <v>4.0</v>
      </c>
      <c r="M278" s="25" t="s">
        <v>2262</v>
      </c>
      <c r="N278" s="26" t="str">
        <f t="shared" si="2"/>
        <v>362.293
YUA
n</v>
      </c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0">
        <v>278.0</v>
      </c>
      <c r="B279" s="12" t="s">
        <v>2263</v>
      </c>
      <c r="C279" s="12" t="s">
        <v>229</v>
      </c>
      <c r="D279" s="23" t="s">
        <v>2025</v>
      </c>
      <c r="E279" s="22" t="s">
        <v>2026</v>
      </c>
      <c r="F279" s="12" t="s">
        <v>2264</v>
      </c>
      <c r="G279" s="12" t="s">
        <v>2265</v>
      </c>
      <c r="H279" s="12" t="s">
        <v>2266</v>
      </c>
      <c r="I279" s="23">
        <v>9.786021917138E12</v>
      </c>
      <c r="J279" s="12">
        <v>2010.0</v>
      </c>
      <c r="K279" s="23">
        <v>58.0</v>
      </c>
      <c r="L279" s="24">
        <v>4.0</v>
      </c>
      <c r="M279" s="12" t="s">
        <v>340</v>
      </c>
      <c r="N279" s="26" t="str">
        <f t="shared" si="2"/>
        <v>306
YUD
u</v>
      </c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0">
        <v>279.0</v>
      </c>
      <c r="B280" s="12" t="s">
        <v>2267</v>
      </c>
      <c r="C280" s="12" t="s">
        <v>229</v>
      </c>
      <c r="D280" s="23">
        <v>320.0</v>
      </c>
      <c r="E280" s="12" t="s">
        <v>2268</v>
      </c>
      <c r="F280" s="12" t="s">
        <v>1668</v>
      </c>
      <c r="G280" s="12" t="s">
        <v>1660</v>
      </c>
      <c r="H280" s="12" t="s">
        <v>1661</v>
      </c>
      <c r="I280" s="23">
        <v>9.789799475794E12</v>
      </c>
      <c r="J280" s="12">
        <v>2010.0</v>
      </c>
      <c r="K280" s="23">
        <v>60.0</v>
      </c>
      <c r="L280" s="24">
        <v>2.0</v>
      </c>
      <c r="M280" s="25" t="s">
        <v>2269</v>
      </c>
      <c r="N280" s="26" t="str">
        <f t="shared" si="2"/>
        <v>320
PRO
l</v>
      </c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0">
        <v>280.0</v>
      </c>
      <c r="B281" s="12" t="s">
        <v>2270</v>
      </c>
      <c r="C281" s="12" t="s">
        <v>229</v>
      </c>
      <c r="D281" s="23">
        <v>320.0</v>
      </c>
      <c r="E281" s="12" t="s">
        <v>2268</v>
      </c>
      <c r="F281" s="12" t="s">
        <v>1668</v>
      </c>
      <c r="G281" s="12" t="s">
        <v>1660</v>
      </c>
      <c r="H281" s="12" t="s">
        <v>1661</v>
      </c>
      <c r="I281" s="23">
        <v>9.78979947577E12</v>
      </c>
      <c r="J281" s="12">
        <v>2010.0</v>
      </c>
      <c r="K281" s="23">
        <v>60.0</v>
      </c>
      <c r="L281" s="24">
        <v>2.0</v>
      </c>
      <c r="M281" s="25" t="s">
        <v>2271</v>
      </c>
      <c r="N281" s="26" t="str">
        <f t="shared" si="2"/>
        <v>320
PRO
s</v>
      </c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0">
        <v>281.0</v>
      </c>
      <c r="B282" s="12" t="s">
        <v>2272</v>
      </c>
      <c r="C282" s="12" t="s">
        <v>229</v>
      </c>
      <c r="D282" s="79">
        <v>320.0</v>
      </c>
      <c r="E282" s="50" t="s">
        <v>2268</v>
      </c>
      <c r="F282" s="12" t="s">
        <v>2273</v>
      </c>
      <c r="G282" s="12" t="s">
        <v>518</v>
      </c>
      <c r="H282" s="12" t="s">
        <v>2255</v>
      </c>
      <c r="I282" s="23">
        <v>9.786028582605E12</v>
      </c>
      <c r="J282" s="12">
        <v>2009.0</v>
      </c>
      <c r="K282" s="23">
        <v>76.0</v>
      </c>
      <c r="L282" s="24">
        <v>2.0</v>
      </c>
      <c r="M282" s="25" t="s">
        <v>2274</v>
      </c>
      <c r="N282" s="26" t="str">
        <f t="shared" si="2"/>
        <v>320
DES
b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0">
        <v>282.0</v>
      </c>
      <c r="B283" s="12" t="s">
        <v>2275</v>
      </c>
      <c r="C283" s="12" t="s">
        <v>229</v>
      </c>
      <c r="D283" s="23" t="s">
        <v>2132</v>
      </c>
      <c r="E283" s="22" t="s">
        <v>2276</v>
      </c>
      <c r="F283" s="12" t="s">
        <v>2277</v>
      </c>
      <c r="G283" s="12" t="s">
        <v>2278</v>
      </c>
      <c r="H283" s="12" t="s">
        <v>2279</v>
      </c>
      <c r="I283" s="35"/>
      <c r="J283" s="12">
        <v>2012.0</v>
      </c>
      <c r="K283" s="23">
        <v>114.0</v>
      </c>
      <c r="L283" s="24">
        <v>1.0</v>
      </c>
      <c r="M283" s="12" t="s">
        <v>340</v>
      </c>
      <c r="N283" s="26" t="str">
        <f t="shared" si="2"/>
        <v>370.1
ADI
f</v>
      </c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0">
        <v>283.0</v>
      </c>
      <c r="B284" s="12" t="s">
        <v>2280</v>
      </c>
      <c r="C284" s="12" t="s">
        <v>229</v>
      </c>
      <c r="D284" s="35"/>
      <c r="E284" s="22" t="s">
        <v>1155</v>
      </c>
      <c r="F284" s="12" t="s">
        <v>2281</v>
      </c>
      <c r="G284" s="12" t="s">
        <v>2282</v>
      </c>
      <c r="H284" s="12" t="s">
        <v>588</v>
      </c>
      <c r="I284" s="23">
        <v>9.786027596016E12</v>
      </c>
      <c r="J284" s="12">
        <v>2012.0</v>
      </c>
      <c r="K284" s="23">
        <v>121.0</v>
      </c>
      <c r="L284" s="24">
        <v>1.0</v>
      </c>
      <c r="M284" s="12" t="s">
        <v>340</v>
      </c>
      <c r="N284" s="26" t="str">
        <f t="shared" si="2"/>
        <v>
H.D
l</v>
      </c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0">
        <v>284.0</v>
      </c>
      <c r="B285" s="12" t="s">
        <v>2283</v>
      </c>
      <c r="C285" s="12" t="s">
        <v>229</v>
      </c>
      <c r="D285" s="35"/>
      <c r="E285" s="22" t="s">
        <v>1155</v>
      </c>
      <c r="F285" s="12" t="s">
        <v>2284</v>
      </c>
      <c r="G285" s="12" t="s">
        <v>2285</v>
      </c>
      <c r="H285" s="12" t="s">
        <v>2286</v>
      </c>
      <c r="I285" s="23">
        <v>9.786025434082E12</v>
      </c>
      <c r="J285" s="12">
        <v>2017.0</v>
      </c>
      <c r="K285" s="23">
        <v>82.0</v>
      </c>
      <c r="L285" s="24">
        <v>1.0</v>
      </c>
      <c r="M285" s="12" t="s">
        <v>340</v>
      </c>
      <c r="N285" s="26" t="str">
        <f t="shared" si="2"/>
        <v>
20 
2</v>
      </c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0">
        <v>285.0</v>
      </c>
      <c r="B286" s="12" t="s">
        <v>2287</v>
      </c>
      <c r="C286" s="12" t="s">
        <v>229</v>
      </c>
      <c r="D286" s="35"/>
      <c r="E286" s="22" t="s">
        <v>1155</v>
      </c>
      <c r="F286" s="12" t="s">
        <v>2288</v>
      </c>
      <c r="G286" s="22"/>
      <c r="H286" s="12" t="s">
        <v>2289</v>
      </c>
      <c r="I286" s="23">
        <v>9.786028362344E12</v>
      </c>
      <c r="J286" s="12">
        <v>2009.0</v>
      </c>
      <c r="K286" s="23">
        <v>430.0</v>
      </c>
      <c r="L286" s="24">
        <v>1.0</v>
      </c>
      <c r="M286" s="12" t="s">
        <v>340</v>
      </c>
      <c r="N286" s="26" t="str">
        <f t="shared" si="2"/>
        <v>
TIM
b</v>
      </c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0">
        <v>286.0</v>
      </c>
      <c r="B287" s="12" t="s">
        <v>2290</v>
      </c>
      <c r="C287" s="12" t="s">
        <v>229</v>
      </c>
      <c r="D287" s="35"/>
      <c r="E287" s="22" t="s">
        <v>1155</v>
      </c>
      <c r="F287" s="12" t="s">
        <v>1875</v>
      </c>
      <c r="G287" s="22"/>
      <c r="H287" s="22"/>
      <c r="I287" s="35"/>
      <c r="J287" s="22"/>
      <c r="K287" s="35"/>
      <c r="L287" s="24">
        <v>1.0</v>
      </c>
      <c r="M287" s="12" t="s">
        <v>340</v>
      </c>
      <c r="N287" s="26" t="str">
        <f t="shared" si="2"/>
        <v>
KEM
p</v>
      </c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0">
        <v>287.0</v>
      </c>
      <c r="B288" s="12" t="s">
        <v>2291</v>
      </c>
      <c r="C288" s="12" t="s">
        <v>229</v>
      </c>
      <c r="D288" s="35"/>
      <c r="E288" s="22" t="s">
        <v>1155</v>
      </c>
      <c r="F288" s="12" t="s">
        <v>2292</v>
      </c>
      <c r="G288" s="12" t="s">
        <v>2293</v>
      </c>
      <c r="H288" s="12" t="s">
        <v>2294</v>
      </c>
      <c r="I288" s="23" t="s">
        <v>2295</v>
      </c>
      <c r="J288" s="12" t="s">
        <v>2296</v>
      </c>
      <c r="K288" s="23">
        <v>2010.0</v>
      </c>
      <c r="L288" s="24">
        <v>72.0</v>
      </c>
      <c r="M288" s="12" t="s">
        <v>340</v>
      </c>
      <c r="N288" s="26" t="str">
        <f t="shared" si="2"/>
        <v>
DAN
s</v>
      </c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0">
        <v>288.0</v>
      </c>
      <c r="B289" s="12" t="s">
        <v>2297</v>
      </c>
      <c r="C289" s="12" t="s">
        <v>229</v>
      </c>
      <c r="D289" s="23" t="s">
        <v>1768</v>
      </c>
      <c r="E289" s="22" t="s">
        <v>1769</v>
      </c>
      <c r="F289" s="12" t="s">
        <v>2298</v>
      </c>
      <c r="G289" s="12" t="s">
        <v>1933</v>
      </c>
      <c r="H289" s="12" t="s">
        <v>1955</v>
      </c>
      <c r="I289" s="23" t="s">
        <v>2299</v>
      </c>
      <c r="J289" s="12">
        <v>2015.0</v>
      </c>
      <c r="K289" s="23">
        <v>72.0</v>
      </c>
      <c r="L289" s="24">
        <v>2.0</v>
      </c>
      <c r="M289" s="25" t="s">
        <v>2300</v>
      </c>
      <c r="N289" s="26" t="str">
        <f t="shared" si="2"/>
        <v>362.293
SUS
w</v>
      </c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0">
        <v>289.0</v>
      </c>
      <c r="B290" s="12" t="s">
        <v>2301</v>
      </c>
      <c r="C290" s="12" t="s">
        <v>229</v>
      </c>
      <c r="D290" s="23" t="s">
        <v>1768</v>
      </c>
      <c r="E290" s="22" t="s">
        <v>1769</v>
      </c>
      <c r="F290" s="12" t="s">
        <v>2302</v>
      </c>
      <c r="G290" s="22"/>
      <c r="H290" s="12" t="s">
        <v>2303</v>
      </c>
      <c r="I290" s="23">
        <v>9.786028982269E12</v>
      </c>
      <c r="J290" s="12">
        <v>2017.0</v>
      </c>
      <c r="K290" s="23">
        <v>60.0</v>
      </c>
      <c r="L290" s="24">
        <v>4.0</v>
      </c>
      <c r="M290" s="25" t="s">
        <v>2304</v>
      </c>
      <c r="N290" s="26" t="str">
        <f t="shared" si="2"/>
        <v>362.293
MAY
i</v>
      </c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0">
        <v>290.0</v>
      </c>
      <c r="B291" s="12" t="s">
        <v>2305</v>
      </c>
      <c r="C291" s="12" t="s">
        <v>229</v>
      </c>
      <c r="D291" s="23" t="s">
        <v>2306</v>
      </c>
      <c r="E291" s="12" t="s">
        <v>2307</v>
      </c>
      <c r="F291" s="12" t="s">
        <v>2308</v>
      </c>
      <c r="G291" s="12" t="s">
        <v>761</v>
      </c>
      <c r="H291" s="12" t="s">
        <v>2309</v>
      </c>
      <c r="I291" s="23">
        <v>9.786027932029E12</v>
      </c>
      <c r="J291" s="12">
        <v>2015.0</v>
      </c>
      <c r="K291" s="23">
        <v>60.0</v>
      </c>
      <c r="L291" s="24">
        <v>1.0</v>
      </c>
      <c r="M291" s="25" t="s">
        <v>2310</v>
      </c>
      <c r="N291" s="26" t="str">
        <f t="shared" si="2"/>
        <v>361.1
HET
b</v>
      </c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0">
        <v>291.0</v>
      </c>
      <c r="B292" s="12" t="s">
        <v>2311</v>
      </c>
      <c r="C292" s="12" t="s">
        <v>229</v>
      </c>
      <c r="D292" s="35"/>
      <c r="E292" s="22" t="s">
        <v>1155</v>
      </c>
      <c r="F292" s="12" t="s">
        <v>2312</v>
      </c>
      <c r="G292" s="12" t="s">
        <v>2313</v>
      </c>
      <c r="H292" s="12" t="s">
        <v>2314</v>
      </c>
      <c r="I292" s="23" t="s">
        <v>2315</v>
      </c>
      <c r="J292" s="12">
        <v>2007.0</v>
      </c>
      <c r="K292" s="23" t="s">
        <v>2316</v>
      </c>
      <c r="L292" s="24">
        <v>1.0</v>
      </c>
      <c r="M292" s="12" t="s">
        <v>340</v>
      </c>
      <c r="N292" s="26" t="str">
        <f t="shared" si="2"/>
        <v>
EKA
m</v>
      </c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0">
        <v>292.0</v>
      </c>
      <c r="B293" s="12" t="s">
        <v>2317</v>
      </c>
      <c r="C293" s="12" t="s">
        <v>229</v>
      </c>
      <c r="D293" s="35"/>
      <c r="E293" s="22" t="s">
        <v>1155</v>
      </c>
      <c r="F293" s="12" t="s">
        <v>2318</v>
      </c>
      <c r="G293" s="22"/>
      <c r="H293" s="22"/>
      <c r="I293" s="35"/>
      <c r="J293" s="22"/>
      <c r="K293" s="35"/>
      <c r="L293" s="24">
        <v>1.0</v>
      </c>
      <c r="M293" s="12" t="s">
        <v>340</v>
      </c>
      <c r="N293" s="26" t="str">
        <f t="shared" si="2"/>
        <v>
PIP
k</v>
      </c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0">
        <v>293.0</v>
      </c>
      <c r="B294" s="12" t="s">
        <v>2319</v>
      </c>
      <c r="C294" s="12" t="s">
        <v>229</v>
      </c>
      <c r="D294" s="23" t="s">
        <v>2320</v>
      </c>
      <c r="E294" s="12" t="s">
        <v>2321</v>
      </c>
      <c r="F294" s="12" t="s">
        <v>2322</v>
      </c>
      <c r="G294" s="12" t="s">
        <v>715</v>
      </c>
      <c r="H294" s="12" t="s">
        <v>2309</v>
      </c>
      <c r="I294" s="23" t="s">
        <v>2323</v>
      </c>
      <c r="J294" s="12">
        <v>2015.0</v>
      </c>
      <c r="K294" s="23">
        <v>60.0</v>
      </c>
      <c r="L294" s="24">
        <v>3.0</v>
      </c>
      <c r="M294" s="12" t="s">
        <v>340</v>
      </c>
      <c r="N294" s="26" t="str">
        <f t="shared" si="2"/>
        <v>363.7
MON
d</v>
      </c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0">
        <v>294.0</v>
      </c>
      <c r="B295" s="12" t="s">
        <v>2324</v>
      </c>
      <c r="C295" s="12" t="s">
        <v>229</v>
      </c>
      <c r="D295" s="35"/>
      <c r="E295" s="22" t="s">
        <v>1155</v>
      </c>
      <c r="F295" s="12" t="s">
        <v>107</v>
      </c>
      <c r="G295" s="12" t="s">
        <v>2325</v>
      </c>
      <c r="H295" s="12" t="s">
        <v>1466</v>
      </c>
      <c r="I295" s="23" t="s">
        <v>2326</v>
      </c>
      <c r="J295" s="12">
        <v>2006.0</v>
      </c>
      <c r="K295" s="23">
        <v>64.0</v>
      </c>
      <c r="L295" s="24">
        <v>1.0</v>
      </c>
      <c r="M295" s="12" t="s">
        <v>340</v>
      </c>
      <c r="N295" s="26" t="str">
        <f t="shared" si="2"/>
        <v>
EDI
m</v>
      </c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0">
        <v>295.0</v>
      </c>
      <c r="B296" s="12" t="s">
        <v>2327</v>
      </c>
      <c r="C296" s="12" t="s">
        <v>229</v>
      </c>
      <c r="D296" s="23">
        <v>361.0</v>
      </c>
      <c r="E296" s="12" t="s">
        <v>2328</v>
      </c>
      <c r="F296" s="12" t="s">
        <v>2329</v>
      </c>
      <c r="G296" s="12" t="s">
        <v>2330</v>
      </c>
      <c r="H296" s="12" t="s">
        <v>2331</v>
      </c>
      <c r="I296" s="35"/>
      <c r="J296" s="12">
        <v>2010.0</v>
      </c>
      <c r="K296" s="23">
        <v>162.0</v>
      </c>
      <c r="L296" s="24">
        <v>1.0</v>
      </c>
      <c r="M296" s="25" t="s">
        <v>2332</v>
      </c>
      <c r="N296" s="26" t="str">
        <f t="shared" si="2"/>
        <v>361
ELL
m</v>
      </c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0">
        <v>296.0</v>
      </c>
      <c r="B297" s="12" t="s">
        <v>2333</v>
      </c>
      <c r="C297" s="12" t="s">
        <v>229</v>
      </c>
      <c r="D297" s="23" t="s">
        <v>1862</v>
      </c>
      <c r="E297" s="12" t="s">
        <v>2334</v>
      </c>
      <c r="F297" s="12" t="s">
        <v>2335</v>
      </c>
      <c r="G297" s="12" t="s">
        <v>715</v>
      </c>
      <c r="H297" s="12" t="s">
        <v>2309</v>
      </c>
      <c r="I297" s="23" t="s">
        <v>2336</v>
      </c>
      <c r="J297" s="12">
        <v>2013.0</v>
      </c>
      <c r="K297" s="23">
        <v>57.0</v>
      </c>
      <c r="L297" s="24">
        <v>2.0</v>
      </c>
      <c r="M297" s="25" t="s">
        <v>2337</v>
      </c>
      <c r="N297" s="26" t="str">
        <f t="shared" si="2"/>
        <v>363.73
KAN
p</v>
      </c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0">
        <v>297.0</v>
      </c>
      <c r="B298" s="12" t="s">
        <v>2338</v>
      </c>
      <c r="C298" s="12" t="s">
        <v>229</v>
      </c>
      <c r="D298" s="23" t="s">
        <v>2339</v>
      </c>
      <c r="E298" s="12" t="s">
        <v>2340</v>
      </c>
      <c r="F298" s="12" t="s">
        <v>2341</v>
      </c>
      <c r="G298" s="12" t="s">
        <v>715</v>
      </c>
      <c r="H298" s="12" t="s">
        <v>2309</v>
      </c>
      <c r="I298" s="23" t="s">
        <v>2342</v>
      </c>
      <c r="J298" s="12">
        <v>2013.0</v>
      </c>
      <c r="K298" s="23">
        <v>60.0</v>
      </c>
      <c r="L298" s="24">
        <v>1.0</v>
      </c>
      <c r="M298" s="25" t="s">
        <v>2343</v>
      </c>
      <c r="N298" s="26" t="str">
        <f t="shared" si="2"/>
        <v>363.9
IND
d</v>
      </c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0">
        <v>298.0</v>
      </c>
      <c r="B299" s="12" t="s">
        <v>2344</v>
      </c>
      <c r="C299" s="12" t="s">
        <v>229</v>
      </c>
      <c r="D299" s="23">
        <v>302.0</v>
      </c>
      <c r="E299" s="12" t="s">
        <v>2345</v>
      </c>
      <c r="F299" s="12" t="s">
        <v>2346</v>
      </c>
      <c r="G299" s="12" t="s">
        <v>715</v>
      </c>
      <c r="H299" s="12" t="s">
        <v>2309</v>
      </c>
      <c r="I299" s="23" t="s">
        <v>2347</v>
      </c>
      <c r="J299" s="12">
        <v>2013.0</v>
      </c>
      <c r="K299" s="23">
        <v>61.0</v>
      </c>
      <c r="L299" s="24">
        <v>1.0</v>
      </c>
      <c r="M299" s="12" t="s">
        <v>340</v>
      </c>
      <c r="N299" s="26" t="str">
        <f t="shared" si="2"/>
        <v>302
IRA
p</v>
      </c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0">
        <v>299.0</v>
      </c>
      <c r="B300" s="12" t="s">
        <v>2348</v>
      </c>
      <c r="C300" s="12" t="s">
        <v>249</v>
      </c>
      <c r="D300" s="23" t="s">
        <v>2349</v>
      </c>
      <c r="E300" s="12" t="s">
        <v>2350</v>
      </c>
      <c r="F300" s="12" t="s">
        <v>2351</v>
      </c>
      <c r="G300" s="12" t="s">
        <v>715</v>
      </c>
      <c r="H300" s="12" t="s">
        <v>2309</v>
      </c>
      <c r="I300" s="23" t="s">
        <v>2352</v>
      </c>
      <c r="J300" s="12">
        <v>2013.0</v>
      </c>
      <c r="K300" s="23">
        <v>60.0</v>
      </c>
      <c r="L300" s="24">
        <v>3.0</v>
      </c>
      <c r="M300" s="25" t="s">
        <v>2353</v>
      </c>
      <c r="N300" s="26" t="str">
        <f t="shared" si="2"/>
        <v>628.4
NUR
s</v>
      </c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0">
        <v>300.0</v>
      </c>
      <c r="B301" s="12" t="s">
        <v>2354</v>
      </c>
      <c r="C301" s="12" t="s">
        <v>229</v>
      </c>
      <c r="D301" s="35"/>
      <c r="E301" s="22"/>
      <c r="F301" s="12" t="s">
        <v>2355</v>
      </c>
      <c r="G301" s="12" t="s">
        <v>2356</v>
      </c>
      <c r="H301" s="12" t="s">
        <v>2202</v>
      </c>
      <c r="I301" s="23" t="s">
        <v>2357</v>
      </c>
      <c r="J301" s="12">
        <v>2015.0</v>
      </c>
      <c r="K301" s="23">
        <v>76.0</v>
      </c>
      <c r="L301" s="24">
        <v>2.0</v>
      </c>
      <c r="M301" s="12" t="s">
        <v>340</v>
      </c>
      <c r="N301" s="26" t="str">
        <f t="shared" si="2"/>
        <v>
KUS
p</v>
      </c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0">
        <v>301.0</v>
      </c>
      <c r="B302" s="12" t="s">
        <v>2358</v>
      </c>
      <c r="C302" s="12" t="s">
        <v>246</v>
      </c>
      <c r="D302" s="23">
        <v>550.0</v>
      </c>
      <c r="E302" s="12" t="s">
        <v>2359</v>
      </c>
      <c r="F302" s="12" t="s">
        <v>2360</v>
      </c>
      <c r="G302" s="12" t="s">
        <v>2361</v>
      </c>
      <c r="H302" s="12" t="s">
        <v>2362</v>
      </c>
      <c r="I302" s="23" t="s">
        <v>2363</v>
      </c>
      <c r="J302" s="12">
        <v>2009.0</v>
      </c>
      <c r="K302" s="23" t="s">
        <v>2364</v>
      </c>
      <c r="L302" s="24">
        <v>1.0</v>
      </c>
      <c r="M302" s="25" t="s">
        <v>2365</v>
      </c>
      <c r="N302" s="26" t="str">
        <f t="shared" si="2"/>
        <v>550
NUG
a</v>
      </c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0">
        <v>302.0</v>
      </c>
      <c r="B303" s="12" t="s">
        <v>2366</v>
      </c>
      <c r="C303" s="12" t="s">
        <v>229</v>
      </c>
      <c r="D303" s="35"/>
      <c r="E303" s="22"/>
      <c r="F303" s="12" t="s">
        <v>2367</v>
      </c>
      <c r="G303" s="12" t="s">
        <v>2368</v>
      </c>
      <c r="H303" s="12" t="s">
        <v>2369</v>
      </c>
      <c r="I303" s="23" t="s">
        <v>2370</v>
      </c>
      <c r="J303" s="12">
        <v>2015.0</v>
      </c>
      <c r="K303" s="23">
        <v>60.0</v>
      </c>
      <c r="L303" s="24">
        <v>1.0</v>
      </c>
      <c r="M303" s="12" t="s">
        <v>340</v>
      </c>
      <c r="N303" s="26" t="str">
        <f t="shared" si="2"/>
        <v>
ARI
p</v>
      </c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0">
        <v>303.0</v>
      </c>
      <c r="B304" s="12" t="s">
        <v>2371</v>
      </c>
      <c r="C304" s="12" t="s">
        <v>229</v>
      </c>
      <c r="D304" s="23">
        <v>360.0</v>
      </c>
      <c r="E304" s="12" t="s">
        <v>2372</v>
      </c>
      <c r="F304" s="12" t="s">
        <v>2367</v>
      </c>
      <c r="G304" s="12" t="s">
        <v>2368</v>
      </c>
      <c r="H304" s="12" t="s">
        <v>2369</v>
      </c>
      <c r="I304" s="23" t="s">
        <v>2373</v>
      </c>
      <c r="J304" s="12">
        <v>2015.0</v>
      </c>
      <c r="K304" s="23">
        <v>60.0</v>
      </c>
      <c r="L304" s="24">
        <v>3.0</v>
      </c>
      <c r="M304" s="12" t="s">
        <v>340</v>
      </c>
      <c r="N304" s="26" t="str">
        <f t="shared" si="2"/>
        <v>360
ARI
p</v>
      </c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0">
        <v>304.0</v>
      </c>
      <c r="B305" s="12" t="s">
        <v>2374</v>
      </c>
      <c r="C305" s="12" t="s">
        <v>229</v>
      </c>
      <c r="D305" s="35"/>
      <c r="E305" s="22"/>
      <c r="F305" s="12" t="s">
        <v>2375</v>
      </c>
      <c r="G305" s="12" t="s">
        <v>2376</v>
      </c>
      <c r="H305" s="12" t="s">
        <v>2377</v>
      </c>
      <c r="I305" s="23" t="s">
        <v>2378</v>
      </c>
      <c r="J305" s="12">
        <v>2010.0</v>
      </c>
      <c r="K305" s="23">
        <v>60.0</v>
      </c>
      <c r="L305" s="24">
        <v>2.0</v>
      </c>
      <c r="M305" s="12" t="s">
        <v>340</v>
      </c>
      <c r="N305" s="26" t="str">
        <f t="shared" si="2"/>
        <v>
PAM
m</v>
      </c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0">
        <v>305.0</v>
      </c>
      <c r="B306" s="12" t="s">
        <v>2379</v>
      </c>
      <c r="C306" s="12" t="s">
        <v>229</v>
      </c>
      <c r="D306" s="35"/>
      <c r="E306" s="22"/>
      <c r="F306" s="12" t="s">
        <v>2380</v>
      </c>
      <c r="G306" s="22"/>
      <c r="H306" s="12" t="s">
        <v>1786</v>
      </c>
      <c r="I306" s="35"/>
      <c r="J306" s="22"/>
      <c r="K306" s="35"/>
      <c r="L306" s="24">
        <v>1.0</v>
      </c>
      <c r="M306" s="12" t="s">
        <v>340</v>
      </c>
      <c r="N306" s="26" t="str">
        <f t="shared" si="2"/>
        <v>
Drs
s</v>
      </c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0">
        <v>306.0</v>
      </c>
      <c r="B307" s="12" t="s">
        <v>2381</v>
      </c>
      <c r="C307" s="12" t="s">
        <v>229</v>
      </c>
      <c r="D307" s="35"/>
      <c r="E307" s="22"/>
      <c r="F307" s="12" t="s">
        <v>2382</v>
      </c>
      <c r="G307" s="12" t="s">
        <v>2383</v>
      </c>
      <c r="H307" s="12" t="s">
        <v>2384</v>
      </c>
      <c r="I307" s="23">
        <v>9.789790164468E12</v>
      </c>
      <c r="J307" s="12">
        <v>2017.0</v>
      </c>
      <c r="K307" s="23" t="s">
        <v>2385</v>
      </c>
      <c r="L307" s="24">
        <v>3.0</v>
      </c>
      <c r="M307" s="12" t="s">
        <v>340</v>
      </c>
      <c r="N307" s="26" t="str">
        <f t="shared" si="2"/>
        <v>
RAN
p</v>
      </c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0">
        <v>307.0</v>
      </c>
      <c r="B308" s="12" t="s">
        <v>2386</v>
      </c>
      <c r="C308" s="12" t="s">
        <v>229</v>
      </c>
      <c r="D308" s="23">
        <v>370.0</v>
      </c>
      <c r="E308" s="12" t="s">
        <v>2387</v>
      </c>
      <c r="F308" s="12" t="s">
        <v>1970</v>
      </c>
      <c r="G308" s="22"/>
      <c r="H308" s="12" t="s">
        <v>1970</v>
      </c>
      <c r="I308" s="35"/>
      <c r="J308" s="22"/>
      <c r="K308" s="23">
        <v>44.0</v>
      </c>
      <c r="L308" s="24">
        <v>1.0</v>
      </c>
      <c r="M308" s="25" t="s">
        <v>2388</v>
      </c>
      <c r="N308" s="26" t="str">
        <f t="shared" si="2"/>
        <v>370
DIN
s</v>
      </c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0">
        <v>308.0</v>
      </c>
      <c r="B309" s="12" t="s">
        <v>2389</v>
      </c>
      <c r="C309" s="12" t="s">
        <v>229</v>
      </c>
      <c r="D309" s="23" t="s">
        <v>2390</v>
      </c>
      <c r="E309" s="22" t="s">
        <v>2012</v>
      </c>
      <c r="F309" s="12" t="s">
        <v>2391</v>
      </c>
      <c r="G309" s="12" t="s">
        <v>2392</v>
      </c>
      <c r="H309" s="12" t="s">
        <v>716</v>
      </c>
      <c r="I309" s="23">
        <v>9.786029107029E12</v>
      </c>
      <c r="J309" s="12">
        <v>2015.0</v>
      </c>
      <c r="K309" s="23" t="s">
        <v>2393</v>
      </c>
      <c r="L309" s="24">
        <v>1.0</v>
      </c>
      <c r="M309" s="12" t="s">
        <v>340</v>
      </c>
      <c r="N309" s="26" t="str">
        <f t="shared" si="2"/>
        <v>371.36
AMM
b</v>
      </c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0">
        <v>309.0</v>
      </c>
      <c r="B310" s="12" t="s">
        <v>2394</v>
      </c>
      <c r="C310" s="12" t="s">
        <v>229</v>
      </c>
      <c r="D310" s="23" t="s">
        <v>2320</v>
      </c>
      <c r="E310" s="12" t="s">
        <v>2395</v>
      </c>
      <c r="F310" s="12" t="s">
        <v>2396</v>
      </c>
      <c r="G310" s="12" t="s">
        <v>2397</v>
      </c>
      <c r="H310" s="12" t="s">
        <v>2398</v>
      </c>
      <c r="I310" s="23">
        <v>9.786021918432E12</v>
      </c>
      <c r="J310" s="12">
        <v>2010.0</v>
      </c>
      <c r="K310" s="23">
        <v>58.0</v>
      </c>
      <c r="L310" s="24">
        <v>4.0</v>
      </c>
      <c r="M310" s="25" t="s">
        <v>2399</v>
      </c>
      <c r="N310" s="26" t="str">
        <f t="shared" si="2"/>
        <v>363.7
PAH
j</v>
      </c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0">
        <v>310.0</v>
      </c>
      <c r="B311" s="12" t="s">
        <v>2400</v>
      </c>
      <c r="C311" s="12" t="s">
        <v>38</v>
      </c>
      <c r="D311" s="23">
        <v>819.0</v>
      </c>
      <c r="E311" s="22" t="s">
        <v>2401</v>
      </c>
      <c r="F311" s="12" t="s">
        <v>2402</v>
      </c>
      <c r="G311" s="12" t="s">
        <v>2403</v>
      </c>
      <c r="H311" s="12" t="s">
        <v>1208</v>
      </c>
      <c r="I311" s="23" t="s">
        <v>2404</v>
      </c>
      <c r="J311" s="12">
        <v>2009.0</v>
      </c>
      <c r="K311" s="23" t="s">
        <v>2405</v>
      </c>
      <c r="L311" s="24">
        <v>10.0</v>
      </c>
      <c r="M311" s="38" t="s">
        <v>2406</v>
      </c>
      <c r="N311" s="26" t="str">
        <f t="shared" si="2"/>
        <v>819
HID
a</v>
      </c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0">
        <v>311.0</v>
      </c>
      <c r="B312" s="12" t="s">
        <v>2291</v>
      </c>
      <c r="C312" s="12" t="s">
        <v>229</v>
      </c>
      <c r="D312" s="23" t="s">
        <v>1856</v>
      </c>
      <c r="E312" s="12" t="s">
        <v>1898</v>
      </c>
      <c r="F312" s="12" t="s">
        <v>2407</v>
      </c>
      <c r="G312" s="12" t="s">
        <v>2408</v>
      </c>
      <c r="H312" s="12" t="s">
        <v>2409</v>
      </c>
      <c r="I312" s="23">
        <v>9.78979241747E12</v>
      </c>
      <c r="J312" s="12">
        <v>2009.0</v>
      </c>
      <c r="K312" s="23" t="s">
        <v>2410</v>
      </c>
      <c r="L312" s="24">
        <v>5.0</v>
      </c>
      <c r="M312" s="25" t="s">
        <v>2411</v>
      </c>
      <c r="N312" s="26" t="str">
        <f t="shared" si="2"/>
        <v>398.2
BES
s</v>
      </c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0">
        <v>312.0</v>
      </c>
      <c r="B313" s="12" t="s">
        <v>2412</v>
      </c>
      <c r="C313" s="12" t="s">
        <v>38</v>
      </c>
      <c r="D313" s="23">
        <v>819.0</v>
      </c>
      <c r="E313" s="22" t="s">
        <v>2401</v>
      </c>
      <c r="F313" s="12" t="s">
        <v>2413</v>
      </c>
      <c r="G313" s="12" t="s">
        <v>2414</v>
      </c>
      <c r="H313" s="12" t="s">
        <v>1208</v>
      </c>
      <c r="I313" s="23">
        <v>9.786028318679E12</v>
      </c>
      <c r="J313" s="12">
        <v>2009.0</v>
      </c>
      <c r="K313" s="23" t="s">
        <v>2415</v>
      </c>
      <c r="L313" s="24">
        <v>7.0</v>
      </c>
      <c r="M313" s="38" t="s">
        <v>2416</v>
      </c>
      <c r="N313" s="26" t="str">
        <f t="shared" si="2"/>
        <v>819
AKU
p</v>
      </c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0">
        <v>313.0</v>
      </c>
      <c r="B314" s="12" t="s">
        <v>2417</v>
      </c>
      <c r="C314" s="12" t="s">
        <v>229</v>
      </c>
      <c r="D314" s="23">
        <v>390.0</v>
      </c>
      <c r="E314" s="12" t="s">
        <v>2418</v>
      </c>
      <c r="F314" s="12" t="s">
        <v>2419</v>
      </c>
      <c r="G314" s="12" t="s">
        <v>340</v>
      </c>
      <c r="H314" s="12" t="s">
        <v>2420</v>
      </c>
      <c r="I314" s="23" t="s">
        <v>340</v>
      </c>
      <c r="J314" s="12">
        <v>2013.0</v>
      </c>
      <c r="K314" s="23" t="s">
        <v>2421</v>
      </c>
      <c r="L314" s="24">
        <v>7.0</v>
      </c>
      <c r="M314" s="25" t="s">
        <v>2422</v>
      </c>
      <c r="N314" s="26" t="str">
        <f t="shared" si="2"/>
        <v>390
TAT
b</v>
      </c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0">
        <v>314.0</v>
      </c>
      <c r="B315" s="12" t="s">
        <v>2423</v>
      </c>
      <c r="C315" s="12" t="s">
        <v>229</v>
      </c>
      <c r="D315" s="23" t="s">
        <v>2424</v>
      </c>
      <c r="E315" s="22" t="s">
        <v>1898</v>
      </c>
      <c r="F315" s="12" t="s">
        <v>2425</v>
      </c>
      <c r="G315" s="12" t="s">
        <v>340</v>
      </c>
      <c r="H315" s="12" t="s">
        <v>2426</v>
      </c>
      <c r="I315" s="23" t="s">
        <v>340</v>
      </c>
      <c r="J315" s="12">
        <v>2010.0</v>
      </c>
      <c r="K315" s="23" t="s">
        <v>1782</v>
      </c>
      <c r="L315" s="24">
        <v>2.0</v>
      </c>
      <c r="M315" s="25" t="s">
        <v>2427</v>
      </c>
      <c r="N315" s="26" t="str">
        <f t="shared" si="2"/>
        <v>398.2 
DAR
g</v>
      </c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0">
        <v>315.0</v>
      </c>
      <c r="B316" s="12" t="s">
        <v>2428</v>
      </c>
      <c r="C316" s="12" t="s">
        <v>229</v>
      </c>
      <c r="D316" s="23" t="s">
        <v>1856</v>
      </c>
      <c r="E316" s="12" t="s">
        <v>2429</v>
      </c>
      <c r="F316" s="12" t="s">
        <v>2430</v>
      </c>
      <c r="G316" s="12" t="s">
        <v>2431</v>
      </c>
      <c r="H316" s="12" t="s">
        <v>2432</v>
      </c>
      <c r="I316" s="23" t="s">
        <v>2433</v>
      </c>
      <c r="J316" s="12">
        <v>2007.0</v>
      </c>
      <c r="K316" s="23" t="s">
        <v>2434</v>
      </c>
      <c r="L316" s="24">
        <v>1.0</v>
      </c>
      <c r="M316" s="25" t="s">
        <v>2435</v>
      </c>
      <c r="N316" s="26" t="str">
        <f t="shared" si="2"/>
        <v>398.2
DAN
l</v>
      </c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0">
        <v>316.0</v>
      </c>
      <c r="B317" s="12" t="s">
        <v>2436</v>
      </c>
      <c r="C317" s="12" t="s">
        <v>38</v>
      </c>
      <c r="D317" s="23">
        <v>823.0</v>
      </c>
      <c r="E317" s="22" t="s">
        <v>2437</v>
      </c>
      <c r="F317" s="12" t="s">
        <v>2438</v>
      </c>
      <c r="G317" s="12" t="s">
        <v>2439</v>
      </c>
      <c r="H317" s="12" t="s">
        <v>2048</v>
      </c>
      <c r="I317" s="23" t="s">
        <v>2440</v>
      </c>
      <c r="J317" s="12">
        <v>2015.0</v>
      </c>
      <c r="K317" s="23">
        <v>72.0</v>
      </c>
      <c r="L317" s="24">
        <v>2.0</v>
      </c>
      <c r="M317" s="38" t="s">
        <v>2441</v>
      </c>
      <c r="N317" s="26" t="str">
        <f t="shared" si="2"/>
        <v>823
EVE
c</v>
      </c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0">
        <v>317.0</v>
      </c>
      <c r="B318" s="12" t="s">
        <v>2442</v>
      </c>
      <c r="C318" s="12" t="s">
        <v>229</v>
      </c>
      <c r="D318" s="23" t="s">
        <v>1856</v>
      </c>
      <c r="E318" s="12" t="s">
        <v>1898</v>
      </c>
      <c r="F318" s="12" t="s">
        <v>2443</v>
      </c>
      <c r="G318" s="12" t="s">
        <v>2408</v>
      </c>
      <c r="H318" s="12" t="s">
        <v>1026</v>
      </c>
      <c r="I318" s="35"/>
      <c r="J318" s="12">
        <v>2009.0</v>
      </c>
      <c r="K318" s="23">
        <v>64.0</v>
      </c>
      <c r="L318" s="24">
        <v>2.0</v>
      </c>
      <c r="M318" s="25" t="s">
        <v>2444</v>
      </c>
      <c r="N318" s="26" t="str">
        <f t="shared" si="2"/>
        <v>398.2
DAD
c</v>
      </c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0">
        <v>318.0</v>
      </c>
      <c r="B319" s="12" t="s">
        <v>2445</v>
      </c>
      <c r="C319" s="12" t="s">
        <v>229</v>
      </c>
      <c r="D319" s="23" t="s">
        <v>2424</v>
      </c>
      <c r="E319" s="22" t="s">
        <v>1898</v>
      </c>
      <c r="F319" s="12" t="s">
        <v>2446</v>
      </c>
      <c r="G319" s="12" t="s">
        <v>1157</v>
      </c>
      <c r="H319" s="12" t="s">
        <v>1158</v>
      </c>
      <c r="I319" s="35"/>
      <c r="J319" s="12">
        <v>2009.0</v>
      </c>
      <c r="K319" s="23">
        <v>64.0</v>
      </c>
      <c r="L319" s="24">
        <v>1.0</v>
      </c>
      <c r="M319" s="25" t="s">
        <v>2447</v>
      </c>
      <c r="N319" s="26" t="str">
        <f t="shared" si="2"/>
        <v>398.2 
BUD
m</v>
      </c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0">
        <v>319.0</v>
      </c>
      <c r="B320" s="12" t="s">
        <v>2448</v>
      </c>
      <c r="C320" s="12" t="s">
        <v>229</v>
      </c>
      <c r="D320" s="23" t="s">
        <v>1856</v>
      </c>
      <c r="E320" s="12" t="s">
        <v>1898</v>
      </c>
      <c r="F320" s="12" t="s">
        <v>2449</v>
      </c>
      <c r="G320" s="12" t="s">
        <v>2450</v>
      </c>
      <c r="H320" s="12" t="s">
        <v>2451</v>
      </c>
      <c r="I320" s="23" t="s">
        <v>2452</v>
      </c>
      <c r="J320" s="12">
        <v>2012.0</v>
      </c>
      <c r="K320" s="23" t="s">
        <v>2453</v>
      </c>
      <c r="L320" s="24">
        <v>1.0</v>
      </c>
      <c r="M320" s="25" t="s">
        <v>2454</v>
      </c>
      <c r="N320" s="26" t="str">
        <f t="shared" si="2"/>
        <v>398.2
SUW
p</v>
      </c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0">
        <v>320.0</v>
      </c>
      <c r="B321" s="12" t="s">
        <v>2455</v>
      </c>
      <c r="C321" s="12" t="s">
        <v>229</v>
      </c>
      <c r="D321" s="35"/>
      <c r="E321" s="22" t="s">
        <v>1155</v>
      </c>
      <c r="F321" s="12" t="s">
        <v>2456</v>
      </c>
      <c r="G321" s="22"/>
      <c r="H321" s="12" t="s">
        <v>2457</v>
      </c>
      <c r="I321" s="35"/>
      <c r="J321" s="12">
        <v>2014.0</v>
      </c>
      <c r="K321" s="23">
        <v>56.0</v>
      </c>
      <c r="L321" s="24">
        <v>1.0</v>
      </c>
      <c r="M321" s="12" t="s">
        <v>340</v>
      </c>
      <c r="N321" s="26" t="str">
        <f t="shared" si="2"/>
        <v>
REI
p</v>
      </c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0">
        <v>321.0</v>
      </c>
      <c r="B322" s="12" t="s">
        <v>2458</v>
      </c>
      <c r="C322" s="12" t="s">
        <v>229</v>
      </c>
      <c r="D322" s="23" t="s">
        <v>1856</v>
      </c>
      <c r="E322" s="12" t="s">
        <v>1898</v>
      </c>
      <c r="F322" s="12" t="s">
        <v>2459</v>
      </c>
      <c r="G322" s="12" t="s">
        <v>2408</v>
      </c>
      <c r="H322" s="12" t="s">
        <v>1158</v>
      </c>
      <c r="I322" s="23" t="s">
        <v>2460</v>
      </c>
      <c r="J322" s="12">
        <v>2009.0</v>
      </c>
      <c r="K322" s="23">
        <v>64.0</v>
      </c>
      <c r="L322" s="24">
        <v>1.0</v>
      </c>
      <c r="M322" s="25" t="s">
        <v>2461</v>
      </c>
      <c r="N322" s="26" t="str">
        <f t="shared" si="2"/>
        <v>398.2
D. 
s</v>
      </c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0">
        <v>322.0</v>
      </c>
      <c r="B323" s="12" t="s">
        <v>2462</v>
      </c>
      <c r="C323" s="12" t="s">
        <v>38</v>
      </c>
      <c r="D323" s="23">
        <v>819.0</v>
      </c>
      <c r="E323" s="12" t="s">
        <v>2463</v>
      </c>
      <c r="F323" s="12" t="s">
        <v>2413</v>
      </c>
      <c r="G323" s="22"/>
      <c r="H323" s="12" t="s">
        <v>2420</v>
      </c>
      <c r="I323" s="35"/>
      <c r="J323" s="12">
        <v>2013.0</v>
      </c>
      <c r="K323" s="23">
        <v>48.0</v>
      </c>
      <c r="L323" s="24">
        <v>1.0</v>
      </c>
      <c r="M323" s="25" t="s">
        <v>2464</v>
      </c>
      <c r="N323" s="26" t="str">
        <f t="shared" si="2"/>
        <v>819
AKU
s</v>
      </c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0">
        <v>323.0</v>
      </c>
      <c r="B324" s="12" t="s">
        <v>2465</v>
      </c>
      <c r="C324" s="12" t="s">
        <v>229</v>
      </c>
      <c r="D324" s="23" t="s">
        <v>1856</v>
      </c>
      <c r="E324" s="12" t="s">
        <v>1898</v>
      </c>
      <c r="F324" s="12" t="s">
        <v>2466</v>
      </c>
      <c r="G324" s="12" t="s">
        <v>2467</v>
      </c>
      <c r="H324" s="12" t="s">
        <v>2468</v>
      </c>
      <c r="I324" s="23" t="s">
        <v>2469</v>
      </c>
      <c r="J324" s="12">
        <v>2015.0</v>
      </c>
      <c r="K324" s="23" t="s">
        <v>2410</v>
      </c>
      <c r="L324" s="24">
        <v>5.0</v>
      </c>
      <c r="M324" s="25" t="s">
        <v>2470</v>
      </c>
      <c r="N324" s="26" t="str">
        <f t="shared" si="2"/>
        <v>398.2
NEN
s</v>
      </c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0">
        <v>324.0</v>
      </c>
      <c r="B325" s="12" t="s">
        <v>2471</v>
      </c>
      <c r="C325" s="12" t="s">
        <v>229</v>
      </c>
      <c r="D325" s="23" t="s">
        <v>1856</v>
      </c>
      <c r="E325" s="12" t="s">
        <v>1898</v>
      </c>
      <c r="F325" s="12" t="s">
        <v>2472</v>
      </c>
      <c r="G325" s="22"/>
      <c r="H325" s="12" t="s">
        <v>2473</v>
      </c>
      <c r="I325" s="23" t="s">
        <v>2474</v>
      </c>
      <c r="J325" s="12">
        <v>2012.0</v>
      </c>
      <c r="K325" s="23">
        <v>44.0</v>
      </c>
      <c r="L325" s="24">
        <v>2.0</v>
      </c>
      <c r="M325" s="25" t="s">
        <v>2475</v>
      </c>
      <c r="N325" s="26" t="str">
        <f t="shared" si="2"/>
        <v>398.2
AJI
s</v>
      </c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0">
        <v>325.0</v>
      </c>
      <c r="B326" s="12" t="s">
        <v>2476</v>
      </c>
      <c r="C326" s="12" t="s">
        <v>229</v>
      </c>
      <c r="D326" s="23" t="s">
        <v>1856</v>
      </c>
      <c r="E326" s="12" t="s">
        <v>1898</v>
      </c>
      <c r="F326" s="12" t="s">
        <v>2477</v>
      </c>
      <c r="G326" s="12" t="s">
        <v>518</v>
      </c>
      <c r="H326" s="12" t="s">
        <v>2478</v>
      </c>
      <c r="I326" s="23" t="s">
        <v>2479</v>
      </c>
      <c r="J326" s="12">
        <v>2003.0</v>
      </c>
      <c r="K326" s="23">
        <v>104.0</v>
      </c>
      <c r="L326" s="24">
        <v>1.0</v>
      </c>
      <c r="M326" s="12" t="s">
        <v>340</v>
      </c>
      <c r="N326" s="26" t="str">
        <f t="shared" si="2"/>
        <v>398.2
YUL
c</v>
      </c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0">
        <v>326.0</v>
      </c>
      <c r="B327" s="12" t="s">
        <v>2480</v>
      </c>
      <c r="C327" s="12" t="s">
        <v>229</v>
      </c>
      <c r="D327" s="23" t="s">
        <v>1856</v>
      </c>
      <c r="E327" s="12" t="s">
        <v>1898</v>
      </c>
      <c r="F327" s="12" t="s">
        <v>2481</v>
      </c>
      <c r="G327" s="12" t="s">
        <v>2482</v>
      </c>
      <c r="H327" s="12" t="s">
        <v>1026</v>
      </c>
      <c r="I327" s="23" t="s">
        <v>2483</v>
      </c>
      <c r="J327" s="12">
        <v>2009.0</v>
      </c>
      <c r="K327" s="23" t="s">
        <v>2405</v>
      </c>
      <c r="L327" s="24">
        <v>7.0</v>
      </c>
      <c r="M327" s="25" t="s">
        <v>2484</v>
      </c>
      <c r="N327" s="26" t="str">
        <f t="shared" si="2"/>
        <v>398.2
DUD
l</v>
      </c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0">
        <v>327.0</v>
      </c>
      <c r="B328" s="12" t="s">
        <v>2485</v>
      </c>
      <c r="C328" s="12" t="s">
        <v>229</v>
      </c>
      <c r="D328" s="23" t="s">
        <v>2486</v>
      </c>
      <c r="E328" s="12" t="s">
        <v>2487</v>
      </c>
      <c r="F328" s="12" t="s">
        <v>2488</v>
      </c>
      <c r="G328" s="12" t="s">
        <v>2489</v>
      </c>
      <c r="H328" s="12" t="s">
        <v>2077</v>
      </c>
      <c r="I328" s="23" t="s">
        <v>2490</v>
      </c>
      <c r="J328" s="12">
        <v>2015.0</v>
      </c>
      <c r="K328" s="23">
        <v>58.0</v>
      </c>
      <c r="L328" s="24">
        <v>1.0</v>
      </c>
      <c r="M328" s="25" t="s">
        <v>2491</v>
      </c>
      <c r="N328" s="26" t="str">
        <f t="shared" si="2"/>
        <v>372.6
JOH
m</v>
      </c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0">
        <v>328.0</v>
      </c>
      <c r="B329" s="12" t="s">
        <v>2492</v>
      </c>
      <c r="C329" s="12" t="s">
        <v>229</v>
      </c>
      <c r="D329" s="23">
        <v>398.0</v>
      </c>
      <c r="E329" s="12" t="s">
        <v>2493</v>
      </c>
      <c r="F329" s="12" t="s">
        <v>2278</v>
      </c>
      <c r="G329" s="22"/>
      <c r="H329" s="12" t="s">
        <v>2494</v>
      </c>
      <c r="I329" s="35"/>
      <c r="J329" s="22"/>
      <c r="K329" s="23">
        <v>254.0</v>
      </c>
      <c r="L329" s="24">
        <v>1.0</v>
      </c>
      <c r="M329" s="25" t="s">
        <v>2495</v>
      </c>
      <c r="N329" s="26" t="str">
        <f t="shared" si="2"/>
        <v>398
TIM
k</v>
      </c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0">
        <v>329.0</v>
      </c>
      <c r="B330" s="12" t="s">
        <v>2496</v>
      </c>
      <c r="C330" s="12" t="s">
        <v>229</v>
      </c>
      <c r="D330" s="23" t="s">
        <v>1856</v>
      </c>
      <c r="E330" s="12" t="s">
        <v>1898</v>
      </c>
      <c r="F330" s="12" t="s">
        <v>2497</v>
      </c>
      <c r="G330" s="22"/>
      <c r="H330" s="12" t="s">
        <v>1900</v>
      </c>
      <c r="I330" s="35"/>
      <c r="J330" s="12">
        <v>2014.0</v>
      </c>
      <c r="K330" s="23">
        <v>52.0</v>
      </c>
      <c r="L330" s="24">
        <v>2.0</v>
      </c>
      <c r="M330" s="25" t="s">
        <v>2498</v>
      </c>
      <c r="N330" s="26" t="str">
        <f t="shared" si="2"/>
        <v>398.2
RUS
p</v>
      </c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0">
        <v>330.0</v>
      </c>
      <c r="B331" s="12" t="s">
        <v>2499</v>
      </c>
      <c r="C331" s="12" t="s">
        <v>229</v>
      </c>
      <c r="D331" s="23" t="s">
        <v>1856</v>
      </c>
      <c r="E331" s="12" t="s">
        <v>2500</v>
      </c>
      <c r="F331" s="12" t="s">
        <v>2501</v>
      </c>
      <c r="G331" s="12" t="s">
        <v>2502</v>
      </c>
      <c r="H331" s="12" t="s">
        <v>382</v>
      </c>
      <c r="I331" s="35"/>
      <c r="J331" s="12">
        <v>2017.0</v>
      </c>
      <c r="K331" s="23">
        <v>80.0</v>
      </c>
      <c r="L331" s="24">
        <v>5.0</v>
      </c>
      <c r="M331" s="25" t="s">
        <v>2503</v>
      </c>
      <c r="N331" s="26" t="str">
        <f t="shared" si="2"/>
        <v>398.2
KI 
d</v>
      </c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0">
        <v>331.0</v>
      </c>
      <c r="B332" s="12" t="s">
        <v>2504</v>
      </c>
      <c r="C332" s="12" t="s">
        <v>229</v>
      </c>
      <c r="D332" s="35"/>
      <c r="E332" s="22" t="s">
        <v>1155</v>
      </c>
      <c r="F332" s="12" t="s">
        <v>2505</v>
      </c>
      <c r="G332" s="12" t="s">
        <v>2506</v>
      </c>
      <c r="H332" s="12" t="s">
        <v>2507</v>
      </c>
      <c r="I332" s="23" t="s">
        <v>2508</v>
      </c>
      <c r="J332" s="12">
        <v>2009.0</v>
      </c>
      <c r="K332" s="23">
        <v>52.0</v>
      </c>
      <c r="L332" s="24">
        <v>1.0</v>
      </c>
      <c r="M332" s="12" t="s">
        <v>340</v>
      </c>
      <c r="N332" s="26" t="str">
        <f t="shared" si="2"/>
        <v>
JAN
b</v>
      </c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0">
        <v>332.0</v>
      </c>
      <c r="B333" s="12" t="s">
        <v>2480</v>
      </c>
      <c r="C333" s="12" t="s">
        <v>229</v>
      </c>
      <c r="D333" s="23" t="s">
        <v>1856</v>
      </c>
      <c r="E333" s="12" t="s">
        <v>1898</v>
      </c>
      <c r="F333" s="12" t="s">
        <v>2509</v>
      </c>
      <c r="G333" s="22"/>
      <c r="H333" s="12" t="s">
        <v>2510</v>
      </c>
      <c r="I333" s="35"/>
      <c r="J333" s="22"/>
      <c r="K333" s="23">
        <v>82.0</v>
      </c>
      <c r="L333" s="24">
        <v>2.0</v>
      </c>
      <c r="M333" s="25" t="s">
        <v>2484</v>
      </c>
      <c r="N333" s="26" t="str">
        <f t="shared" si="2"/>
        <v>398.2
KOS
l</v>
      </c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0">
        <v>333.0</v>
      </c>
      <c r="B334" s="12" t="s">
        <v>2511</v>
      </c>
      <c r="C334" s="12" t="s">
        <v>38</v>
      </c>
      <c r="D334" s="23">
        <v>819.0</v>
      </c>
      <c r="E334" s="22" t="s">
        <v>2401</v>
      </c>
      <c r="F334" s="12" t="s">
        <v>2446</v>
      </c>
      <c r="G334" s="12" t="s">
        <v>2512</v>
      </c>
      <c r="H334" s="12" t="s">
        <v>2513</v>
      </c>
      <c r="I334" s="35"/>
      <c r="J334" s="12">
        <v>2010.0</v>
      </c>
      <c r="K334" s="23">
        <v>192.0</v>
      </c>
      <c r="L334" s="24">
        <v>1.0</v>
      </c>
      <c r="M334" s="38" t="s">
        <v>2514</v>
      </c>
      <c r="N334" s="26" t="str">
        <f t="shared" si="2"/>
        <v>819
BUD
d</v>
      </c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0">
        <v>334.0</v>
      </c>
      <c r="B335" s="12" t="s">
        <v>2515</v>
      </c>
      <c r="C335" s="12" t="s">
        <v>229</v>
      </c>
      <c r="D335" s="23" t="s">
        <v>1856</v>
      </c>
      <c r="E335" s="12" t="s">
        <v>1898</v>
      </c>
      <c r="F335" s="12" t="s">
        <v>2516</v>
      </c>
      <c r="G335" s="22"/>
      <c r="H335" s="12" t="s">
        <v>2517</v>
      </c>
      <c r="I335" s="35"/>
      <c r="J335" s="12">
        <v>2007.0</v>
      </c>
      <c r="K335" s="23">
        <v>128.0</v>
      </c>
      <c r="L335" s="24">
        <v>2.0</v>
      </c>
      <c r="M335" s="25" t="s">
        <v>2518</v>
      </c>
      <c r="N335" s="26" t="str">
        <f t="shared" si="2"/>
        <v>398.2
EDY
r</v>
      </c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0">
        <v>335.0</v>
      </c>
      <c r="B336" s="12" t="s">
        <v>2519</v>
      </c>
      <c r="C336" s="12" t="s">
        <v>229</v>
      </c>
      <c r="D336" s="35"/>
      <c r="E336" s="22" t="s">
        <v>1155</v>
      </c>
      <c r="F336" s="12" t="s">
        <v>2520</v>
      </c>
      <c r="G336" s="22"/>
      <c r="H336" s="12" t="s">
        <v>2473</v>
      </c>
      <c r="I336" s="23" t="s">
        <v>2521</v>
      </c>
      <c r="J336" s="12">
        <v>2012.0</v>
      </c>
      <c r="K336" s="23">
        <v>66.0</v>
      </c>
      <c r="L336" s="24">
        <v>1.0</v>
      </c>
      <c r="M336" s="12" t="s">
        <v>340</v>
      </c>
      <c r="N336" s="26" t="str">
        <f t="shared" si="2"/>
        <v>
DAR
d</v>
      </c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0">
        <v>336.0</v>
      </c>
      <c r="B337" s="12" t="s">
        <v>2522</v>
      </c>
      <c r="C337" s="12" t="s">
        <v>229</v>
      </c>
      <c r="D337" s="23" t="s">
        <v>1856</v>
      </c>
      <c r="E337" s="12" t="s">
        <v>1898</v>
      </c>
      <c r="F337" s="12" t="s">
        <v>2523</v>
      </c>
      <c r="G337" s="12" t="s">
        <v>2524</v>
      </c>
      <c r="H337" s="12" t="s">
        <v>2525</v>
      </c>
      <c r="I337" s="23" t="s">
        <v>2526</v>
      </c>
      <c r="J337" s="12">
        <v>2005.0</v>
      </c>
      <c r="K337" s="23">
        <v>56.0</v>
      </c>
      <c r="L337" s="24">
        <v>2.0</v>
      </c>
      <c r="M337" s="25" t="s">
        <v>2527</v>
      </c>
      <c r="N337" s="26" t="str">
        <f t="shared" si="2"/>
        <v>398.2
ALA
c</v>
      </c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0">
        <v>337.0</v>
      </c>
      <c r="B338" s="12" t="s">
        <v>2528</v>
      </c>
      <c r="C338" s="12" t="s">
        <v>229</v>
      </c>
      <c r="D338" s="23">
        <v>398.0</v>
      </c>
      <c r="E338" s="12" t="s">
        <v>2529</v>
      </c>
      <c r="F338" s="12" t="s">
        <v>2530</v>
      </c>
      <c r="G338" s="22"/>
      <c r="H338" s="12" t="s">
        <v>2531</v>
      </c>
      <c r="I338" s="35"/>
      <c r="J338" s="12">
        <v>1996.0</v>
      </c>
      <c r="K338" s="23">
        <v>148.0</v>
      </c>
      <c r="L338" s="24">
        <v>1.0</v>
      </c>
      <c r="M338" s="25" t="s">
        <v>2532</v>
      </c>
      <c r="N338" s="26" t="str">
        <f t="shared" si="2"/>
        <v>398
YOS
h</v>
      </c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0">
        <v>338.0</v>
      </c>
      <c r="B339" s="12" t="s">
        <v>2533</v>
      </c>
      <c r="C339" s="12" t="s">
        <v>229</v>
      </c>
      <c r="D339" s="23" t="s">
        <v>1856</v>
      </c>
      <c r="E339" s="22" t="s">
        <v>1898</v>
      </c>
      <c r="F339" s="12" t="s">
        <v>2534</v>
      </c>
      <c r="G339" s="12" t="s">
        <v>2535</v>
      </c>
      <c r="H339" s="12" t="s">
        <v>2536</v>
      </c>
      <c r="I339" s="23" t="s">
        <v>2537</v>
      </c>
      <c r="J339" s="12">
        <v>2013.0</v>
      </c>
      <c r="K339" s="23">
        <v>114.0</v>
      </c>
      <c r="L339" s="24">
        <v>1.0</v>
      </c>
      <c r="M339" s="25" t="s">
        <v>2538</v>
      </c>
      <c r="N339" s="26" t="str">
        <f t="shared" si="2"/>
        <v>398.2
RIN
c</v>
      </c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0">
        <v>339.0</v>
      </c>
      <c r="B340" s="12" t="s">
        <v>2539</v>
      </c>
      <c r="C340" s="12" t="s">
        <v>229</v>
      </c>
      <c r="D340" s="23" t="s">
        <v>1856</v>
      </c>
      <c r="E340" s="22" t="s">
        <v>1898</v>
      </c>
      <c r="F340" s="12" t="s">
        <v>2540</v>
      </c>
      <c r="G340" s="12" t="s">
        <v>1610</v>
      </c>
      <c r="H340" s="12" t="s">
        <v>646</v>
      </c>
      <c r="I340" s="23">
        <v>9.786023500918E12</v>
      </c>
      <c r="J340" s="12">
        <v>2017.0</v>
      </c>
      <c r="K340" s="23">
        <v>88.0</v>
      </c>
      <c r="L340" s="24">
        <v>2.0</v>
      </c>
      <c r="M340" s="25" t="s">
        <v>2541</v>
      </c>
      <c r="N340" s="26" t="str">
        <f t="shared" si="2"/>
        <v>398.2
GIN
j</v>
      </c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0">
        <v>340.0</v>
      </c>
      <c r="B341" s="12" t="s">
        <v>2542</v>
      </c>
      <c r="C341" s="12" t="s">
        <v>229</v>
      </c>
      <c r="D341" s="23" t="s">
        <v>1992</v>
      </c>
      <c r="E341" s="12" t="s">
        <v>2543</v>
      </c>
      <c r="F341" s="12" t="s">
        <v>2544</v>
      </c>
      <c r="G341" s="12" t="s">
        <v>2545</v>
      </c>
      <c r="H341" s="12" t="s">
        <v>2007</v>
      </c>
      <c r="I341" s="23" t="s">
        <v>2546</v>
      </c>
      <c r="J341" s="12">
        <v>2005.0</v>
      </c>
      <c r="K341" s="23">
        <v>176.0</v>
      </c>
      <c r="L341" s="24">
        <v>2.0</v>
      </c>
      <c r="M341" s="25" t="s">
        <v>2547</v>
      </c>
      <c r="N341" s="26" t="str">
        <f t="shared" si="2"/>
        <v>370.15
MAR
9</v>
      </c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0">
        <v>341.0</v>
      </c>
      <c r="B342" s="12" t="s">
        <v>2548</v>
      </c>
      <c r="C342" s="12" t="s">
        <v>229</v>
      </c>
      <c r="D342" s="23" t="s">
        <v>1856</v>
      </c>
      <c r="E342" s="22" t="s">
        <v>1898</v>
      </c>
      <c r="F342" s="12" t="s">
        <v>2549</v>
      </c>
      <c r="G342" s="12" t="s">
        <v>2550</v>
      </c>
      <c r="H342" s="12" t="s">
        <v>623</v>
      </c>
      <c r="I342" s="23" t="s">
        <v>2551</v>
      </c>
      <c r="J342" s="12">
        <v>2014.0</v>
      </c>
      <c r="K342" s="23">
        <v>52.0</v>
      </c>
      <c r="L342" s="24">
        <v>1.0</v>
      </c>
      <c r="M342" s="25" t="s">
        <v>2552</v>
      </c>
      <c r="N342" s="26" t="str">
        <f t="shared" si="2"/>
        <v>398.2
MAY
k</v>
      </c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0">
        <v>342.0</v>
      </c>
      <c r="B343" s="12" t="s">
        <v>2553</v>
      </c>
      <c r="C343" s="12" t="s">
        <v>229</v>
      </c>
      <c r="D343" s="23" t="s">
        <v>1856</v>
      </c>
      <c r="E343" s="22" t="s">
        <v>1898</v>
      </c>
      <c r="F343" s="12" t="s">
        <v>2554</v>
      </c>
      <c r="G343" s="12" t="s">
        <v>2555</v>
      </c>
      <c r="H343" s="12" t="s">
        <v>2036</v>
      </c>
      <c r="I343" s="23" t="s">
        <v>2556</v>
      </c>
      <c r="J343" s="12">
        <v>2014.0</v>
      </c>
      <c r="K343" s="23">
        <v>54.0</v>
      </c>
      <c r="L343" s="24">
        <v>2.0</v>
      </c>
      <c r="M343" s="25" t="s">
        <v>2557</v>
      </c>
      <c r="N343" s="26" t="str">
        <f t="shared" si="2"/>
        <v>398.2
HEP
k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0">
        <v>343.0</v>
      </c>
      <c r="B344" s="12" t="s">
        <v>2558</v>
      </c>
      <c r="C344" s="12" t="s">
        <v>229</v>
      </c>
      <c r="D344" s="23" t="s">
        <v>1856</v>
      </c>
      <c r="E344" s="22" t="s">
        <v>1898</v>
      </c>
      <c r="F344" s="12" t="s">
        <v>2559</v>
      </c>
      <c r="G344" s="12" t="s">
        <v>518</v>
      </c>
      <c r="H344" s="12" t="s">
        <v>2560</v>
      </c>
      <c r="I344" s="23">
        <v>9.786025645006E12</v>
      </c>
      <c r="J344" s="12">
        <v>2018.0</v>
      </c>
      <c r="K344" s="23">
        <v>48.0</v>
      </c>
      <c r="L344" s="24">
        <v>1.0</v>
      </c>
      <c r="M344" s="25" t="s">
        <v>2561</v>
      </c>
      <c r="N344" s="26" t="str">
        <f t="shared" si="2"/>
        <v>398.2
TAT
n</v>
      </c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0">
        <v>344.0</v>
      </c>
      <c r="B345" s="12" t="s">
        <v>2562</v>
      </c>
      <c r="C345" s="12" t="s">
        <v>229</v>
      </c>
      <c r="D345" s="23" t="s">
        <v>1856</v>
      </c>
      <c r="E345" s="12" t="s">
        <v>2563</v>
      </c>
      <c r="F345" s="12" t="s">
        <v>2564</v>
      </c>
      <c r="G345" s="12" t="s">
        <v>518</v>
      </c>
      <c r="H345" s="12" t="s">
        <v>2565</v>
      </c>
      <c r="I345" s="23" t="s">
        <v>2566</v>
      </c>
      <c r="J345" s="12">
        <v>2009.0</v>
      </c>
      <c r="K345" s="23">
        <v>64.0</v>
      </c>
      <c r="L345" s="24">
        <v>2.0</v>
      </c>
      <c r="M345" s="25" t="s">
        <v>2567</v>
      </c>
      <c r="N345" s="26" t="str">
        <f t="shared" si="2"/>
        <v>398.2
HID
s</v>
      </c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0">
        <v>345.0</v>
      </c>
      <c r="B346" s="12" t="s">
        <v>2568</v>
      </c>
      <c r="C346" s="12" t="s">
        <v>229</v>
      </c>
      <c r="D346" s="23" t="s">
        <v>2569</v>
      </c>
      <c r="E346" s="12" t="s">
        <v>2570</v>
      </c>
      <c r="F346" s="12" t="s">
        <v>2571</v>
      </c>
      <c r="G346" s="12" t="s">
        <v>2572</v>
      </c>
      <c r="H346" s="12" t="s">
        <v>2573</v>
      </c>
      <c r="I346" s="35"/>
      <c r="J346" s="22"/>
      <c r="K346" s="23">
        <v>128.0</v>
      </c>
      <c r="L346" s="24">
        <v>1.0</v>
      </c>
      <c r="M346" s="25" t="s">
        <v>2574</v>
      </c>
      <c r="N346" s="26" t="str">
        <f t="shared" si="2"/>
        <v>398.9
MOH
k</v>
      </c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0">
        <v>346.0</v>
      </c>
      <c r="B347" s="12" t="s">
        <v>2575</v>
      </c>
      <c r="C347" s="12" t="s">
        <v>229</v>
      </c>
      <c r="D347" s="23" t="s">
        <v>1856</v>
      </c>
      <c r="E347" s="22" t="s">
        <v>1898</v>
      </c>
      <c r="F347" s="12" t="s">
        <v>2472</v>
      </c>
      <c r="G347" s="22"/>
      <c r="H347" s="12" t="s">
        <v>646</v>
      </c>
      <c r="I347" s="23">
        <v>9.789791362672E12</v>
      </c>
      <c r="J347" s="12">
        <v>2018.0</v>
      </c>
      <c r="K347" s="23" t="s">
        <v>2576</v>
      </c>
      <c r="L347" s="24">
        <v>4.0</v>
      </c>
      <c r="M347" s="38" t="s">
        <v>2577</v>
      </c>
      <c r="N347" s="26" t="str">
        <f t="shared" si="2"/>
        <v>398.2
AJI
s</v>
      </c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0">
        <v>347.0</v>
      </c>
      <c r="B348" s="12" t="s">
        <v>2578</v>
      </c>
      <c r="C348" s="12" t="s">
        <v>229</v>
      </c>
      <c r="D348" s="23" t="s">
        <v>1856</v>
      </c>
      <c r="E348" s="22" t="s">
        <v>1898</v>
      </c>
      <c r="F348" s="12" t="s">
        <v>2540</v>
      </c>
      <c r="G348" s="12" t="s">
        <v>1610</v>
      </c>
      <c r="H348" s="12" t="s">
        <v>646</v>
      </c>
      <c r="I348" s="23">
        <v>9.786023500987E12</v>
      </c>
      <c r="J348" s="12">
        <v>2017.0</v>
      </c>
      <c r="K348" s="23">
        <v>90.0</v>
      </c>
      <c r="L348" s="24">
        <v>3.0</v>
      </c>
      <c r="M348" s="25" t="s">
        <v>2579</v>
      </c>
      <c r="N348" s="26" t="str">
        <f t="shared" si="2"/>
        <v>398.2
GIN
c</v>
      </c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0">
        <v>348.0</v>
      </c>
      <c r="B349" s="12" t="s">
        <v>2580</v>
      </c>
      <c r="C349" s="12" t="s">
        <v>229</v>
      </c>
      <c r="D349" s="23">
        <v>398.2</v>
      </c>
      <c r="E349" s="12" t="s">
        <v>1898</v>
      </c>
      <c r="F349" s="12" t="s">
        <v>2540</v>
      </c>
      <c r="G349" s="12" t="s">
        <v>1610</v>
      </c>
      <c r="H349" s="12" t="s">
        <v>646</v>
      </c>
      <c r="I349" s="23">
        <v>9.786023500925E12</v>
      </c>
      <c r="J349" s="12">
        <v>2017.0</v>
      </c>
      <c r="K349" s="23">
        <v>90.0</v>
      </c>
      <c r="L349" s="24">
        <v>3.0</v>
      </c>
      <c r="M349" s="25" t="s">
        <v>2581</v>
      </c>
      <c r="N349" s="26" t="str">
        <f t="shared" si="2"/>
        <v>398,2
GIN
c</v>
      </c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0">
        <v>349.0</v>
      </c>
      <c r="B350" s="12" t="s">
        <v>2582</v>
      </c>
      <c r="C350" s="12" t="s">
        <v>229</v>
      </c>
      <c r="D350" s="23" t="s">
        <v>1856</v>
      </c>
      <c r="E350" s="12" t="s">
        <v>1898</v>
      </c>
      <c r="F350" s="12" t="s">
        <v>2540</v>
      </c>
      <c r="G350" s="12" t="s">
        <v>1610</v>
      </c>
      <c r="H350" s="12" t="s">
        <v>646</v>
      </c>
      <c r="I350" s="23">
        <v>9.786023500994E12</v>
      </c>
      <c r="J350" s="12">
        <v>2017.0</v>
      </c>
      <c r="K350" s="23">
        <v>92.0</v>
      </c>
      <c r="L350" s="24">
        <v>4.0</v>
      </c>
      <c r="M350" s="25" t="s">
        <v>2583</v>
      </c>
      <c r="N350" s="26" t="str">
        <f t="shared" si="2"/>
        <v>398.2
GIN
c</v>
      </c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0">
        <v>350.0</v>
      </c>
      <c r="B351" s="12" t="s">
        <v>2584</v>
      </c>
      <c r="C351" s="12" t="s">
        <v>229</v>
      </c>
      <c r="D351" s="23" t="s">
        <v>1856</v>
      </c>
      <c r="E351" s="12" t="s">
        <v>1898</v>
      </c>
      <c r="F351" s="12" t="s">
        <v>2585</v>
      </c>
      <c r="G351" s="12" t="s">
        <v>2586</v>
      </c>
      <c r="H351" s="12" t="s">
        <v>2587</v>
      </c>
      <c r="I351" s="23">
        <v>9.786028982092E12</v>
      </c>
      <c r="J351" s="12">
        <v>2017.0</v>
      </c>
      <c r="K351" s="23" t="s">
        <v>2588</v>
      </c>
      <c r="L351" s="24">
        <v>4.0</v>
      </c>
      <c r="M351" s="25" t="s">
        <v>2589</v>
      </c>
      <c r="N351" s="26" t="str">
        <f t="shared" si="2"/>
        <v>398.2
VAL
p</v>
      </c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0">
        <v>351.0</v>
      </c>
      <c r="B352" s="12" t="s">
        <v>2590</v>
      </c>
      <c r="C352" s="12" t="s">
        <v>229</v>
      </c>
      <c r="D352" s="23" t="s">
        <v>1856</v>
      </c>
      <c r="E352" s="12" t="s">
        <v>1898</v>
      </c>
      <c r="F352" s="12" t="s">
        <v>2591</v>
      </c>
      <c r="G352" s="12" t="s">
        <v>2586</v>
      </c>
      <c r="H352" s="12" t="s">
        <v>2587</v>
      </c>
      <c r="I352" s="23">
        <v>9.786028982085E12</v>
      </c>
      <c r="J352" s="12">
        <v>2017.0</v>
      </c>
      <c r="K352" s="23" t="s">
        <v>2592</v>
      </c>
      <c r="L352" s="24">
        <v>4.0</v>
      </c>
      <c r="M352" s="25" t="s">
        <v>2593</v>
      </c>
      <c r="N352" s="26" t="str">
        <f t="shared" si="2"/>
        <v>398.2
Drs
p</v>
      </c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0">
        <v>352.0</v>
      </c>
      <c r="B353" s="12" t="s">
        <v>2594</v>
      </c>
      <c r="C353" s="12" t="s">
        <v>229</v>
      </c>
      <c r="D353" s="23" t="s">
        <v>1856</v>
      </c>
      <c r="E353" s="12" t="s">
        <v>1898</v>
      </c>
      <c r="F353" s="12" t="s">
        <v>2595</v>
      </c>
      <c r="G353" s="12" t="s">
        <v>2586</v>
      </c>
      <c r="H353" s="12" t="s">
        <v>2587</v>
      </c>
      <c r="I353" s="23">
        <v>9.786028982078E12</v>
      </c>
      <c r="J353" s="12">
        <v>2017.0</v>
      </c>
      <c r="K353" s="23" t="s">
        <v>2596</v>
      </c>
      <c r="L353" s="24">
        <v>4.0</v>
      </c>
      <c r="M353" s="25" t="s">
        <v>2597</v>
      </c>
      <c r="N353" s="26" t="str">
        <f t="shared" si="2"/>
        <v>398.2
VAL
p</v>
      </c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0">
        <v>353.0</v>
      </c>
      <c r="B354" s="12" t="s">
        <v>2598</v>
      </c>
      <c r="C354" s="12" t="s">
        <v>229</v>
      </c>
      <c r="D354" s="23" t="s">
        <v>1856</v>
      </c>
      <c r="E354" s="12" t="s">
        <v>1898</v>
      </c>
      <c r="F354" s="12" t="s">
        <v>2599</v>
      </c>
      <c r="G354" s="12" t="s">
        <v>2600</v>
      </c>
      <c r="H354" s="12" t="s">
        <v>2601</v>
      </c>
      <c r="I354" s="35"/>
      <c r="J354" s="22"/>
      <c r="K354" s="23">
        <v>128.0</v>
      </c>
      <c r="L354" s="24">
        <v>1.0</v>
      </c>
      <c r="M354" s="25" t="s">
        <v>2602</v>
      </c>
      <c r="N354" s="26" t="str">
        <f t="shared" si="2"/>
        <v>398.2
YUS
k</v>
      </c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0">
        <v>354.0</v>
      </c>
      <c r="B355" s="12" t="s">
        <v>2603</v>
      </c>
      <c r="C355" s="12" t="s">
        <v>229</v>
      </c>
      <c r="D355" s="23" t="s">
        <v>1856</v>
      </c>
      <c r="E355" s="12" t="s">
        <v>1898</v>
      </c>
      <c r="F355" s="12" t="s">
        <v>2540</v>
      </c>
      <c r="G355" s="12" t="s">
        <v>1610</v>
      </c>
      <c r="H355" s="12" t="s">
        <v>646</v>
      </c>
      <c r="I355" s="23">
        <v>9.786023500956E12</v>
      </c>
      <c r="J355" s="12">
        <v>2017.0</v>
      </c>
      <c r="K355" s="23">
        <v>92.0</v>
      </c>
      <c r="L355" s="24">
        <v>2.0</v>
      </c>
      <c r="M355" s="25" t="s">
        <v>2604</v>
      </c>
      <c r="N355" s="26" t="str">
        <f t="shared" si="2"/>
        <v>398.2
GIN
c</v>
      </c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0">
        <v>355.0</v>
      </c>
      <c r="B356" s="12" t="s">
        <v>2605</v>
      </c>
      <c r="C356" s="12" t="s">
        <v>229</v>
      </c>
      <c r="D356" s="23" t="s">
        <v>2606</v>
      </c>
      <c r="E356" s="12" t="s">
        <v>1898</v>
      </c>
      <c r="F356" s="12" t="s">
        <v>2607</v>
      </c>
      <c r="G356" s="12" t="s">
        <v>2608</v>
      </c>
      <c r="H356" s="12" t="s">
        <v>2609</v>
      </c>
      <c r="I356" s="35"/>
      <c r="J356" s="12">
        <v>2008.0</v>
      </c>
      <c r="K356" s="23">
        <v>64.0</v>
      </c>
      <c r="L356" s="24">
        <v>1.0</v>
      </c>
      <c r="M356" s="25" t="s">
        <v>2610</v>
      </c>
      <c r="N356" s="26" t="str">
        <f t="shared" si="2"/>
        <v>392.2
TIR
a</v>
      </c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0">
        <v>356.0</v>
      </c>
      <c r="B357" s="12" t="s">
        <v>2611</v>
      </c>
      <c r="C357" s="12" t="s">
        <v>229</v>
      </c>
      <c r="D357" s="23" t="s">
        <v>1856</v>
      </c>
      <c r="E357" s="12" t="s">
        <v>1898</v>
      </c>
      <c r="F357" s="12" t="s">
        <v>2612</v>
      </c>
      <c r="G357" s="22"/>
      <c r="H357" s="12" t="s">
        <v>2613</v>
      </c>
      <c r="I357" s="35"/>
      <c r="J357" s="12">
        <v>2012.0</v>
      </c>
      <c r="K357" s="23">
        <v>86.0</v>
      </c>
      <c r="L357" s="24">
        <v>1.0</v>
      </c>
      <c r="M357" s="25" t="s">
        <v>2614</v>
      </c>
      <c r="N357" s="26" t="str">
        <f t="shared" si="2"/>
        <v>398.2
ELI
s</v>
      </c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0">
        <v>357.0</v>
      </c>
      <c r="B358" s="12" t="s">
        <v>2615</v>
      </c>
      <c r="C358" s="12" t="s">
        <v>229</v>
      </c>
      <c r="D358" s="28" t="s">
        <v>2616</v>
      </c>
      <c r="E358" s="12" t="s">
        <v>1898</v>
      </c>
      <c r="F358" s="12" t="s">
        <v>2617</v>
      </c>
      <c r="G358" s="22"/>
      <c r="H358" s="12" t="s">
        <v>1900</v>
      </c>
      <c r="I358" s="23">
        <v>9.789799133618E12</v>
      </c>
      <c r="J358" s="12">
        <v>2009.0</v>
      </c>
      <c r="K358" s="23">
        <v>56.0</v>
      </c>
      <c r="L358" s="24">
        <v>1.0</v>
      </c>
      <c r="M358" s="25" t="s">
        <v>2618</v>
      </c>
      <c r="N358" s="26" t="str">
        <f t="shared" si="2"/>
        <v>398.2
KAK
s</v>
      </c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0">
        <v>358.0</v>
      </c>
      <c r="B359" s="12" t="s">
        <v>2619</v>
      </c>
      <c r="C359" s="12" t="s">
        <v>229</v>
      </c>
      <c r="D359" s="23" t="s">
        <v>1856</v>
      </c>
      <c r="E359" s="12" t="s">
        <v>1898</v>
      </c>
      <c r="F359" s="12" t="s">
        <v>2620</v>
      </c>
      <c r="G359" s="12" t="s">
        <v>2621</v>
      </c>
      <c r="H359" s="12" t="s">
        <v>2622</v>
      </c>
      <c r="I359" s="35"/>
      <c r="J359" s="12">
        <v>2012.0</v>
      </c>
      <c r="K359" s="23">
        <v>128.0</v>
      </c>
      <c r="L359" s="24">
        <v>1.0</v>
      </c>
      <c r="M359" s="25" t="s">
        <v>2623</v>
      </c>
      <c r="N359" s="26" t="str">
        <f t="shared" si="2"/>
        <v>398.2
RAH
k</v>
      </c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0">
        <v>359.0</v>
      </c>
      <c r="B360" s="12" t="s">
        <v>2624</v>
      </c>
      <c r="C360" s="12" t="s">
        <v>229</v>
      </c>
      <c r="D360" s="23" t="s">
        <v>1856</v>
      </c>
      <c r="E360" s="12" t="s">
        <v>1898</v>
      </c>
      <c r="F360" s="12" t="s">
        <v>2625</v>
      </c>
      <c r="G360" s="22"/>
      <c r="H360" s="12" t="s">
        <v>2626</v>
      </c>
      <c r="I360" s="35"/>
      <c r="J360" s="22"/>
      <c r="K360" s="23">
        <v>64.0</v>
      </c>
      <c r="L360" s="24">
        <v>1.0</v>
      </c>
      <c r="M360" s="25" t="s">
        <v>2627</v>
      </c>
      <c r="N360" s="26" t="str">
        <f t="shared" si="2"/>
        <v>398.2
TIR
s</v>
      </c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0">
        <v>360.0</v>
      </c>
      <c r="B361" s="12" t="s">
        <v>2628</v>
      </c>
      <c r="C361" s="12" t="s">
        <v>38</v>
      </c>
      <c r="D361" s="23" t="s">
        <v>2629</v>
      </c>
      <c r="E361" s="12" t="s">
        <v>2630</v>
      </c>
      <c r="F361" s="12" t="s">
        <v>2631</v>
      </c>
      <c r="G361" s="12" t="s">
        <v>2632</v>
      </c>
      <c r="H361" s="12" t="s">
        <v>2633</v>
      </c>
      <c r="I361" s="23">
        <v>9.789799825858E12</v>
      </c>
      <c r="J361" s="12">
        <v>2004.0</v>
      </c>
      <c r="K361" s="23" t="s">
        <v>2634</v>
      </c>
      <c r="L361" s="24">
        <v>1.0</v>
      </c>
      <c r="M361" s="25" t="s">
        <v>2635</v>
      </c>
      <c r="N361" s="26" t="str">
        <f t="shared" si="2"/>
        <v>808.8
JUN
b</v>
      </c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0">
        <v>361.0</v>
      </c>
      <c r="B362" s="12" t="s">
        <v>2636</v>
      </c>
      <c r="C362" s="12" t="s">
        <v>262</v>
      </c>
      <c r="D362" s="23">
        <v>904.0</v>
      </c>
      <c r="E362" s="12" t="s">
        <v>2637</v>
      </c>
      <c r="F362" s="12" t="s">
        <v>2638</v>
      </c>
      <c r="G362" s="12" t="s">
        <v>2639</v>
      </c>
      <c r="H362" s="12" t="s">
        <v>2640</v>
      </c>
      <c r="I362" s="23" t="s">
        <v>2641</v>
      </c>
      <c r="J362" s="12">
        <v>2015.0</v>
      </c>
      <c r="K362" s="23">
        <v>60.0</v>
      </c>
      <c r="L362" s="24">
        <v>2.0</v>
      </c>
      <c r="M362" s="25" t="s">
        <v>2642</v>
      </c>
      <c r="N362" s="26" t="str">
        <f t="shared" si="2"/>
        <v>904
ELF
b</v>
      </c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0">
        <v>362.0</v>
      </c>
      <c r="B363" s="12" t="s">
        <v>2643</v>
      </c>
      <c r="C363" s="12" t="s">
        <v>229</v>
      </c>
      <c r="D363" s="23" t="s">
        <v>2644</v>
      </c>
      <c r="E363" s="12" t="s">
        <v>2645</v>
      </c>
      <c r="F363" s="12" t="s">
        <v>2646</v>
      </c>
      <c r="G363" s="12" t="s">
        <v>1954</v>
      </c>
      <c r="H363" s="12" t="s">
        <v>2647</v>
      </c>
      <c r="I363" s="23" t="s">
        <v>2648</v>
      </c>
      <c r="J363" s="12">
        <v>2015.0</v>
      </c>
      <c r="K363" s="23">
        <v>60.0</v>
      </c>
      <c r="L363" s="24">
        <v>4.0</v>
      </c>
      <c r="M363" s="25" t="s">
        <v>2649</v>
      </c>
      <c r="N363" s="26" t="str">
        <f t="shared" si="2"/>
        <v>363.3
YUL
b</v>
      </c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0">
        <v>363.0</v>
      </c>
      <c r="B364" s="12" t="s">
        <v>2650</v>
      </c>
      <c r="C364" s="12" t="s">
        <v>229</v>
      </c>
      <c r="D364" s="23" t="s">
        <v>2651</v>
      </c>
      <c r="E364" s="22" t="s">
        <v>2650</v>
      </c>
      <c r="F364" s="12" t="s">
        <v>2652</v>
      </c>
      <c r="G364" s="12" t="s">
        <v>2653</v>
      </c>
      <c r="H364" s="12" t="s">
        <v>2654</v>
      </c>
      <c r="I364" s="23" t="s">
        <v>2655</v>
      </c>
      <c r="J364" s="12">
        <v>2015.0</v>
      </c>
      <c r="K364" s="23">
        <v>64.0</v>
      </c>
      <c r="L364" s="24">
        <v>2.0</v>
      </c>
      <c r="M364" s="25" t="s">
        <v>2656</v>
      </c>
      <c r="N364" s="26" t="str">
        <f t="shared" si="2"/>
        <v>361.77
WAH
p</v>
      </c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0">
        <v>364.0</v>
      </c>
      <c r="B365" s="12" t="s">
        <v>2657</v>
      </c>
      <c r="C365" s="12" t="s">
        <v>229</v>
      </c>
      <c r="D365" s="23" t="s">
        <v>2658</v>
      </c>
      <c r="E365" s="22" t="s">
        <v>2659</v>
      </c>
      <c r="F365" s="12" t="s">
        <v>2660</v>
      </c>
      <c r="G365" s="12" t="s">
        <v>2661</v>
      </c>
      <c r="H365" s="12" t="s">
        <v>1282</v>
      </c>
      <c r="I365" s="23" t="s">
        <v>2662</v>
      </c>
      <c r="J365" s="12">
        <v>2015.0</v>
      </c>
      <c r="K365" s="23" t="s">
        <v>2663</v>
      </c>
      <c r="L365" s="24">
        <v>1.0</v>
      </c>
      <c r="M365" s="25" t="s">
        <v>2664</v>
      </c>
      <c r="N365" s="26" t="str">
        <f t="shared" si="2"/>
        <v>352.113
ANI
m</v>
      </c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0">
        <v>365.0</v>
      </c>
      <c r="B366" s="12" t="s">
        <v>2665</v>
      </c>
      <c r="C366" s="12" t="s">
        <v>262</v>
      </c>
      <c r="D366" s="23">
        <v>923.0</v>
      </c>
      <c r="E366" s="12" t="s">
        <v>2666</v>
      </c>
      <c r="F366" s="12" t="s">
        <v>2667</v>
      </c>
      <c r="G366" s="12" t="s">
        <v>2668</v>
      </c>
      <c r="H366" s="12" t="s">
        <v>2669</v>
      </c>
      <c r="I366" s="23"/>
      <c r="J366" s="12">
        <v>2001.0</v>
      </c>
      <c r="K366" s="23">
        <v>43.0</v>
      </c>
      <c r="L366" s="24">
        <v>1.0</v>
      </c>
      <c r="M366" s="25" t="s">
        <v>2670</v>
      </c>
      <c r="N366" s="26" t="str">
        <f t="shared" si="2"/>
        <v>923
KAM
c</v>
      </c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0">
        <v>366.0</v>
      </c>
      <c r="B367" s="12" t="s">
        <v>2671</v>
      </c>
      <c r="C367" s="12" t="s">
        <v>84</v>
      </c>
      <c r="D367" s="23" t="s">
        <v>2672</v>
      </c>
      <c r="E367" s="12" t="s">
        <v>2673</v>
      </c>
      <c r="F367" s="12" t="s">
        <v>2674</v>
      </c>
      <c r="G367" s="22"/>
      <c r="H367" s="12" t="s">
        <v>2675</v>
      </c>
      <c r="I367" s="23"/>
      <c r="J367" s="12"/>
      <c r="K367" s="23" t="s">
        <v>2676</v>
      </c>
      <c r="L367" s="24">
        <v>1.0</v>
      </c>
      <c r="M367" s="25" t="s">
        <v>2677</v>
      </c>
      <c r="N367" s="26" t="str">
        <f t="shared" si="2"/>
        <v>796.01
M S
a</v>
      </c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0">
        <v>367.0</v>
      </c>
      <c r="B368" s="12" t="s">
        <v>2678</v>
      </c>
      <c r="C368" s="12" t="s">
        <v>229</v>
      </c>
      <c r="D368" s="23" t="s">
        <v>2320</v>
      </c>
      <c r="E368" s="22" t="s">
        <v>2321</v>
      </c>
      <c r="F368" s="12" t="s">
        <v>2341</v>
      </c>
      <c r="G368" s="22"/>
      <c r="H368" s="12" t="s">
        <v>2679</v>
      </c>
      <c r="I368" s="23" t="s">
        <v>2680</v>
      </c>
      <c r="J368" s="12">
        <v>2017.0</v>
      </c>
      <c r="K368" s="23" t="s">
        <v>2681</v>
      </c>
      <c r="L368" s="24">
        <v>1.0</v>
      </c>
      <c r="M368" s="25" t="s">
        <v>2682</v>
      </c>
      <c r="N368" s="26" t="str">
        <f t="shared" si="2"/>
        <v>363.7
IND
m</v>
      </c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0">
        <v>368.0</v>
      </c>
      <c r="B369" s="12" t="s">
        <v>2683</v>
      </c>
      <c r="C369" s="12" t="s">
        <v>229</v>
      </c>
      <c r="D369" s="23">
        <v>379.0</v>
      </c>
      <c r="E369" s="12" t="s">
        <v>2684</v>
      </c>
      <c r="F369" s="12" t="s">
        <v>2685</v>
      </c>
      <c r="G369" s="22"/>
      <c r="H369" s="12" t="s">
        <v>2686</v>
      </c>
      <c r="I369" s="23" t="s">
        <v>2687</v>
      </c>
      <c r="J369" s="12">
        <v>2021.0</v>
      </c>
      <c r="K369" s="23" t="s">
        <v>2688</v>
      </c>
      <c r="L369" s="24">
        <v>1.0</v>
      </c>
      <c r="M369" s="25" t="s">
        <v>2689</v>
      </c>
      <c r="N369" s="26" t="str">
        <f t="shared" si="2"/>
        <v>379
Pro
p</v>
      </c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0">
        <v>369.0</v>
      </c>
      <c r="B370" s="12" t="s">
        <v>2690</v>
      </c>
      <c r="C370" s="12" t="s">
        <v>229</v>
      </c>
      <c r="D370" s="23">
        <v>306.0</v>
      </c>
      <c r="E370" s="12" t="s">
        <v>2691</v>
      </c>
      <c r="F370" s="12" t="s">
        <v>2692</v>
      </c>
      <c r="G370" s="12" t="s">
        <v>715</v>
      </c>
      <c r="H370" s="12" t="s">
        <v>554</v>
      </c>
      <c r="I370" s="23" t="s">
        <v>2693</v>
      </c>
      <c r="J370" s="12">
        <v>2015.0</v>
      </c>
      <c r="K370" s="23">
        <v>58.0</v>
      </c>
      <c r="L370" s="24">
        <v>4.0</v>
      </c>
      <c r="M370" s="25" t="s">
        <v>2694</v>
      </c>
      <c r="N370" s="26" t="str">
        <f t="shared" si="2"/>
        <v>306
ANI
j</v>
      </c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0">
        <v>370.0</v>
      </c>
      <c r="B371" s="12" t="s">
        <v>2695</v>
      </c>
      <c r="C371" s="12" t="s">
        <v>229</v>
      </c>
      <c r="D371" s="23" t="s">
        <v>2051</v>
      </c>
      <c r="E371" s="12" t="s">
        <v>2696</v>
      </c>
      <c r="F371" s="12" t="s">
        <v>2697</v>
      </c>
      <c r="G371" s="12" t="s">
        <v>2698</v>
      </c>
      <c r="H371" s="12" t="s">
        <v>2699</v>
      </c>
      <c r="I371" s="23">
        <v>9.789796784523E12</v>
      </c>
      <c r="J371" s="12">
        <v>2014.0</v>
      </c>
      <c r="K371" s="23">
        <v>90.0</v>
      </c>
      <c r="L371" s="24">
        <v>1.0</v>
      </c>
      <c r="M371" s="25" t="s">
        <v>2700</v>
      </c>
      <c r="N371" s="26" t="str">
        <f t="shared" si="2"/>
        <v>305.8
ROS
s</v>
      </c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0">
        <v>371.0</v>
      </c>
      <c r="B372" s="12" t="s">
        <v>2701</v>
      </c>
      <c r="C372" s="12" t="s">
        <v>229</v>
      </c>
      <c r="D372" s="23" t="s">
        <v>2702</v>
      </c>
      <c r="E372" s="22" t="s">
        <v>1814</v>
      </c>
      <c r="F372" s="12" t="s">
        <v>1940</v>
      </c>
      <c r="G372" s="12" t="s">
        <v>1941</v>
      </c>
      <c r="H372" s="12" t="s">
        <v>2141</v>
      </c>
      <c r="I372" s="23" t="s">
        <v>2703</v>
      </c>
      <c r="J372" s="12">
        <v>2015.0</v>
      </c>
      <c r="K372" s="23">
        <v>64.0</v>
      </c>
      <c r="L372" s="24">
        <v>4.0</v>
      </c>
      <c r="M372" s="25" t="s">
        <v>2704</v>
      </c>
      <c r="N372" s="26" t="str">
        <f t="shared" si="2"/>
        <v>320.5
ADD
p</v>
      </c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0">
        <v>372.0</v>
      </c>
      <c r="B373" s="12" t="s">
        <v>2705</v>
      </c>
      <c r="C373" s="12" t="s">
        <v>229</v>
      </c>
      <c r="D373" s="23" t="s">
        <v>2706</v>
      </c>
      <c r="E373" s="22" t="s">
        <v>2707</v>
      </c>
      <c r="F373" s="12" t="s">
        <v>2708</v>
      </c>
      <c r="G373" s="22"/>
      <c r="H373" s="12" t="s">
        <v>2709</v>
      </c>
      <c r="I373" s="35"/>
      <c r="J373" s="12">
        <v>2007.0</v>
      </c>
      <c r="K373" s="23">
        <v>91.0</v>
      </c>
      <c r="L373" s="24">
        <v>1.0</v>
      </c>
      <c r="M373" s="12" t="s">
        <v>340</v>
      </c>
      <c r="N373" s="26" t="str">
        <f t="shared" si="2"/>
        <v>307
KNP
a</v>
      </c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0">
        <v>373.0</v>
      </c>
      <c r="B374" s="12" t="s">
        <v>2710</v>
      </c>
      <c r="C374" s="12" t="s">
        <v>229</v>
      </c>
      <c r="D374" s="23" t="s">
        <v>2711</v>
      </c>
      <c r="E374" s="22" t="s">
        <v>2570</v>
      </c>
      <c r="F374" s="12" t="s">
        <v>2712</v>
      </c>
      <c r="G374" s="12" t="s">
        <v>2713</v>
      </c>
      <c r="H374" s="12" t="s">
        <v>1955</v>
      </c>
      <c r="I374" s="23" t="s">
        <v>2714</v>
      </c>
      <c r="J374" s="12">
        <v>2015.0</v>
      </c>
      <c r="K374" s="23">
        <v>60.0</v>
      </c>
      <c r="L374" s="24">
        <v>2.0</v>
      </c>
      <c r="M374" s="25" t="s">
        <v>2715</v>
      </c>
      <c r="N374" s="26" t="str">
        <f t="shared" si="2"/>
        <v>398
BER
l</v>
      </c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0">
        <v>374.0</v>
      </c>
      <c r="B375" s="12" t="s">
        <v>2716</v>
      </c>
      <c r="C375" s="12" t="s">
        <v>229</v>
      </c>
      <c r="D375" s="23" t="s">
        <v>2717</v>
      </c>
      <c r="E375" s="22" t="s">
        <v>2718</v>
      </c>
      <c r="F375" s="12" t="s">
        <v>2719</v>
      </c>
      <c r="G375" s="12" t="s">
        <v>2720</v>
      </c>
      <c r="H375" s="12" t="s">
        <v>2721</v>
      </c>
      <c r="I375" s="23" t="s">
        <v>2722</v>
      </c>
      <c r="J375" s="12">
        <v>2011.0</v>
      </c>
      <c r="K375" s="23">
        <v>96.0</v>
      </c>
      <c r="L375" s="24">
        <v>1.0</v>
      </c>
      <c r="M375" s="38" t="s">
        <v>2723</v>
      </c>
      <c r="N375" s="26" t="str">
        <f t="shared" si="2"/>
        <v>390
SAM
k</v>
      </c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0">
        <v>375.0</v>
      </c>
      <c r="B376" s="12" t="s">
        <v>2724</v>
      </c>
      <c r="C376" s="12" t="s">
        <v>229</v>
      </c>
      <c r="D376" s="23" t="s">
        <v>1856</v>
      </c>
      <c r="E376" s="22" t="s">
        <v>2725</v>
      </c>
      <c r="F376" s="12" t="s">
        <v>2726</v>
      </c>
      <c r="G376" s="12" t="s">
        <v>2727</v>
      </c>
      <c r="H376" s="12" t="s">
        <v>2241</v>
      </c>
      <c r="I376" s="23">
        <v>9.786028912068E12</v>
      </c>
      <c r="J376" s="12">
        <v>2017.0</v>
      </c>
      <c r="K376" s="23" t="s">
        <v>2728</v>
      </c>
      <c r="L376" s="24">
        <v>1.0</v>
      </c>
      <c r="M376" s="25" t="s">
        <v>2729</v>
      </c>
      <c r="N376" s="26" t="str">
        <f t="shared" si="2"/>
        <v>398.2
JEN
j</v>
      </c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0">
        <v>376.0</v>
      </c>
      <c r="B377" s="12" t="s">
        <v>2730</v>
      </c>
      <c r="C377" s="12" t="s">
        <v>229</v>
      </c>
      <c r="D377" s="23" t="s">
        <v>1856</v>
      </c>
      <c r="E377" s="22" t="s">
        <v>2725</v>
      </c>
      <c r="F377" s="12" t="s">
        <v>2731</v>
      </c>
      <c r="G377" s="12" t="s">
        <v>2732</v>
      </c>
      <c r="H377" s="12" t="s">
        <v>2384</v>
      </c>
      <c r="I377" s="23">
        <v>9.789790165533E12</v>
      </c>
      <c r="J377" s="12">
        <v>2013.0</v>
      </c>
      <c r="K377" s="23" t="s">
        <v>2733</v>
      </c>
      <c r="L377" s="24">
        <v>3.0</v>
      </c>
      <c r="M377" s="25" t="s">
        <v>2734</v>
      </c>
      <c r="N377" s="26" t="str">
        <f t="shared" si="2"/>
        <v>398.2
SAL
b</v>
      </c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0">
        <v>377.0</v>
      </c>
      <c r="B378" s="12" t="s">
        <v>2735</v>
      </c>
      <c r="C378" s="12" t="s">
        <v>229</v>
      </c>
      <c r="D378" s="23" t="s">
        <v>1856</v>
      </c>
      <c r="E378" s="22" t="s">
        <v>2725</v>
      </c>
      <c r="F378" s="12" t="s">
        <v>2731</v>
      </c>
      <c r="G378" s="12" t="s">
        <v>2732</v>
      </c>
      <c r="H378" s="12" t="s">
        <v>2384</v>
      </c>
      <c r="I378" s="23" t="s">
        <v>2736</v>
      </c>
      <c r="J378" s="12">
        <v>2013.0</v>
      </c>
      <c r="K378" s="23" t="s">
        <v>2733</v>
      </c>
      <c r="L378" s="24">
        <v>3.0</v>
      </c>
      <c r="M378" s="25" t="s">
        <v>2737</v>
      </c>
      <c r="N378" s="26" t="str">
        <f t="shared" si="2"/>
        <v>398.2
SAL
b</v>
      </c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0">
        <v>378.0</v>
      </c>
      <c r="B379" s="12" t="s">
        <v>2738</v>
      </c>
      <c r="C379" s="12" t="s">
        <v>249</v>
      </c>
      <c r="D379" s="23" t="s">
        <v>2739</v>
      </c>
      <c r="E379" s="12" t="s">
        <v>2740</v>
      </c>
      <c r="F379" s="12" t="s">
        <v>2741</v>
      </c>
      <c r="G379" s="12" t="s">
        <v>897</v>
      </c>
      <c r="H379" s="12" t="s">
        <v>2742</v>
      </c>
      <c r="I379" s="23">
        <v>9.786028181181E12</v>
      </c>
      <c r="J379" s="12">
        <v>2012.0</v>
      </c>
      <c r="K379" s="23" t="s">
        <v>1579</v>
      </c>
      <c r="L379" s="24">
        <v>3.0</v>
      </c>
      <c r="M379" s="25" t="s">
        <v>2743</v>
      </c>
      <c r="N379" s="26" t="str">
        <f t="shared" si="2"/>
        <v>641.5
PRA
b</v>
      </c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0">
        <v>379.0</v>
      </c>
      <c r="B380" s="12" t="s">
        <v>2744</v>
      </c>
      <c r="C380" s="12" t="s">
        <v>229</v>
      </c>
      <c r="D380" s="23" t="s">
        <v>1856</v>
      </c>
      <c r="E380" s="22" t="s">
        <v>2725</v>
      </c>
      <c r="F380" s="12" t="s">
        <v>2745</v>
      </c>
      <c r="G380" s="12" t="s">
        <v>2600</v>
      </c>
      <c r="H380" s="12" t="s">
        <v>2622</v>
      </c>
      <c r="I380" s="35"/>
      <c r="J380" s="22"/>
      <c r="K380" s="23">
        <v>128.0</v>
      </c>
      <c r="L380" s="24">
        <v>1.0</v>
      </c>
      <c r="M380" s="25" t="s">
        <v>2746</v>
      </c>
      <c r="N380" s="26" t="str">
        <f t="shared" si="2"/>
        <v>398.2
YUD
k</v>
      </c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0">
        <v>380.0</v>
      </c>
      <c r="B381" s="12" t="s">
        <v>2747</v>
      </c>
      <c r="C381" s="12" t="s">
        <v>229</v>
      </c>
      <c r="D381" s="23" t="s">
        <v>1856</v>
      </c>
      <c r="E381" s="22" t="s">
        <v>1898</v>
      </c>
      <c r="F381" s="12" t="s">
        <v>2748</v>
      </c>
      <c r="G381" s="22"/>
      <c r="H381" s="12" t="s">
        <v>2420</v>
      </c>
      <c r="I381" s="23">
        <v>9.786027784E12</v>
      </c>
      <c r="J381" s="12">
        <v>2017.0</v>
      </c>
      <c r="K381" s="23">
        <v>152.0</v>
      </c>
      <c r="L381" s="24">
        <v>5.0</v>
      </c>
      <c r="M381" s="25" t="s">
        <v>2749</v>
      </c>
      <c r="N381" s="26" t="str">
        <f t="shared" si="2"/>
        <v>398.2
WAH
k</v>
      </c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0">
        <v>381.0</v>
      </c>
      <c r="B382" s="12" t="s">
        <v>2750</v>
      </c>
      <c r="C382" s="12" t="s">
        <v>235</v>
      </c>
      <c r="D382" s="23" t="s">
        <v>2751</v>
      </c>
      <c r="E382" s="22" t="s">
        <v>2752</v>
      </c>
      <c r="F382" s="12" t="s">
        <v>2753</v>
      </c>
      <c r="G382" s="22"/>
      <c r="H382" s="12" t="s">
        <v>2754</v>
      </c>
      <c r="I382" s="23" t="s">
        <v>2755</v>
      </c>
      <c r="J382" s="12">
        <v>2009.0</v>
      </c>
      <c r="K382" s="23">
        <v>152.0</v>
      </c>
      <c r="L382" s="24">
        <v>1.0</v>
      </c>
      <c r="M382" s="25" t="s">
        <v>2756</v>
      </c>
      <c r="N382" s="26" t="str">
        <f t="shared" si="2"/>
        <v>401.4
HEN
p</v>
      </c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0">
        <v>382.0</v>
      </c>
      <c r="B383" s="12" t="s">
        <v>2757</v>
      </c>
      <c r="C383" s="12" t="s">
        <v>235</v>
      </c>
      <c r="D383" s="23" t="s">
        <v>2758</v>
      </c>
      <c r="E383" s="22" t="s">
        <v>2759</v>
      </c>
      <c r="F383" s="12" t="s">
        <v>2760</v>
      </c>
      <c r="G383" s="12" t="s">
        <v>2761</v>
      </c>
      <c r="H383" s="12" t="s">
        <v>433</v>
      </c>
      <c r="I383" s="23" t="s">
        <v>2762</v>
      </c>
      <c r="J383" s="12">
        <v>2015.0</v>
      </c>
      <c r="K383" s="23">
        <v>72.0</v>
      </c>
      <c r="L383" s="24">
        <v>2.0</v>
      </c>
      <c r="M383" s="12" t="s">
        <v>340</v>
      </c>
      <c r="N383" s="26" t="str">
        <f t="shared" si="2"/>
        <v>411
NAN
p</v>
      </c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0">
        <v>383.0</v>
      </c>
      <c r="B384" s="12" t="s">
        <v>2763</v>
      </c>
      <c r="C384" s="12" t="s">
        <v>235</v>
      </c>
      <c r="D384" s="23" t="s">
        <v>2764</v>
      </c>
      <c r="E384" s="22" t="s">
        <v>2765</v>
      </c>
      <c r="F384" s="12" t="s">
        <v>2766</v>
      </c>
      <c r="G384" s="12" t="s">
        <v>340</v>
      </c>
      <c r="H384" s="12" t="s">
        <v>2767</v>
      </c>
      <c r="I384" s="23" t="s">
        <v>2768</v>
      </c>
      <c r="J384" s="12">
        <v>2008.0</v>
      </c>
      <c r="K384" s="23" t="s">
        <v>2769</v>
      </c>
      <c r="L384" s="24">
        <v>1.0</v>
      </c>
      <c r="M384" s="25" t="s">
        <v>2770</v>
      </c>
      <c r="N384" s="26" t="str">
        <f t="shared" si="2"/>
        <v>410
ZAE
c</v>
      </c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0">
        <v>384.0</v>
      </c>
      <c r="B385" s="12" t="s">
        <v>2771</v>
      </c>
      <c r="C385" s="12" t="s">
        <v>235</v>
      </c>
      <c r="D385" s="23" t="s">
        <v>2772</v>
      </c>
      <c r="E385" s="22" t="s">
        <v>2773</v>
      </c>
      <c r="F385" s="12" t="s">
        <v>2774</v>
      </c>
      <c r="G385" s="12" t="s">
        <v>340</v>
      </c>
      <c r="H385" s="12" t="s">
        <v>2775</v>
      </c>
      <c r="I385" s="23" t="s">
        <v>2776</v>
      </c>
      <c r="J385" s="12">
        <v>2008.0</v>
      </c>
      <c r="K385" s="23" t="s">
        <v>2316</v>
      </c>
      <c r="L385" s="24">
        <v>2.0</v>
      </c>
      <c r="M385" s="12" t="s">
        <v>340</v>
      </c>
      <c r="N385" s="26" t="str">
        <f t="shared" si="2"/>
        <v>420
IWU
s</v>
      </c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0">
        <v>385.0</v>
      </c>
      <c r="B386" s="12" t="s">
        <v>2777</v>
      </c>
      <c r="C386" s="12" t="s">
        <v>38</v>
      </c>
      <c r="D386" s="23">
        <v>808.0</v>
      </c>
      <c r="E386" s="12" t="s">
        <v>2778</v>
      </c>
      <c r="F386" s="12" t="s">
        <v>2753</v>
      </c>
      <c r="G386" s="12" t="s">
        <v>2779</v>
      </c>
      <c r="H386" s="12" t="s">
        <v>2754</v>
      </c>
      <c r="I386" s="23" t="s">
        <v>2780</v>
      </c>
      <c r="J386" s="12">
        <v>2015.0</v>
      </c>
      <c r="K386" s="23" t="s">
        <v>1788</v>
      </c>
      <c r="L386" s="24">
        <v>1.0</v>
      </c>
      <c r="M386" s="25" t="s">
        <v>2781</v>
      </c>
      <c r="N386" s="26" t="str">
        <f t="shared" si="2"/>
        <v>808
HEN
b</v>
      </c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0">
        <v>386.0</v>
      </c>
      <c r="B387" s="12" t="s">
        <v>2782</v>
      </c>
      <c r="C387" s="12" t="s">
        <v>235</v>
      </c>
      <c r="D387" s="23" t="s">
        <v>2758</v>
      </c>
      <c r="E387" s="22" t="s">
        <v>2759</v>
      </c>
      <c r="F387" s="12" t="s">
        <v>2783</v>
      </c>
      <c r="G387" s="22"/>
      <c r="H387" s="12" t="s">
        <v>496</v>
      </c>
      <c r="I387" s="23" t="s">
        <v>2784</v>
      </c>
      <c r="J387" s="12">
        <v>2015.0</v>
      </c>
      <c r="K387" s="23">
        <v>66.0</v>
      </c>
      <c r="L387" s="24">
        <v>2.0</v>
      </c>
      <c r="M387" s="25" t="s">
        <v>2785</v>
      </c>
      <c r="N387" s="26" t="str">
        <f t="shared" si="2"/>
        <v>411
TOP
k</v>
      </c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0">
        <v>387.0</v>
      </c>
      <c r="B388" s="12" t="s">
        <v>2786</v>
      </c>
      <c r="C388" s="12" t="s">
        <v>235</v>
      </c>
      <c r="D388" s="23" t="s">
        <v>2787</v>
      </c>
      <c r="E388" s="22" t="s">
        <v>2788</v>
      </c>
      <c r="F388" s="12" t="s">
        <v>2789</v>
      </c>
      <c r="G388" s="22"/>
      <c r="H388" s="12" t="s">
        <v>2309</v>
      </c>
      <c r="I388" s="23" t="s">
        <v>2790</v>
      </c>
      <c r="J388" s="12">
        <v>2015.0</v>
      </c>
      <c r="K388" s="23">
        <v>58.0</v>
      </c>
      <c r="L388" s="24">
        <v>2.0</v>
      </c>
      <c r="M388" s="25" t="s">
        <v>2791</v>
      </c>
      <c r="N388" s="26" t="str">
        <f t="shared" si="2"/>
        <v>421.55
KRI
s</v>
      </c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0">
        <v>388.0</v>
      </c>
      <c r="B389" s="12" t="s">
        <v>2792</v>
      </c>
      <c r="C389" s="12" t="s">
        <v>235</v>
      </c>
      <c r="D389" s="23">
        <v>420.0</v>
      </c>
      <c r="E389" s="12" t="s">
        <v>2793</v>
      </c>
      <c r="F389" s="12" t="s">
        <v>2794</v>
      </c>
      <c r="G389" s="22"/>
      <c r="H389" s="12" t="s">
        <v>554</v>
      </c>
      <c r="I389" s="23" t="s">
        <v>2795</v>
      </c>
      <c r="J389" s="12">
        <v>2015.0</v>
      </c>
      <c r="K389" s="23">
        <v>66.0</v>
      </c>
      <c r="L389" s="24">
        <v>5.0</v>
      </c>
      <c r="M389" s="25" t="s">
        <v>2796</v>
      </c>
      <c r="N389" s="26" t="str">
        <f t="shared" si="2"/>
        <v>420
NET
v</v>
      </c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0">
        <v>389.0</v>
      </c>
      <c r="B390" s="12" t="s">
        <v>2797</v>
      </c>
      <c r="C390" s="12" t="s">
        <v>235</v>
      </c>
      <c r="D390" s="23" t="s">
        <v>2798</v>
      </c>
      <c r="E390" s="22" t="s">
        <v>2799</v>
      </c>
      <c r="F390" s="12" t="s">
        <v>1610</v>
      </c>
      <c r="G390" s="12" t="s">
        <v>652</v>
      </c>
      <c r="H390" s="12" t="s">
        <v>646</v>
      </c>
      <c r="I390" s="23" t="s">
        <v>2800</v>
      </c>
      <c r="J390" s="12">
        <v>2015.0</v>
      </c>
      <c r="K390" s="23">
        <v>166.0</v>
      </c>
      <c r="L390" s="24">
        <v>4.0</v>
      </c>
      <c r="M390" s="25" t="s">
        <v>2801</v>
      </c>
      <c r="N390" s="26" t="str">
        <f t="shared" si="2"/>
        <v>411.52
IRW
e</v>
      </c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0">
        <v>390.0</v>
      </c>
      <c r="B391" s="12" t="s">
        <v>2802</v>
      </c>
      <c r="C391" s="12" t="s">
        <v>235</v>
      </c>
      <c r="D391" s="23">
        <v>418.0</v>
      </c>
      <c r="E391" s="22" t="s">
        <v>2803</v>
      </c>
      <c r="F391" s="12" t="s">
        <v>2804</v>
      </c>
      <c r="G391" s="12" t="s">
        <v>340</v>
      </c>
      <c r="H391" s="12" t="s">
        <v>2420</v>
      </c>
      <c r="I391" s="23" t="s">
        <v>340</v>
      </c>
      <c r="J391" s="12">
        <v>2015.0</v>
      </c>
      <c r="K391" s="23" t="s">
        <v>2805</v>
      </c>
      <c r="L391" s="24">
        <v>1.0</v>
      </c>
      <c r="M391" s="25" t="s">
        <v>2806</v>
      </c>
      <c r="N391" s="26" t="str">
        <f t="shared" si="2"/>
        <v>418
ABU
k</v>
      </c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0">
        <v>391.0</v>
      </c>
      <c r="B392" s="12" t="s">
        <v>2807</v>
      </c>
      <c r="C392" s="12" t="s">
        <v>235</v>
      </c>
      <c r="D392" s="23">
        <v>418.0</v>
      </c>
      <c r="E392" s="12" t="s">
        <v>2808</v>
      </c>
      <c r="F392" s="12" t="s">
        <v>2809</v>
      </c>
      <c r="G392" s="22"/>
      <c r="H392" s="12" t="s">
        <v>2810</v>
      </c>
      <c r="I392" s="35"/>
      <c r="J392" s="12">
        <v>1992.0</v>
      </c>
      <c r="K392" s="23">
        <v>324.0</v>
      </c>
      <c r="L392" s="24">
        <v>1.0</v>
      </c>
      <c r="M392" s="25" t="s">
        <v>2811</v>
      </c>
      <c r="N392" s="26" t="str">
        <f t="shared" si="2"/>
        <v>418
TOF
k</v>
      </c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0">
        <v>392.0</v>
      </c>
      <c r="B393" s="12" t="s">
        <v>2812</v>
      </c>
      <c r="C393" s="12" t="s">
        <v>235</v>
      </c>
      <c r="D393" s="23" t="s">
        <v>2813</v>
      </c>
      <c r="E393" s="22" t="s">
        <v>2814</v>
      </c>
      <c r="F393" s="12" t="s">
        <v>2815</v>
      </c>
      <c r="G393" s="12" t="s">
        <v>2816</v>
      </c>
      <c r="H393" s="12" t="s">
        <v>646</v>
      </c>
      <c r="I393" s="23">
        <v>9.786027768314E12</v>
      </c>
      <c r="J393" s="12">
        <v>2017.0</v>
      </c>
      <c r="K393" s="23">
        <v>219.0</v>
      </c>
      <c r="L393" s="24">
        <v>2.0</v>
      </c>
      <c r="M393" s="25" t="s">
        <v>2817</v>
      </c>
      <c r="N393" s="26" t="str">
        <f t="shared" si="2"/>
        <v>413
HER
k</v>
      </c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0">
        <v>393.0</v>
      </c>
      <c r="B394" s="12" t="s">
        <v>2818</v>
      </c>
      <c r="C394" s="12" t="s">
        <v>235</v>
      </c>
      <c r="D394" s="23" t="s">
        <v>2813</v>
      </c>
      <c r="E394" s="22" t="s">
        <v>2814</v>
      </c>
      <c r="F394" s="12" t="s">
        <v>2819</v>
      </c>
      <c r="G394" s="22"/>
      <c r="H394" s="12" t="s">
        <v>2820</v>
      </c>
      <c r="I394" s="23" t="s">
        <v>2821</v>
      </c>
      <c r="J394" s="12">
        <v>1990.0</v>
      </c>
      <c r="K394" s="23">
        <v>94.0</v>
      </c>
      <c r="L394" s="24">
        <v>1.0</v>
      </c>
      <c r="M394" s="12" t="s">
        <v>340</v>
      </c>
      <c r="N394" s="26" t="str">
        <f t="shared" si="2"/>
        <v>413
PAN
k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0">
        <v>394.0</v>
      </c>
      <c r="B395" s="12" t="s">
        <v>2822</v>
      </c>
      <c r="C395" s="12" t="s">
        <v>235</v>
      </c>
      <c r="D395" s="23" t="s">
        <v>2764</v>
      </c>
      <c r="E395" s="22" t="s">
        <v>2823</v>
      </c>
      <c r="F395" s="12" t="s">
        <v>2824</v>
      </c>
      <c r="G395" s="22"/>
      <c r="H395" s="12" t="s">
        <v>2510</v>
      </c>
      <c r="I395" s="35"/>
      <c r="J395" s="22"/>
      <c r="K395" s="35"/>
      <c r="L395" s="24">
        <v>1.0</v>
      </c>
      <c r="M395" s="12" t="s">
        <v>340</v>
      </c>
      <c r="N395" s="26" t="str">
        <f t="shared" si="2"/>
        <v>410
HAS
t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0">
        <v>395.0</v>
      </c>
      <c r="B396" s="12" t="s">
        <v>2825</v>
      </c>
      <c r="C396" s="12" t="s">
        <v>84</v>
      </c>
      <c r="D396" s="23" t="s">
        <v>2826</v>
      </c>
      <c r="E396" s="12" t="s">
        <v>2827</v>
      </c>
      <c r="F396" s="12" t="s">
        <v>173</v>
      </c>
      <c r="G396" s="12" t="s">
        <v>1489</v>
      </c>
      <c r="H396" s="12" t="s">
        <v>2156</v>
      </c>
      <c r="I396" s="23" t="s">
        <v>2828</v>
      </c>
      <c r="J396" s="12">
        <v>2009.0</v>
      </c>
      <c r="K396" s="23">
        <v>60.0</v>
      </c>
      <c r="L396" s="24">
        <v>1.0</v>
      </c>
      <c r="M396" s="25" t="s">
        <v>2829</v>
      </c>
      <c r="N396" s="26" t="str">
        <f t="shared" si="2"/>
        <v>793.84
AMI
b</v>
      </c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0">
        <v>396.0</v>
      </c>
      <c r="B397" s="12" t="s">
        <v>2830</v>
      </c>
      <c r="C397" s="12" t="s">
        <v>235</v>
      </c>
      <c r="D397" s="23" t="s">
        <v>2772</v>
      </c>
      <c r="E397" s="22" t="s">
        <v>2773</v>
      </c>
      <c r="F397" s="12" t="s">
        <v>2789</v>
      </c>
      <c r="G397" s="12" t="s">
        <v>2831</v>
      </c>
      <c r="H397" s="12" t="s">
        <v>507</v>
      </c>
      <c r="I397" s="23" t="s">
        <v>2832</v>
      </c>
      <c r="J397" s="12">
        <v>2015.0</v>
      </c>
      <c r="K397" s="23">
        <v>66.0</v>
      </c>
      <c r="L397" s="24">
        <v>4.0</v>
      </c>
      <c r="M397" s="25" t="s">
        <v>2833</v>
      </c>
      <c r="N397" s="26" t="str">
        <f t="shared" si="2"/>
        <v>420
KRI
b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0">
        <v>397.0</v>
      </c>
      <c r="B398" s="12" t="s">
        <v>2834</v>
      </c>
      <c r="C398" s="12" t="s">
        <v>235</v>
      </c>
      <c r="D398" s="23" t="s">
        <v>2835</v>
      </c>
      <c r="E398" s="22" t="s">
        <v>2836</v>
      </c>
      <c r="F398" s="12" t="s">
        <v>2837</v>
      </c>
      <c r="G398" s="22"/>
      <c r="H398" s="12" t="s">
        <v>347</v>
      </c>
      <c r="I398" s="35"/>
      <c r="J398" s="12">
        <v>2009.0</v>
      </c>
      <c r="K398" s="23">
        <v>68.0</v>
      </c>
      <c r="L398" s="24">
        <v>2.0</v>
      </c>
      <c r="M398" s="12" t="s">
        <v>340</v>
      </c>
      <c r="N398" s="26" t="str">
        <f t="shared" si="2"/>
        <v>415
M.G
b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0">
        <v>398.0</v>
      </c>
      <c r="B399" s="12" t="s">
        <v>2838</v>
      </c>
      <c r="C399" s="12" t="s">
        <v>235</v>
      </c>
      <c r="D399" s="23" t="s">
        <v>2764</v>
      </c>
      <c r="E399" s="22" t="s">
        <v>2765</v>
      </c>
      <c r="F399" s="12" t="s">
        <v>2839</v>
      </c>
      <c r="G399" s="22"/>
      <c r="H399" s="12" t="s">
        <v>347</v>
      </c>
      <c r="I399" s="35"/>
      <c r="J399" s="12">
        <v>2015.0</v>
      </c>
      <c r="K399" s="23">
        <v>68.0</v>
      </c>
      <c r="L399" s="24">
        <v>2.0</v>
      </c>
      <c r="M399" s="12" t="s">
        <v>340</v>
      </c>
      <c r="N399" s="26" t="str">
        <f t="shared" si="2"/>
        <v>410
Y. 
m</v>
      </c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0">
        <v>399.0</v>
      </c>
      <c r="B400" s="12" t="s">
        <v>2840</v>
      </c>
      <c r="C400" s="12" t="s">
        <v>235</v>
      </c>
      <c r="D400" s="23" t="s">
        <v>2758</v>
      </c>
      <c r="E400" s="22" t="s">
        <v>2759</v>
      </c>
      <c r="F400" s="12" t="s">
        <v>173</v>
      </c>
      <c r="G400" s="12" t="s">
        <v>2841</v>
      </c>
      <c r="H400" s="12" t="s">
        <v>2156</v>
      </c>
      <c r="I400" s="23" t="s">
        <v>2842</v>
      </c>
      <c r="J400" s="12">
        <v>2009.0</v>
      </c>
      <c r="K400" s="23">
        <v>106.0</v>
      </c>
      <c r="L400" s="24">
        <v>1.0</v>
      </c>
      <c r="M400" s="25" t="s">
        <v>2843</v>
      </c>
      <c r="N400" s="26" t="str">
        <f t="shared" si="2"/>
        <v>411
AMI
p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0">
        <v>400.0</v>
      </c>
      <c r="B401" s="12" t="s">
        <v>2844</v>
      </c>
      <c r="C401" s="12" t="s">
        <v>235</v>
      </c>
      <c r="D401" s="23" t="s">
        <v>2798</v>
      </c>
      <c r="E401" s="22" t="s">
        <v>2799</v>
      </c>
      <c r="F401" s="22"/>
      <c r="G401" s="22"/>
      <c r="H401" s="12" t="s">
        <v>2845</v>
      </c>
      <c r="I401" s="35"/>
      <c r="J401" s="12">
        <v>2012.0</v>
      </c>
      <c r="K401" s="23">
        <v>148.0</v>
      </c>
      <c r="L401" s="24">
        <v>1.0</v>
      </c>
      <c r="M401" s="12" t="s">
        <v>340</v>
      </c>
      <c r="N401" s="26" t="str">
        <f t="shared" si="2"/>
        <v>411.52
p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0">
        <v>401.0</v>
      </c>
      <c r="B402" s="12" t="s">
        <v>2846</v>
      </c>
      <c r="C402" s="12" t="s">
        <v>235</v>
      </c>
      <c r="D402" s="23">
        <v>418.0</v>
      </c>
      <c r="E402" s="22" t="s">
        <v>2803</v>
      </c>
      <c r="F402" s="12" t="s">
        <v>2847</v>
      </c>
      <c r="G402" s="12" t="s">
        <v>2848</v>
      </c>
      <c r="H402" s="12" t="s">
        <v>1026</v>
      </c>
      <c r="I402" s="23">
        <v>9.786028318709E12</v>
      </c>
      <c r="J402" s="12">
        <v>2009.0</v>
      </c>
      <c r="K402" s="23" t="s">
        <v>2849</v>
      </c>
      <c r="L402" s="24">
        <v>11.0</v>
      </c>
      <c r="M402" s="12" t="s">
        <v>340</v>
      </c>
      <c r="N402" s="26" t="str">
        <f t="shared" si="2"/>
        <v>418
AHM
s</v>
      </c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0">
        <v>402.0</v>
      </c>
      <c r="B403" s="12" t="s">
        <v>2850</v>
      </c>
      <c r="C403" s="12" t="s">
        <v>235</v>
      </c>
      <c r="D403" s="23" t="s">
        <v>2764</v>
      </c>
      <c r="E403" s="22" t="s">
        <v>2823</v>
      </c>
      <c r="F403" s="12" t="s">
        <v>2851</v>
      </c>
      <c r="G403" s="22"/>
      <c r="H403" s="12" t="s">
        <v>2852</v>
      </c>
      <c r="I403" s="35"/>
      <c r="J403" s="12">
        <v>2005.0</v>
      </c>
      <c r="K403" s="23">
        <v>167.0</v>
      </c>
      <c r="L403" s="24">
        <v>1.0</v>
      </c>
      <c r="M403" s="12" t="s">
        <v>340</v>
      </c>
      <c r="N403" s="26" t="str">
        <f t="shared" si="2"/>
        <v>410
Pro
i</v>
      </c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0">
        <v>403.0</v>
      </c>
      <c r="B404" s="12" t="s">
        <v>2853</v>
      </c>
      <c r="C404" s="12" t="s">
        <v>235</v>
      </c>
      <c r="D404" s="23">
        <v>418.0</v>
      </c>
      <c r="E404" s="12" t="s">
        <v>2803</v>
      </c>
      <c r="F404" s="12" t="s">
        <v>2854</v>
      </c>
      <c r="G404" s="22"/>
      <c r="H404" s="22"/>
      <c r="I404" s="35"/>
      <c r="J404" s="12">
        <v>2011.0</v>
      </c>
      <c r="K404" s="23">
        <v>84.0</v>
      </c>
      <c r="L404" s="24">
        <v>1.0</v>
      </c>
      <c r="M404" s="25" t="s">
        <v>2855</v>
      </c>
      <c r="N404" s="26" t="str">
        <f t="shared" si="2"/>
        <v>418
AGU
h</v>
      </c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0">
        <v>404.0</v>
      </c>
      <c r="B405" s="12" t="s">
        <v>2856</v>
      </c>
      <c r="C405" s="12" t="s">
        <v>235</v>
      </c>
      <c r="D405" s="23">
        <v>418.0</v>
      </c>
      <c r="E405" s="22" t="s">
        <v>2803</v>
      </c>
      <c r="F405" s="12" t="s">
        <v>2857</v>
      </c>
      <c r="G405" s="22"/>
      <c r="H405" s="12" t="s">
        <v>2420</v>
      </c>
      <c r="I405" s="35"/>
      <c r="J405" s="12">
        <v>2010.0</v>
      </c>
      <c r="K405" s="23">
        <v>144.0</v>
      </c>
      <c r="L405" s="24">
        <v>2.0</v>
      </c>
      <c r="M405" s="12" t="s">
        <v>340</v>
      </c>
      <c r="N405" s="26" t="str">
        <f t="shared" si="2"/>
        <v>418
Drs
u</v>
      </c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0">
        <v>405.0</v>
      </c>
      <c r="B406" s="12" t="s">
        <v>2858</v>
      </c>
      <c r="C406" s="12" t="s">
        <v>235</v>
      </c>
      <c r="D406" s="35"/>
      <c r="E406" s="22" t="s">
        <v>1155</v>
      </c>
      <c r="F406" s="12" t="s">
        <v>2857</v>
      </c>
      <c r="G406" s="22"/>
      <c r="H406" s="12" t="s">
        <v>2420</v>
      </c>
      <c r="I406" s="35"/>
      <c r="J406" s="12">
        <v>2010.0</v>
      </c>
      <c r="K406" s="23">
        <v>56.0</v>
      </c>
      <c r="L406" s="24">
        <v>1.0</v>
      </c>
      <c r="M406" s="12" t="s">
        <v>340</v>
      </c>
      <c r="N406" s="26" t="str">
        <f t="shared" si="2"/>
        <v>
Drs
u</v>
      </c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0">
        <v>406.0</v>
      </c>
      <c r="B407" s="12" t="s">
        <v>2859</v>
      </c>
      <c r="C407" s="12" t="s">
        <v>235</v>
      </c>
      <c r="D407" s="35"/>
      <c r="E407" s="22" t="s">
        <v>1155</v>
      </c>
      <c r="F407" s="12" t="s">
        <v>2860</v>
      </c>
      <c r="G407" s="12" t="s">
        <v>2861</v>
      </c>
      <c r="H407" s="12" t="s">
        <v>2862</v>
      </c>
      <c r="I407" s="23" t="s">
        <v>2863</v>
      </c>
      <c r="J407" s="12">
        <v>2015.0</v>
      </c>
      <c r="K407" s="23">
        <v>74.0</v>
      </c>
      <c r="L407" s="24">
        <v>1.0</v>
      </c>
      <c r="M407" s="12" t="s">
        <v>340</v>
      </c>
      <c r="N407" s="26" t="str">
        <f t="shared" si="2"/>
        <v>
EKO
a</v>
      </c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0">
        <v>407.0</v>
      </c>
      <c r="B408" s="12" t="s">
        <v>2864</v>
      </c>
      <c r="C408" s="12" t="s">
        <v>235</v>
      </c>
      <c r="D408" s="23">
        <v>401.0</v>
      </c>
      <c r="E408" s="12" t="s">
        <v>2865</v>
      </c>
      <c r="F408" s="12" t="s">
        <v>2866</v>
      </c>
      <c r="G408" s="12" t="s">
        <v>2867</v>
      </c>
      <c r="H408" s="12" t="s">
        <v>2255</v>
      </c>
      <c r="I408" s="23">
        <v>9.78602858236E12</v>
      </c>
      <c r="J408" s="12">
        <v>2009.0</v>
      </c>
      <c r="K408" s="23">
        <v>76.0</v>
      </c>
      <c r="L408" s="24">
        <v>5.0</v>
      </c>
      <c r="M408" s="25" t="s">
        <v>2868</v>
      </c>
      <c r="N408" s="26" t="str">
        <f t="shared" si="2"/>
        <v>401
MEI
m</v>
      </c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0">
        <v>408.0</v>
      </c>
      <c r="B409" s="12" t="s">
        <v>2869</v>
      </c>
      <c r="C409" s="12" t="s">
        <v>235</v>
      </c>
      <c r="D409" s="23" t="s">
        <v>2798</v>
      </c>
      <c r="E409" s="22" t="s">
        <v>2799</v>
      </c>
      <c r="F409" s="12" t="s">
        <v>2870</v>
      </c>
      <c r="G409" s="22"/>
      <c r="H409" s="12" t="s">
        <v>2870</v>
      </c>
      <c r="I409" s="35"/>
      <c r="J409" s="22"/>
      <c r="K409" s="23">
        <v>128.0</v>
      </c>
      <c r="L409" s="24">
        <v>1.0</v>
      </c>
      <c r="M409" s="25" t="s">
        <v>2871</v>
      </c>
      <c r="N409" s="26" t="str">
        <f t="shared" si="2"/>
        <v>411.52
SCI
p</v>
      </c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0">
        <v>409.0</v>
      </c>
      <c r="B410" s="12" t="s">
        <v>2872</v>
      </c>
      <c r="C410" s="12" t="s">
        <v>235</v>
      </c>
      <c r="D410" s="23">
        <v>411.0</v>
      </c>
      <c r="E410" s="12" t="s">
        <v>2873</v>
      </c>
      <c r="F410" s="12" t="s">
        <v>2874</v>
      </c>
      <c r="G410" s="12" t="s">
        <v>2875</v>
      </c>
      <c r="H410" s="12" t="s">
        <v>716</v>
      </c>
      <c r="I410" s="23" t="s">
        <v>2876</v>
      </c>
      <c r="J410" s="12">
        <v>2015.0</v>
      </c>
      <c r="K410" s="23">
        <v>58.0</v>
      </c>
      <c r="L410" s="24">
        <v>4.0</v>
      </c>
      <c r="M410" s="25" t="s">
        <v>2877</v>
      </c>
      <c r="N410" s="26" t="str">
        <f t="shared" si="2"/>
        <v>411
THA
p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0">
        <v>410.0</v>
      </c>
      <c r="B411" s="12" t="s">
        <v>2878</v>
      </c>
      <c r="C411" s="12" t="s">
        <v>235</v>
      </c>
      <c r="D411" s="23">
        <v>420.0</v>
      </c>
      <c r="E411" s="12" t="s">
        <v>2793</v>
      </c>
      <c r="F411" s="12" t="s">
        <v>2879</v>
      </c>
      <c r="G411" s="12" t="s">
        <v>2880</v>
      </c>
      <c r="H411" s="12" t="s">
        <v>716</v>
      </c>
      <c r="I411" s="23">
        <v>9.786029107142E12</v>
      </c>
      <c r="J411" s="12">
        <v>2013.0</v>
      </c>
      <c r="K411" s="23">
        <v>53.0</v>
      </c>
      <c r="L411" s="24">
        <v>3.0</v>
      </c>
      <c r="M411" s="25" t="s">
        <v>2881</v>
      </c>
      <c r="N411" s="26" t="str">
        <f t="shared" si="2"/>
        <v>420
RIT
m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0">
        <v>411.0</v>
      </c>
      <c r="B412" s="12" t="s">
        <v>2882</v>
      </c>
      <c r="C412" s="12" t="s">
        <v>235</v>
      </c>
      <c r="D412" s="23" t="s">
        <v>2758</v>
      </c>
      <c r="E412" s="22" t="s">
        <v>2759</v>
      </c>
      <c r="F412" s="12" t="s">
        <v>2883</v>
      </c>
      <c r="G412" s="12" t="s">
        <v>2884</v>
      </c>
      <c r="H412" s="12" t="s">
        <v>2885</v>
      </c>
      <c r="I412" s="23">
        <v>9.789796655616E12</v>
      </c>
      <c r="J412" s="12">
        <v>2008.0</v>
      </c>
      <c r="K412" s="23" t="s">
        <v>2886</v>
      </c>
      <c r="L412" s="24">
        <v>1.0</v>
      </c>
      <c r="M412" s="12" t="s">
        <v>340</v>
      </c>
      <c r="N412" s="26" t="str">
        <f t="shared" si="2"/>
        <v>411
Dr.
m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0">
        <v>412.0</v>
      </c>
      <c r="B413" s="12" t="s">
        <v>2887</v>
      </c>
      <c r="C413" s="12" t="s">
        <v>235</v>
      </c>
      <c r="D413" s="23" t="s">
        <v>2751</v>
      </c>
      <c r="E413" s="22" t="s">
        <v>2752</v>
      </c>
      <c r="F413" s="12" t="s">
        <v>2888</v>
      </c>
      <c r="G413" s="12" t="s">
        <v>2889</v>
      </c>
      <c r="H413" s="12" t="s">
        <v>2890</v>
      </c>
      <c r="I413" s="23">
        <v>9.789790272243E12</v>
      </c>
      <c r="J413" s="12">
        <v>2008.0</v>
      </c>
      <c r="K413" s="23">
        <v>93.0</v>
      </c>
      <c r="L413" s="24">
        <v>1.0</v>
      </c>
      <c r="M413" s="12" t="s">
        <v>340</v>
      </c>
      <c r="N413" s="26" t="str">
        <f t="shared" si="2"/>
        <v>401.4
PRO
t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0">
        <v>413.0</v>
      </c>
      <c r="B414" s="12" t="s">
        <v>2891</v>
      </c>
      <c r="C414" s="12" t="s">
        <v>235</v>
      </c>
      <c r="D414" s="23" t="s">
        <v>2772</v>
      </c>
      <c r="E414" s="22" t="s">
        <v>2773</v>
      </c>
      <c r="F414" s="12" t="s">
        <v>2892</v>
      </c>
      <c r="G414" s="12" t="s">
        <v>2893</v>
      </c>
      <c r="H414" s="12" t="s">
        <v>2195</v>
      </c>
      <c r="I414" s="35"/>
      <c r="J414" s="12">
        <v>2008.0</v>
      </c>
      <c r="K414" s="23">
        <v>68.0</v>
      </c>
      <c r="L414" s="24">
        <v>2.0</v>
      </c>
      <c r="M414" s="12" t="s">
        <v>340</v>
      </c>
      <c r="N414" s="26" t="str">
        <f t="shared" si="2"/>
        <v>420
IDA
l</v>
      </c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0">
        <v>414.0</v>
      </c>
      <c r="B415" s="12" t="s">
        <v>2894</v>
      </c>
      <c r="C415" s="12" t="s">
        <v>235</v>
      </c>
      <c r="D415" s="23">
        <v>418.0</v>
      </c>
      <c r="E415" s="12" t="s">
        <v>2803</v>
      </c>
      <c r="F415" s="12" t="s">
        <v>2895</v>
      </c>
      <c r="G415" s="12" t="s">
        <v>2896</v>
      </c>
      <c r="H415" s="12" t="s">
        <v>382</v>
      </c>
      <c r="I415" s="35"/>
      <c r="J415" s="12">
        <v>2017.0</v>
      </c>
      <c r="K415" s="23">
        <v>296.0</v>
      </c>
      <c r="L415" s="24">
        <v>5.0</v>
      </c>
      <c r="M415" s="25" t="s">
        <v>2897</v>
      </c>
      <c r="N415" s="26" t="str">
        <f t="shared" si="2"/>
        <v>418
AHM
p</v>
      </c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0">
        <v>415.0</v>
      </c>
      <c r="B416" s="12" t="s">
        <v>2898</v>
      </c>
      <c r="C416" s="12" t="s">
        <v>235</v>
      </c>
      <c r="D416" s="23" t="s">
        <v>2772</v>
      </c>
      <c r="E416" s="22" t="s">
        <v>2773</v>
      </c>
      <c r="F416" s="12" t="s">
        <v>2789</v>
      </c>
      <c r="G416" s="12" t="s">
        <v>2831</v>
      </c>
      <c r="H416" s="12" t="s">
        <v>716</v>
      </c>
      <c r="I416" s="23" t="s">
        <v>2899</v>
      </c>
      <c r="J416" s="12">
        <v>2015.0</v>
      </c>
      <c r="K416" s="23">
        <v>74.0</v>
      </c>
      <c r="L416" s="24">
        <v>4.0</v>
      </c>
      <c r="M416" s="25" t="s">
        <v>2900</v>
      </c>
      <c r="N416" s="26" t="str">
        <f t="shared" si="2"/>
        <v>420
KRI
b</v>
      </c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0">
        <v>416.0</v>
      </c>
      <c r="B417" s="12" t="s">
        <v>2901</v>
      </c>
      <c r="C417" s="12" t="s">
        <v>235</v>
      </c>
      <c r="D417" s="23" t="s">
        <v>1155</v>
      </c>
      <c r="E417" s="22" t="s">
        <v>1155</v>
      </c>
      <c r="F417" s="12" t="s">
        <v>345</v>
      </c>
      <c r="G417" s="22"/>
      <c r="H417" s="12" t="s">
        <v>2902</v>
      </c>
      <c r="I417" s="35"/>
      <c r="J417" s="12">
        <v>2009.0</v>
      </c>
      <c r="K417" s="23">
        <v>60.0</v>
      </c>
      <c r="L417" s="24">
        <v>1.0</v>
      </c>
      <c r="M417" s="12" t="s">
        <v>340</v>
      </c>
      <c r="N417" s="26" t="str">
        <f t="shared" si="2"/>
        <v>
DIA
g</v>
      </c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0">
        <v>417.0</v>
      </c>
      <c r="B418" s="12" t="s">
        <v>2903</v>
      </c>
      <c r="C418" s="12" t="s">
        <v>235</v>
      </c>
      <c r="D418" s="23" t="s">
        <v>2751</v>
      </c>
      <c r="E418" s="22" t="s">
        <v>2752</v>
      </c>
      <c r="F418" s="12" t="s">
        <v>2904</v>
      </c>
      <c r="G418" s="12" t="s">
        <v>2905</v>
      </c>
      <c r="H418" s="12" t="s">
        <v>2906</v>
      </c>
      <c r="I418" s="35"/>
      <c r="J418" s="12">
        <v>2009.0</v>
      </c>
      <c r="K418" s="23">
        <v>60.0</v>
      </c>
      <c r="L418" s="24">
        <v>1.0</v>
      </c>
      <c r="M418" s="12" t="s">
        <v>340</v>
      </c>
      <c r="N418" s="26" t="str">
        <f t="shared" si="2"/>
        <v>401.4
NUR
a</v>
      </c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0">
        <v>418.0</v>
      </c>
      <c r="B419" s="12" t="s">
        <v>2907</v>
      </c>
      <c r="C419" s="12" t="s">
        <v>38</v>
      </c>
      <c r="D419" s="23">
        <v>800.0</v>
      </c>
      <c r="E419" s="12" t="s">
        <v>2908</v>
      </c>
      <c r="F419" s="12" t="s">
        <v>107</v>
      </c>
      <c r="G419" s="12" t="s">
        <v>106</v>
      </c>
      <c r="H419" s="12" t="s">
        <v>2909</v>
      </c>
      <c r="I419" s="23" t="s">
        <v>2910</v>
      </c>
      <c r="J419" s="12">
        <v>2015.0</v>
      </c>
      <c r="K419" s="23">
        <v>88.0</v>
      </c>
      <c r="L419" s="24">
        <v>4.0</v>
      </c>
      <c r="M419" s="25" t="s">
        <v>2911</v>
      </c>
      <c r="N419" s="26" t="str">
        <f t="shared" si="2"/>
        <v>800
EDI
m</v>
      </c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0">
        <v>419.0</v>
      </c>
      <c r="B420" s="12" t="s">
        <v>2912</v>
      </c>
      <c r="C420" s="12" t="s">
        <v>235</v>
      </c>
      <c r="D420" s="23">
        <v>400.0</v>
      </c>
      <c r="E420" s="22" t="s">
        <v>2913</v>
      </c>
      <c r="F420" s="12" t="s">
        <v>173</v>
      </c>
      <c r="G420" s="12" t="s">
        <v>107</v>
      </c>
      <c r="H420" s="12" t="s">
        <v>2914</v>
      </c>
      <c r="I420" s="23" t="s">
        <v>2915</v>
      </c>
      <c r="J420" s="12">
        <v>2015.0</v>
      </c>
      <c r="K420" s="23">
        <v>74.0</v>
      </c>
      <c r="L420" s="24">
        <v>5.0</v>
      </c>
      <c r="M420" s="25" t="s">
        <v>2916</v>
      </c>
      <c r="N420" s="26" t="str">
        <f t="shared" si="2"/>
        <v>400
AMI
k</v>
      </c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0">
        <v>420.0</v>
      </c>
      <c r="B421" s="12" t="s">
        <v>2917</v>
      </c>
      <c r="C421" s="12" t="s">
        <v>235</v>
      </c>
      <c r="D421" s="23">
        <v>418.0</v>
      </c>
      <c r="E421" s="22" t="s">
        <v>2803</v>
      </c>
      <c r="F421" s="12" t="s">
        <v>2918</v>
      </c>
      <c r="G421" s="12" t="s">
        <v>2919</v>
      </c>
      <c r="H421" s="12" t="s">
        <v>2420</v>
      </c>
      <c r="I421" s="23" t="s">
        <v>2920</v>
      </c>
      <c r="J421" s="12">
        <v>2017.0</v>
      </c>
      <c r="K421" s="23">
        <v>94.0</v>
      </c>
      <c r="L421" s="24">
        <v>9.0</v>
      </c>
      <c r="M421" s="12" t="s">
        <v>340</v>
      </c>
      <c r="N421" s="26" t="str">
        <f t="shared" si="2"/>
        <v>418
DUD
n</v>
      </c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0">
        <v>421.0</v>
      </c>
      <c r="B422" s="12" t="s">
        <v>2921</v>
      </c>
      <c r="C422" s="12" t="s">
        <v>235</v>
      </c>
      <c r="D422" s="23" t="s">
        <v>2764</v>
      </c>
      <c r="E422" s="22" t="s">
        <v>2765</v>
      </c>
      <c r="F422" s="12" t="s">
        <v>2922</v>
      </c>
      <c r="G422" s="12" t="s">
        <v>2923</v>
      </c>
      <c r="H422" s="12" t="s">
        <v>725</v>
      </c>
      <c r="I422" s="23" t="s">
        <v>2924</v>
      </c>
      <c r="J422" s="12">
        <v>2015.0</v>
      </c>
      <c r="K422" s="23">
        <v>88.0</v>
      </c>
      <c r="L422" s="24">
        <v>1.0</v>
      </c>
      <c r="M422" s="12" t="s">
        <v>340</v>
      </c>
      <c r="N422" s="26" t="str">
        <f t="shared" si="2"/>
        <v>410
RUL
y</v>
      </c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0">
        <v>422.0</v>
      </c>
      <c r="B423" s="12" t="s">
        <v>2925</v>
      </c>
      <c r="C423" s="12" t="s">
        <v>235</v>
      </c>
      <c r="D423" s="23">
        <v>420.0</v>
      </c>
      <c r="E423" s="12" t="s">
        <v>2773</v>
      </c>
      <c r="F423" s="12" t="s">
        <v>2926</v>
      </c>
      <c r="G423" s="12" t="s">
        <v>2926</v>
      </c>
      <c r="H423" s="12" t="s">
        <v>2195</v>
      </c>
      <c r="I423" s="23" t="s">
        <v>2927</v>
      </c>
      <c r="J423" s="12">
        <v>2006.0</v>
      </c>
      <c r="K423" s="23">
        <v>76.0</v>
      </c>
      <c r="L423" s="24">
        <v>1.0</v>
      </c>
      <c r="M423" s="25" t="s">
        <v>2928</v>
      </c>
      <c r="N423" s="26" t="str">
        <f t="shared" si="2"/>
        <v>420
WAL
s</v>
      </c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0">
        <v>423.0</v>
      </c>
      <c r="B424" s="12" t="s">
        <v>2929</v>
      </c>
      <c r="C424" s="12" t="s">
        <v>235</v>
      </c>
      <c r="D424" s="23" t="s">
        <v>2930</v>
      </c>
      <c r="E424" s="22" t="s">
        <v>2931</v>
      </c>
      <c r="F424" s="12" t="s">
        <v>2932</v>
      </c>
      <c r="G424" s="12" t="s">
        <v>2933</v>
      </c>
      <c r="H424" s="12" t="s">
        <v>2934</v>
      </c>
      <c r="I424" s="23" t="s">
        <v>2935</v>
      </c>
      <c r="J424" s="12">
        <v>2015.0</v>
      </c>
      <c r="K424" s="23">
        <v>60.0</v>
      </c>
      <c r="L424" s="24">
        <v>1.0</v>
      </c>
      <c r="M424" s="12" t="s">
        <v>340</v>
      </c>
      <c r="N424" s="26" t="str">
        <f t="shared" si="2"/>
        <v>425
YUL
p</v>
      </c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0">
        <v>424.0</v>
      </c>
      <c r="B425" s="12" t="s">
        <v>2936</v>
      </c>
      <c r="C425" s="12" t="s">
        <v>235</v>
      </c>
      <c r="D425" s="23" t="s">
        <v>2930</v>
      </c>
      <c r="E425" s="22" t="s">
        <v>2931</v>
      </c>
      <c r="F425" s="12" t="s">
        <v>2937</v>
      </c>
      <c r="G425" s="12" t="s">
        <v>2938</v>
      </c>
      <c r="H425" s="12" t="s">
        <v>2862</v>
      </c>
      <c r="I425" s="23" t="s">
        <v>2939</v>
      </c>
      <c r="J425" s="12">
        <v>2015.0</v>
      </c>
      <c r="K425" s="23">
        <v>108.0</v>
      </c>
      <c r="L425" s="24">
        <v>1.0</v>
      </c>
      <c r="M425" s="25" t="s">
        <v>2940</v>
      </c>
      <c r="N425" s="26" t="str">
        <f t="shared" si="2"/>
        <v>425
HAM
c</v>
      </c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0">
        <v>425.0</v>
      </c>
      <c r="B426" s="89" t="s">
        <v>2941</v>
      </c>
      <c r="C426" s="90" t="s">
        <v>235</v>
      </c>
      <c r="D426" s="89" t="s">
        <v>2942</v>
      </c>
      <c r="E426" s="50" t="s">
        <v>2943</v>
      </c>
      <c r="F426" s="89" t="s">
        <v>2944</v>
      </c>
      <c r="G426" s="89" t="s">
        <v>850</v>
      </c>
      <c r="H426" s="89" t="s">
        <v>2945</v>
      </c>
      <c r="I426" s="89" t="s">
        <v>2946</v>
      </c>
      <c r="J426" s="91">
        <v>2010.0</v>
      </c>
      <c r="K426" s="89">
        <v>94.0</v>
      </c>
      <c r="L426" s="92">
        <v>1.0</v>
      </c>
      <c r="M426" s="100" t="s">
        <v>2947</v>
      </c>
      <c r="N426" s="26" t="str">
        <f t="shared" si="2"/>
        <v>410.72
DJA
m</v>
      </c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88">
        <v>426.0</v>
      </c>
      <c r="B427" s="12" t="s">
        <v>2948</v>
      </c>
      <c r="C427" s="12" t="s">
        <v>235</v>
      </c>
      <c r="D427" s="23" t="s">
        <v>2949</v>
      </c>
      <c r="E427" s="22" t="s">
        <v>2950</v>
      </c>
      <c r="F427" s="12" t="s">
        <v>2951</v>
      </c>
      <c r="G427" s="12" t="s">
        <v>2952</v>
      </c>
      <c r="H427" s="12" t="s">
        <v>851</v>
      </c>
      <c r="I427" s="23">
        <v>9.786028650106E12</v>
      </c>
      <c r="J427" s="12">
        <v>2010.0</v>
      </c>
      <c r="K427" s="23" t="s">
        <v>2953</v>
      </c>
      <c r="L427" s="24">
        <v>1.0</v>
      </c>
      <c r="M427" s="12" t="s">
        <v>340</v>
      </c>
      <c r="N427" s="26" t="str">
        <f t="shared" si="2"/>
        <v>401.43
Pro
s</v>
      </c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0">
        <v>427.0</v>
      </c>
      <c r="B428" s="12" t="s">
        <v>2954</v>
      </c>
      <c r="C428" s="12" t="s">
        <v>246</v>
      </c>
      <c r="D428" s="23">
        <v>500.0</v>
      </c>
      <c r="E428" s="12" t="s">
        <v>2955</v>
      </c>
      <c r="F428" s="12" t="s">
        <v>2956</v>
      </c>
      <c r="G428" s="12" t="s">
        <v>2957</v>
      </c>
      <c r="H428" s="12" t="s">
        <v>57</v>
      </c>
      <c r="I428" s="23" t="s">
        <v>2958</v>
      </c>
      <c r="J428" s="12">
        <v>2006.0</v>
      </c>
      <c r="K428" s="23">
        <v>128.0</v>
      </c>
      <c r="L428" s="24">
        <v>1.0</v>
      </c>
      <c r="M428" s="25" t="s">
        <v>2959</v>
      </c>
      <c r="N428" s="26" t="str">
        <f t="shared" si="2"/>
        <v>500
SUH
k</v>
      </c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0">
        <v>428.0</v>
      </c>
      <c r="B429" s="12" t="s">
        <v>2960</v>
      </c>
      <c r="C429" s="12" t="s">
        <v>262</v>
      </c>
      <c r="D429" s="23">
        <v>920.0</v>
      </c>
      <c r="E429" s="12" t="s">
        <v>2961</v>
      </c>
      <c r="F429" s="12" t="s">
        <v>107</v>
      </c>
      <c r="G429" s="12" t="s">
        <v>2962</v>
      </c>
      <c r="H429" s="12" t="s">
        <v>2963</v>
      </c>
      <c r="I429" s="23">
        <v>9.78979005031E12</v>
      </c>
      <c r="J429" s="12">
        <v>2007.0</v>
      </c>
      <c r="K429" s="23">
        <v>90.0</v>
      </c>
      <c r="L429" s="24">
        <v>4.0</v>
      </c>
      <c r="M429" s="25" t="s">
        <v>2964</v>
      </c>
      <c r="N429" s="26" t="str">
        <f t="shared" si="2"/>
        <v>920
EDI
m</v>
      </c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0">
        <v>429.0</v>
      </c>
      <c r="B430" s="12" t="s">
        <v>2965</v>
      </c>
      <c r="C430" s="12" t="s">
        <v>235</v>
      </c>
      <c r="D430" s="35"/>
      <c r="E430" s="22" t="s">
        <v>1155</v>
      </c>
      <c r="F430" s="12" t="s">
        <v>2966</v>
      </c>
      <c r="G430" s="12" t="s">
        <v>1610</v>
      </c>
      <c r="H430" s="12" t="s">
        <v>646</v>
      </c>
      <c r="I430" s="23">
        <v>9.786023500192E12</v>
      </c>
      <c r="J430" s="12">
        <v>2015.0</v>
      </c>
      <c r="K430" s="23" t="s">
        <v>2967</v>
      </c>
      <c r="L430" s="24">
        <v>4.0</v>
      </c>
      <c r="M430" s="12" t="s">
        <v>340</v>
      </c>
      <c r="N430" s="26" t="str">
        <f t="shared" si="2"/>
        <v>
DAV
e</v>
      </c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0">
        <v>430.0</v>
      </c>
      <c r="B431" s="12" t="s">
        <v>2968</v>
      </c>
      <c r="C431" s="12" t="s">
        <v>235</v>
      </c>
      <c r="D431" s="23">
        <v>418.0</v>
      </c>
      <c r="E431" s="22" t="s">
        <v>2803</v>
      </c>
      <c r="F431" s="12" t="s">
        <v>2969</v>
      </c>
      <c r="G431" s="12" t="s">
        <v>340</v>
      </c>
      <c r="H431" s="12" t="s">
        <v>2560</v>
      </c>
      <c r="I431" s="23">
        <v>9.726027785911E12</v>
      </c>
      <c r="J431" s="12">
        <v>2015.0</v>
      </c>
      <c r="K431" s="23">
        <v>133.0</v>
      </c>
      <c r="L431" s="24">
        <v>1.0</v>
      </c>
      <c r="M431" s="38" t="s">
        <v>2970</v>
      </c>
      <c r="N431" s="26" t="str">
        <f t="shared" si="2"/>
        <v>418
BUD
k</v>
      </c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0">
        <v>431.0</v>
      </c>
      <c r="B432" s="12" t="s">
        <v>2971</v>
      </c>
      <c r="C432" s="12" t="s">
        <v>235</v>
      </c>
      <c r="D432" s="23" t="s">
        <v>2787</v>
      </c>
      <c r="E432" s="22" t="s">
        <v>2788</v>
      </c>
      <c r="F432" s="12" t="s">
        <v>2972</v>
      </c>
      <c r="G432" s="12" t="s">
        <v>2973</v>
      </c>
      <c r="H432" s="12" t="s">
        <v>2974</v>
      </c>
      <c r="I432" s="23">
        <v>9.786028155793E12</v>
      </c>
      <c r="J432" s="12">
        <v>2009.0</v>
      </c>
      <c r="K432" s="23">
        <v>57.0</v>
      </c>
      <c r="L432" s="24">
        <v>1.0</v>
      </c>
      <c r="M432" s="12" t="s">
        <v>340</v>
      </c>
      <c r="N432" s="26" t="str">
        <f t="shared" si="2"/>
        <v>421.55
ERN
w</v>
      </c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0">
        <v>432.0</v>
      </c>
      <c r="B433" s="12" t="s">
        <v>2975</v>
      </c>
      <c r="C433" s="12" t="s">
        <v>235</v>
      </c>
      <c r="D433" s="23" t="s">
        <v>2787</v>
      </c>
      <c r="E433" s="22" t="s">
        <v>2788</v>
      </c>
      <c r="F433" s="12" t="s">
        <v>2972</v>
      </c>
      <c r="G433" s="12" t="s">
        <v>2973</v>
      </c>
      <c r="H433" s="12" t="s">
        <v>2974</v>
      </c>
      <c r="I433" s="23">
        <v>9.786028155823E12</v>
      </c>
      <c r="J433" s="12">
        <v>2009.0</v>
      </c>
      <c r="K433" s="23">
        <v>69.0</v>
      </c>
      <c r="L433" s="24">
        <v>1.0</v>
      </c>
      <c r="M433" s="12" t="s">
        <v>340</v>
      </c>
      <c r="N433" s="26" t="str">
        <f t="shared" si="2"/>
        <v>421.55
ERN
i</v>
      </c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0">
        <v>433.0</v>
      </c>
      <c r="B434" s="12" t="s">
        <v>2976</v>
      </c>
      <c r="C434" s="12" t="s">
        <v>235</v>
      </c>
      <c r="D434" s="23" t="s">
        <v>2787</v>
      </c>
      <c r="E434" s="22" t="s">
        <v>2788</v>
      </c>
      <c r="F434" s="12" t="s">
        <v>2972</v>
      </c>
      <c r="G434" s="12" t="s">
        <v>2973</v>
      </c>
      <c r="H434" s="12" t="s">
        <v>2974</v>
      </c>
      <c r="I434" s="23">
        <v>9.786028155809E12</v>
      </c>
      <c r="J434" s="12">
        <v>2009.0</v>
      </c>
      <c r="K434" s="23">
        <v>58.0</v>
      </c>
      <c r="L434" s="24">
        <v>1.0</v>
      </c>
      <c r="M434" s="12" t="s">
        <v>340</v>
      </c>
      <c r="N434" s="26" t="str">
        <f t="shared" si="2"/>
        <v>421.55
ERN
s</v>
      </c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0">
        <v>434.0</v>
      </c>
      <c r="B435" s="12" t="s">
        <v>2977</v>
      </c>
      <c r="C435" s="12" t="s">
        <v>235</v>
      </c>
      <c r="D435" s="23" t="s">
        <v>2787</v>
      </c>
      <c r="E435" s="22" t="s">
        <v>2788</v>
      </c>
      <c r="F435" s="12" t="s">
        <v>2972</v>
      </c>
      <c r="G435" s="12" t="s">
        <v>2973</v>
      </c>
      <c r="H435" s="12" t="s">
        <v>2974</v>
      </c>
      <c r="I435" s="23">
        <v>9.786028155786E12</v>
      </c>
      <c r="J435" s="12">
        <v>2009.0</v>
      </c>
      <c r="K435" s="23">
        <v>58.0</v>
      </c>
      <c r="L435" s="24">
        <v>1.0</v>
      </c>
      <c r="M435" s="12" t="s">
        <v>340</v>
      </c>
      <c r="N435" s="26" t="str">
        <f t="shared" si="2"/>
        <v>421.55
ERN
i</v>
      </c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0">
        <v>435.0</v>
      </c>
      <c r="B436" s="12" t="s">
        <v>2978</v>
      </c>
      <c r="C436" s="12" t="s">
        <v>235</v>
      </c>
      <c r="D436" s="23" t="s">
        <v>2787</v>
      </c>
      <c r="E436" s="22" t="s">
        <v>2788</v>
      </c>
      <c r="F436" s="12" t="s">
        <v>2972</v>
      </c>
      <c r="G436" s="12" t="s">
        <v>2973</v>
      </c>
      <c r="H436" s="12" t="s">
        <v>2974</v>
      </c>
      <c r="I436" s="23">
        <v>9.786028155816E12</v>
      </c>
      <c r="J436" s="12">
        <v>2009.0</v>
      </c>
      <c r="K436" s="23">
        <v>58.0</v>
      </c>
      <c r="L436" s="24">
        <v>1.0</v>
      </c>
      <c r="M436" s="12" t="s">
        <v>340</v>
      </c>
      <c r="N436" s="26" t="str">
        <f t="shared" si="2"/>
        <v>421.55
ERN
e</v>
      </c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0">
        <v>436.0</v>
      </c>
      <c r="B437" s="12" t="s">
        <v>2979</v>
      </c>
      <c r="C437" s="12" t="s">
        <v>235</v>
      </c>
      <c r="D437" s="23" t="s">
        <v>2787</v>
      </c>
      <c r="E437" s="22" t="s">
        <v>2788</v>
      </c>
      <c r="F437" s="12" t="s">
        <v>2972</v>
      </c>
      <c r="G437" s="12" t="s">
        <v>2973</v>
      </c>
      <c r="H437" s="12" t="s">
        <v>2974</v>
      </c>
      <c r="I437" s="23">
        <v>9.786028155847E12</v>
      </c>
      <c r="J437" s="12">
        <v>2009.0</v>
      </c>
      <c r="K437" s="23">
        <v>70.0</v>
      </c>
      <c r="L437" s="24">
        <v>1.0</v>
      </c>
      <c r="M437" s="12" t="s">
        <v>340</v>
      </c>
      <c r="N437" s="26" t="str">
        <f t="shared" si="2"/>
        <v>421.55
ERN
e</v>
      </c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0">
        <v>437.0</v>
      </c>
      <c r="B438" s="12" t="s">
        <v>2980</v>
      </c>
      <c r="C438" s="12" t="s">
        <v>235</v>
      </c>
      <c r="D438" s="23" t="s">
        <v>2787</v>
      </c>
      <c r="E438" s="22" t="s">
        <v>2788</v>
      </c>
      <c r="F438" s="12" t="s">
        <v>2972</v>
      </c>
      <c r="G438" s="12" t="s">
        <v>2973</v>
      </c>
      <c r="H438" s="12" t="s">
        <v>2974</v>
      </c>
      <c r="I438" s="23">
        <v>9.78602815583E12</v>
      </c>
      <c r="J438" s="12">
        <v>2009.0</v>
      </c>
      <c r="K438" s="23">
        <v>70.0</v>
      </c>
      <c r="L438" s="24">
        <v>1.0</v>
      </c>
      <c r="M438" s="12" t="s">
        <v>340</v>
      </c>
      <c r="N438" s="26" t="str">
        <f t="shared" si="2"/>
        <v>421.55
ERN
a</v>
      </c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0">
        <v>438.0</v>
      </c>
      <c r="B439" s="12" t="s">
        <v>2981</v>
      </c>
      <c r="C439" s="12" t="s">
        <v>235</v>
      </c>
      <c r="D439" s="23" t="s">
        <v>2787</v>
      </c>
      <c r="E439" s="22" t="s">
        <v>2788</v>
      </c>
      <c r="F439" s="12" t="s">
        <v>2972</v>
      </c>
      <c r="G439" s="12" t="s">
        <v>2973</v>
      </c>
      <c r="H439" s="12" t="s">
        <v>2974</v>
      </c>
      <c r="I439" s="23">
        <v>9.786028155854E12</v>
      </c>
      <c r="J439" s="12">
        <v>2009.0</v>
      </c>
      <c r="K439" s="23">
        <v>74.0</v>
      </c>
      <c r="L439" s="24">
        <v>1.0</v>
      </c>
      <c r="M439" s="25" t="s">
        <v>2982</v>
      </c>
      <c r="N439" s="26" t="str">
        <f t="shared" si="2"/>
        <v>421.55
ERN
e</v>
      </c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0">
        <v>439.0</v>
      </c>
      <c r="B440" s="12" t="s">
        <v>2983</v>
      </c>
      <c r="C440" s="12" t="s">
        <v>38</v>
      </c>
      <c r="D440" s="23" t="s">
        <v>2984</v>
      </c>
      <c r="E440" s="12" t="s">
        <v>2985</v>
      </c>
      <c r="F440" s="12" t="s">
        <v>771</v>
      </c>
      <c r="G440" s="12" t="s">
        <v>2986</v>
      </c>
      <c r="H440" s="12" t="s">
        <v>2987</v>
      </c>
      <c r="I440" s="23">
        <v>9.786028142298E12</v>
      </c>
      <c r="J440" s="12">
        <v>2007.0</v>
      </c>
      <c r="K440" s="23">
        <v>72.0</v>
      </c>
      <c r="L440" s="24">
        <v>4.0</v>
      </c>
      <c r="M440" s="25" t="s">
        <v>2988</v>
      </c>
      <c r="N440" s="26" t="str">
        <f t="shared" si="2"/>
        <v>808.02
ISM
m</v>
      </c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0">
        <v>440.0</v>
      </c>
      <c r="B441" s="12" t="s">
        <v>2989</v>
      </c>
      <c r="C441" s="12" t="s">
        <v>235</v>
      </c>
      <c r="D441" s="35"/>
      <c r="E441" s="22" t="s">
        <v>1155</v>
      </c>
      <c r="F441" s="12" t="s">
        <v>2990</v>
      </c>
      <c r="G441" s="12" t="s">
        <v>2991</v>
      </c>
      <c r="H441" s="12" t="s">
        <v>2906</v>
      </c>
      <c r="I441" s="23">
        <v>9.789795345077E12</v>
      </c>
      <c r="J441" s="12">
        <v>2009.0</v>
      </c>
      <c r="K441" s="23">
        <v>52.0</v>
      </c>
      <c r="L441" s="24">
        <v>1.0</v>
      </c>
      <c r="M441" s="12" t="s">
        <v>340</v>
      </c>
      <c r="N441" s="26" t="str">
        <f t="shared" si="2"/>
        <v>
WUL
l</v>
      </c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0">
        <v>441.0</v>
      </c>
      <c r="B442" s="12" t="s">
        <v>2992</v>
      </c>
      <c r="C442" s="12" t="s">
        <v>235</v>
      </c>
      <c r="D442" s="23">
        <v>411.0</v>
      </c>
      <c r="E442" s="12" t="s">
        <v>2993</v>
      </c>
      <c r="F442" s="12" t="s">
        <v>107</v>
      </c>
      <c r="G442" s="12" t="s">
        <v>2994</v>
      </c>
      <c r="H442" s="12" t="s">
        <v>1973</v>
      </c>
      <c r="I442" s="23">
        <v>9.789790050068E12</v>
      </c>
      <c r="J442" s="12">
        <v>2009.0</v>
      </c>
      <c r="K442" s="23">
        <v>58.0</v>
      </c>
      <c r="L442" s="24">
        <v>1.0</v>
      </c>
      <c r="M442" s="25" t="s">
        <v>2995</v>
      </c>
      <c r="N442" s="26" t="str">
        <f t="shared" si="2"/>
        <v>411
EDI
k</v>
      </c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0">
        <v>442.0</v>
      </c>
      <c r="B443" s="12" t="s">
        <v>2996</v>
      </c>
      <c r="C443" s="12" t="s">
        <v>235</v>
      </c>
      <c r="D443" s="41" t="s">
        <v>2997</v>
      </c>
      <c r="E443" s="12" t="s">
        <v>2803</v>
      </c>
      <c r="F443" s="12" t="s">
        <v>2998</v>
      </c>
      <c r="G443" s="22"/>
      <c r="H443" s="12" t="s">
        <v>2560</v>
      </c>
      <c r="I443" s="35"/>
      <c r="J443" s="12">
        <v>2013.0</v>
      </c>
      <c r="K443" s="23">
        <v>156.0</v>
      </c>
      <c r="L443" s="24">
        <v>1.0</v>
      </c>
      <c r="M443" s="25" t="s">
        <v>2999</v>
      </c>
      <c r="N443" s="26" t="str">
        <f t="shared" si="2"/>
        <v>499.22
Drs
b</v>
      </c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0">
        <v>443.0</v>
      </c>
      <c r="B444" s="12" t="s">
        <v>3000</v>
      </c>
      <c r="C444" s="12" t="s">
        <v>235</v>
      </c>
      <c r="D444" s="35"/>
      <c r="E444" s="22" t="s">
        <v>1155</v>
      </c>
      <c r="F444" s="12" t="s">
        <v>3001</v>
      </c>
      <c r="G444" s="22"/>
      <c r="H444" s="12" t="s">
        <v>2432</v>
      </c>
      <c r="I444" s="23" t="s">
        <v>3002</v>
      </c>
      <c r="J444" s="12">
        <v>2015.0</v>
      </c>
      <c r="K444" s="23" t="s">
        <v>3003</v>
      </c>
      <c r="L444" s="24">
        <v>1.0</v>
      </c>
      <c r="M444" s="12" t="s">
        <v>340</v>
      </c>
      <c r="N444" s="26" t="str">
        <f t="shared" si="2"/>
        <v>
YUY
c</v>
      </c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0">
        <v>444.0</v>
      </c>
      <c r="B445" s="12" t="s">
        <v>3004</v>
      </c>
      <c r="C445" s="12" t="s">
        <v>229</v>
      </c>
      <c r="D445" s="47">
        <v>306449.0</v>
      </c>
      <c r="E445" s="12" t="s">
        <v>3005</v>
      </c>
      <c r="F445" s="12" t="s">
        <v>3006</v>
      </c>
      <c r="G445" s="12" t="s">
        <v>340</v>
      </c>
      <c r="H445" s="12" t="s">
        <v>3007</v>
      </c>
      <c r="I445" s="23" t="s">
        <v>340</v>
      </c>
      <c r="J445" s="12">
        <v>2002.0</v>
      </c>
      <c r="K445" s="23">
        <v>154.0</v>
      </c>
      <c r="L445" s="24">
        <v>1.0</v>
      </c>
      <c r="M445" s="25" t="s">
        <v>3008</v>
      </c>
      <c r="N445" s="26" t="str">
        <f t="shared" si="2"/>
        <v>306449
KOM
l</v>
      </c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0">
        <v>445.0</v>
      </c>
      <c r="B446" s="12" t="s">
        <v>3009</v>
      </c>
      <c r="C446" s="12" t="s">
        <v>246</v>
      </c>
      <c r="D446" s="23">
        <v>540.0</v>
      </c>
      <c r="E446" s="12" t="s">
        <v>3010</v>
      </c>
      <c r="F446" s="12" t="s">
        <v>3011</v>
      </c>
      <c r="G446" s="12" t="s">
        <v>3012</v>
      </c>
      <c r="H446" s="12" t="s">
        <v>57</v>
      </c>
      <c r="I446" s="23">
        <v>9.789794657201E12</v>
      </c>
      <c r="J446" s="12">
        <v>2010.0</v>
      </c>
      <c r="K446" s="23">
        <v>92.0</v>
      </c>
      <c r="L446" s="24">
        <v>2.0</v>
      </c>
      <c r="M446" s="25" t="s">
        <v>3013</v>
      </c>
      <c r="N446" s="26" t="str">
        <f t="shared" si="2"/>
        <v>540
ASE
z</v>
      </c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0">
        <v>446.0</v>
      </c>
      <c r="B447" s="12" t="s">
        <v>3014</v>
      </c>
      <c r="C447" s="12" t="s">
        <v>229</v>
      </c>
      <c r="D447" s="23" t="s">
        <v>3015</v>
      </c>
      <c r="E447" s="12" t="s">
        <v>3016</v>
      </c>
      <c r="F447" s="12" t="s">
        <v>3017</v>
      </c>
      <c r="G447" s="12" t="s">
        <v>3012</v>
      </c>
      <c r="H447" s="12" t="s">
        <v>57</v>
      </c>
      <c r="I447" s="23">
        <v>9.789794657249E12</v>
      </c>
      <c r="J447" s="12">
        <v>2010.0</v>
      </c>
      <c r="K447" s="23">
        <v>92.0</v>
      </c>
      <c r="L447" s="24">
        <v>2.0</v>
      </c>
      <c r="M447" s="12" t="s">
        <v>340</v>
      </c>
      <c r="N447" s="26" t="str">
        <f t="shared" si="2"/>
        <v>333.7
KOE
p</v>
      </c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0">
        <v>447.0</v>
      </c>
      <c r="B448" s="12" t="s">
        <v>3018</v>
      </c>
      <c r="C448" s="12" t="s">
        <v>246</v>
      </c>
      <c r="D448" s="23">
        <v>510.0</v>
      </c>
      <c r="E448" s="12" t="s">
        <v>3019</v>
      </c>
      <c r="F448" s="12" t="s">
        <v>3020</v>
      </c>
      <c r="G448" s="12" t="s">
        <v>3021</v>
      </c>
      <c r="H448" s="12" t="s">
        <v>57</v>
      </c>
      <c r="I448" s="23">
        <v>9.789794656587E12</v>
      </c>
      <c r="J448" s="12">
        <v>2010.0</v>
      </c>
      <c r="K448" s="23">
        <v>52.0</v>
      </c>
      <c r="L448" s="24">
        <v>2.0</v>
      </c>
      <c r="M448" s="12" t="s">
        <v>340</v>
      </c>
      <c r="N448" s="26" t="str">
        <f t="shared" si="2"/>
        <v>510
WAH
m</v>
      </c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0">
        <v>448.0</v>
      </c>
      <c r="B449" s="12" t="s">
        <v>3022</v>
      </c>
      <c r="C449" s="12" t="s">
        <v>246</v>
      </c>
      <c r="D449" s="23" t="s">
        <v>3023</v>
      </c>
      <c r="E449" s="12" t="s">
        <v>3024</v>
      </c>
      <c r="F449" s="12" t="s">
        <v>3025</v>
      </c>
      <c r="G449" s="12" t="s">
        <v>3021</v>
      </c>
      <c r="H449" s="12" t="s">
        <v>57</v>
      </c>
      <c r="I449" s="23">
        <v>9.78979465657E12</v>
      </c>
      <c r="J449" s="12">
        <v>2011.0</v>
      </c>
      <c r="K449" s="23">
        <v>92.0</v>
      </c>
      <c r="L449" s="24">
        <v>2.0</v>
      </c>
      <c r="M449" s="25" t="s">
        <v>3026</v>
      </c>
      <c r="N449" s="26" t="str">
        <f t="shared" si="2"/>
        <v>513.2
PRO
m</v>
      </c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0">
        <v>449.0</v>
      </c>
      <c r="B450" s="12" t="s">
        <v>3027</v>
      </c>
      <c r="C450" s="12" t="s">
        <v>246</v>
      </c>
      <c r="D450" s="23" t="s">
        <v>3028</v>
      </c>
      <c r="E450" s="12" t="s">
        <v>3029</v>
      </c>
      <c r="F450" s="12" t="s">
        <v>3025</v>
      </c>
      <c r="G450" s="12" t="s">
        <v>3021</v>
      </c>
      <c r="H450" s="12" t="s">
        <v>57</v>
      </c>
      <c r="I450" s="23">
        <v>9.789794656563E12</v>
      </c>
      <c r="J450" s="12">
        <v>2010.0</v>
      </c>
      <c r="K450" s="23" t="s">
        <v>3030</v>
      </c>
      <c r="L450" s="24">
        <v>2.0</v>
      </c>
      <c r="M450" s="12" t="s">
        <v>340</v>
      </c>
      <c r="N450" s="26" t="str">
        <f t="shared" si="2"/>
        <v>519.5
PRO
m</v>
      </c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0">
        <v>450.0</v>
      </c>
      <c r="B451" s="12" t="s">
        <v>3031</v>
      </c>
      <c r="C451" s="12" t="s">
        <v>249</v>
      </c>
      <c r="D451" s="23" t="s">
        <v>3032</v>
      </c>
      <c r="E451" s="12" t="s">
        <v>3033</v>
      </c>
      <c r="F451" s="12" t="s">
        <v>3034</v>
      </c>
      <c r="G451" s="22"/>
      <c r="H451" s="12" t="s">
        <v>57</v>
      </c>
      <c r="I451" s="23">
        <v>9.789794655276E12</v>
      </c>
      <c r="J451" s="12">
        <v>2011.0</v>
      </c>
      <c r="K451" s="23">
        <v>52.0</v>
      </c>
      <c r="L451" s="24">
        <v>2.0</v>
      </c>
      <c r="M451" s="12" t="s">
        <v>340</v>
      </c>
      <c r="N451" s="26" t="str">
        <f t="shared" si="2"/>
        <v>612.6
E. 
m</v>
      </c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0">
        <v>451.0</v>
      </c>
      <c r="B452" s="12" t="s">
        <v>3035</v>
      </c>
      <c r="C452" s="12" t="s">
        <v>249</v>
      </c>
      <c r="D452" s="23" t="s">
        <v>3036</v>
      </c>
      <c r="E452" s="12" t="s">
        <v>3037</v>
      </c>
      <c r="F452" s="12" t="s">
        <v>3034</v>
      </c>
      <c r="G452" s="22"/>
      <c r="H452" s="12" t="s">
        <v>57</v>
      </c>
      <c r="I452" s="23">
        <v>9.789794655283E12</v>
      </c>
      <c r="J452" s="12">
        <v>2011.0</v>
      </c>
      <c r="K452" s="23">
        <v>52.0</v>
      </c>
      <c r="L452" s="24">
        <v>2.0</v>
      </c>
      <c r="M452" s="12" t="s">
        <v>340</v>
      </c>
      <c r="N452" s="26" t="str">
        <f t="shared" si="2"/>
        <v>612.4
E. 
m</v>
      </c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0">
        <v>452.0</v>
      </c>
      <c r="B453" s="12" t="s">
        <v>3038</v>
      </c>
      <c r="C453" s="12" t="s">
        <v>246</v>
      </c>
      <c r="D453" s="23" t="s">
        <v>3039</v>
      </c>
      <c r="E453" s="22" t="s">
        <v>3040</v>
      </c>
      <c r="F453" s="12" t="s">
        <v>3041</v>
      </c>
      <c r="G453" s="12" t="s">
        <v>481</v>
      </c>
      <c r="H453" s="12" t="s">
        <v>253</v>
      </c>
      <c r="I453" s="23" t="s">
        <v>3042</v>
      </c>
      <c r="J453" s="12">
        <v>2015.0</v>
      </c>
      <c r="K453" s="23">
        <v>62.0</v>
      </c>
      <c r="L453" s="24">
        <v>2.0</v>
      </c>
      <c r="M453" s="25" t="s">
        <v>3043</v>
      </c>
      <c r="N453" s="26" t="str">
        <f t="shared" si="2"/>
        <v>551.4637
NAS
t</v>
      </c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0">
        <v>453.0</v>
      </c>
      <c r="B454" s="12" t="s">
        <v>3044</v>
      </c>
      <c r="C454" s="12" t="s">
        <v>249</v>
      </c>
      <c r="D454" s="23" t="s">
        <v>3045</v>
      </c>
      <c r="E454" s="22" t="s">
        <v>3046</v>
      </c>
      <c r="F454" s="12" t="s">
        <v>3047</v>
      </c>
      <c r="G454" s="12" t="s">
        <v>3048</v>
      </c>
      <c r="H454" s="12" t="s">
        <v>496</v>
      </c>
      <c r="I454" s="23" t="s">
        <v>3049</v>
      </c>
      <c r="J454" s="12">
        <v>2013.0</v>
      </c>
      <c r="K454" s="23">
        <v>68.0</v>
      </c>
      <c r="L454" s="24">
        <v>1.0</v>
      </c>
      <c r="M454" s="12" t="s">
        <v>340</v>
      </c>
      <c r="N454" s="26" t="str">
        <f t="shared" si="2"/>
        <v>634.9
PUT
p</v>
      </c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0">
        <v>454.0</v>
      </c>
      <c r="B455" s="12" t="s">
        <v>3050</v>
      </c>
      <c r="C455" s="12" t="s">
        <v>246</v>
      </c>
      <c r="D455" s="23">
        <v>512.0</v>
      </c>
      <c r="E455" s="12" t="s">
        <v>3051</v>
      </c>
      <c r="F455" s="12" t="s">
        <v>504</v>
      </c>
      <c r="G455" s="12" t="s">
        <v>3052</v>
      </c>
      <c r="H455" s="12" t="s">
        <v>554</v>
      </c>
      <c r="I455" s="23" t="s">
        <v>3053</v>
      </c>
      <c r="J455" s="12">
        <v>2015.0</v>
      </c>
      <c r="K455" s="23">
        <v>66.0</v>
      </c>
      <c r="L455" s="24">
        <v>5.0</v>
      </c>
      <c r="M455" s="12" t="s">
        <v>340</v>
      </c>
      <c r="N455" s="26" t="str">
        <f t="shared" si="2"/>
        <v>512
NIA
m</v>
      </c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0">
        <v>455.0</v>
      </c>
      <c r="B456" s="12" t="s">
        <v>3054</v>
      </c>
      <c r="C456" s="12" t="s">
        <v>246</v>
      </c>
      <c r="D456" s="23" t="s">
        <v>3055</v>
      </c>
      <c r="E456" s="12" t="s">
        <v>3054</v>
      </c>
      <c r="F456" s="12" t="s">
        <v>3056</v>
      </c>
      <c r="G456" s="22"/>
      <c r="H456" s="12" t="s">
        <v>3057</v>
      </c>
      <c r="I456" s="23" t="s">
        <v>3058</v>
      </c>
      <c r="J456" s="12">
        <v>2005.0</v>
      </c>
      <c r="K456" s="23">
        <v>266.0</v>
      </c>
      <c r="L456" s="24">
        <v>1.0</v>
      </c>
      <c r="M456" s="12" t="s">
        <v>340</v>
      </c>
      <c r="N456" s="26" t="str">
        <f t="shared" si="2"/>
        <v>581.4
Pro
m</v>
      </c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0">
        <v>456.0</v>
      </c>
      <c r="B457" s="12" t="s">
        <v>3059</v>
      </c>
      <c r="C457" s="12" t="s">
        <v>246</v>
      </c>
      <c r="D457" s="23" t="s">
        <v>3060</v>
      </c>
      <c r="E457" s="12" t="s">
        <v>3061</v>
      </c>
      <c r="F457" s="12" t="s">
        <v>3062</v>
      </c>
      <c r="G457" s="22"/>
      <c r="H457" s="12" t="s">
        <v>1717</v>
      </c>
      <c r="I457" s="23" t="s">
        <v>340</v>
      </c>
      <c r="J457" s="12">
        <v>2006.0</v>
      </c>
      <c r="K457" s="23">
        <v>41.0</v>
      </c>
      <c r="L457" s="24">
        <v>4.0</v>
      </c>
      <c r="M457" s="25" t="s">
        <v>3063</v>
      </c>
      <c r="N457" s="26" t="str">
        <f t="shared" si="2"/>
        <v>551.42
IPA
m</v>
      </c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0">
        <v>457.0</v>
      </c>
      <c r="B458" s="12" t="s">
        <v>3064</v>
      </c>
      <c r="C458" s="12" t="s">
        <v>246</v>
      </c>
      <c r="D458" s="23">
        <v>540.0</v>
      </c>
      <c r="E458" s="12" t="s">
        <v>3010</v>
      </c>
      <c r="F458" s="12" t="s">
        <v>3065</v>
      </c>
      <c r="G458" s="12" t="s">
        <v>3066</v>
      </c>
      <c r="H458" s="12" t="s">
        <v>3067</v>
      </c>
      <c r="I458" s="23">
        <v>9.78602871428E12</v>
      </c>
      <c r="J458" s="12">
        <v>2015.0</v>
      </c>
      <c r="K458" s="23">
        <v>133.0</v>
      </c>
      <c r="L458" s="24">
        <v>2.0</v>
      </c>
      <c r="M458" s="25" t="s">
        <v>3068</v>
      </c>
      <c r="N458" s="26" t="str">
        <f t="shared" si="2"/>
        <v>540
TIM
b</v>
      </c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0">
        <v>458.0</v>
      </c>
      <c r="B459" s="12" t="s">
        <v>3069</v>
      </c>
      <c r="C459" s="12" t="s">
        <v>246</v>
      </c>
      <c r="D459" s="23">
        <v>500.0</v>
      </c>
      <c r="E459" s="12" t="s">
        <v>3070</v>
      </c>
      <c r="F459" s="12" t="s">
        <v>3071</v>
      </c>
      <c r="G459" s="12" t="s">
        <v>3072</v>
      </c>
      <c r="H459" s="12" t="s">
        <v>2314</v>
      </c>
      <c r="I459" s="23">
        <v>9.797444767E9</v>
      </c>
      <c r="J459" s="12">
        <v>2006.0</v>
      </c>
      <c r="K459" s="23" t="s">
        <v>3073</v>
      </c>
      <c r="L459" s="24">
        <v>2.0</v>
      </c>
      <c r="M459" s="25" t="s">
        <v>3074</v>
      </c>
      <c r="N459" s="26" t="str">
        <f t="shared" si="2"/>
        <v>500
AND
b</v>
      </c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0">
        <v>459.0</v>
      </c>
      <c r="B460" s="12" t="s">
        <v>3075</v>
      </c>
      <c r="C460" s="12" t="s">
        <v>246</v>
      </c>
      <c r="D460" s="23" t="s">
        <v>3076</v>
      </c>
      <c r="E460" s="12" t="s">
        <v>3075</v>
      </c>
      <c r="F460" s="12" t="s">
        <v>2815</v>
      </c>
      <c r="G460" s="12" t="s">
        <v>652</v>
      </c>
      <c r="H460" s="12" t="s">
        <v>646</v>
      </c>
      <c r="I460" s="23" t="s">
        <v>3077</v>
      </c>
      <c r="J460" s="12">
        <v>2013.0</v>
      </c>
      <c r="K460" s="23">
        <v>161.0</v>
      </c>
      <c r="L460" s="24">
        <v>3.0</v>
      </c>
      <c r="M460" s="25" t="s">
        <v>3078</v>
      </c>
      <c r="N460" s="26" t="str">
        <f t="shared" si="2"/>
        <v>530.03
HER
k</v>
      </c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0">
        <v>460.0</v>
      </c>
      <c r="B461" s="12" t="s">
        <v>917</v>
      </c>
      <c r="C461" s="12" t="s">
        <v>246</v>
      </c>
      <c r="D461" s="23" t="s">
        <v>918</v>
      </c>
      <c r="E461" s="12" t="s">
        <v>917</v>
      </c>
      <c r="F461" s="12" t="s">
        <v>2815</v>
      </c>
      <c r="G461" s="12" t="s">
        <v>652</v>
      </c>
      <c r="H461" s="12" t="s">
        <v>646</v>
      </c>
      <c r="I461" s="23" t="s">
        <v>3079</v>
      </c>
      <c r="J461" s="12">
        <v>2014.0</v>
      </c>
      <c r="K461" s="23">
        <v>208.0</v>
      </c>
      <c r="L461" s="24">
        <v>2.0</v>
      </c>
      <c r="M461" s="25" t="s">
        <v>923</v>
      </c>
      <c r="N461" s="26" t="str">
        <f t="shared" si="2"/>
        <v>540.3
HER
k</v>
      </c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0">
        <v>461.0</v>
      </c>
      <c r="B462" s="12" t="s">
        <v>3080</v>
      </c>
      <c r="C462" s="12" t="s">
        <v>246</v>
      </c>
      <c r="D462" s="23" t="s">
        <v>3081</v>
      </c>
      <c r="E462" s="12" t="s">
        <v>3080</v>
      </c>
      <c r="F462" s="12" t="s">
        <v>3082</v>
      </c>
      <c r="G462" s="12" t="s">
        <v>3083</v>
      </c>
      <c r="H462" s="12" t="s">
        <v>646</v>
      </c>
      <c r="I462" s="23" t="s">
        <v>3084</v>
      </c>
      <c r="J462" s="12">
        <v>2013.0</v>
      </c>
      <c r="K462" s="23">
        <v>156.0</v>
      </c>
      <c r="L462" s="24">
        <v>2.0</v>
      </c>
      <c r="M462" s="12" t="s">
        <v>340</v>
      </c>
      <c r="N462" s="26" t="str">
        <f t="shared" si="2"/>
        <v>510.3
ROH
k</v>
      </c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0">
        <v>462.0</v>
      </c>
      <c r="B463" s="12" t="s">
        <v>3085</v>
      </c>
      <c r="C463" s="12" t="s">
        <v>246</v>
      </c>
      <c r="D463" s="23" t="s">
        <v>3086</v>
      </c>
      <c r="E463" s="12" t="s">
        <v>3087</v>
      </c>
      <c r="F463" s="12" t="s">
        <v>3088</v>
      </c>
      <c r="G463" s="22"/>
      <c r="H463" s="12" t="s">
        <v>2890</v>
      </c>
      <c r="I463" s="23" t="s">
        <v>3089</v>
      </c>
      <c r="J463" s="12">
        <v>2006.0</v>
      </c>
      <c r="K463" s="23" t="s">
        <v>3090</v>
      </c>
      <c r="L463" s="24">
        <v>1.0</v>
      </c>
      <c r="M463" s="25" t="s">
        <v>3091</v>
      </c>
      <c r="N463" s="26" t="str">
        <f t="shared" si="2"/>
        <v>578.77
IYA
k</v>
      </c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0">
        <v>463.0</v>
      </c>
      <c r="B464" s="12" t="s">
        <v>3092</v>
      </c>
      <c r="C464" s="12" t="s">
        <v>246</v>
      </c>
      <c r="D464" s="23">
        <v>540.0</v>
      </c>
      <c r="E464" s="12" t="s">
        <v>3010</v>
      </c>
      <c r="F464" s="12" t="s">
        <v>3093</v>
      </c>
      <c r="G464" s="12" t="s">
        <v>107</v>
      </c>
      <c r="H464" s="12" t="s">
        <v>253</v>
      </c>
      <c r="I464" s="23" t="s">
        <v>3094</v>
      </c>
      <c r="J464" s="12">
        <v>2015.0</v>
      </c>
      <c r="K464" s="23">
        <v>86.0</v>
      </c>
      <c r="L464" s="24">
        <v>4.0</v>
      </c>
      <c r="M464" s="25" t="s">
        <v>3095</v>
      </c>
      <c r="N464" s="26" t="str">
        <f t="shared" si="2"/>
        <v>540
HET
m</v>
      </c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0">
        <v>464.0</v>
      </c>
      <c r="B465" s="12" t="s">
        <v>3096</v>
      </c>
      <c r="C465" s="12" t="s">
        <v>246</v>
      </c>
      <c r="D465" s="23" t="s">
        <v>3097</v>
      </c>
      <c r="E465" s="12" t="s">
        <v>3098</v>
      </c>
      <c r="F465" s="12" t="s">
        <v>3099</v>
      </c>
      <c r="G465" s="12" t="s">
        <v>125</v>
      </c>
      <c r="H465" s="12" t="s">
        <v>3100</v>
      </c>
      <c r="I465" s="23" t="s">
        <v>3101</v>
      </c>
      <c r="J465" s="12">
        <v>2009.0</v>
      </c>
      <c r="K465" s="23" t="s">
        <v>3102</v>
      </c>
      <c r="L465" s="24">
        <v>3.0</v>
      </c>
      <c r="M465" s="12" t="s">
        <v>340</v>
      </c>
      <c r="N465" s="26" t="str">
        <f t="shared" si="2"/>
        <v>551.48
SUS
b</v>
      </c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0">
        <v>465.0</v>
      </c>
      <c r="B466" s="12" t="s">
        <v>3103</v>
      </c>
      <c r="C466" s="12" t="s">
        <v>246</v>
      </c>
      <c r="D466" s="23" t="s">
        <v>3104</v>
      </c>
      <c r="E466" s="12" t="s">
        <v>1616</v>
      </c>
      <c r="F466" s="12" t="s">
        <v>3105</v>
      </c>
      <c r="G466" s="12" t="s">
        <v>652</v>
      </c>
      <c r="H466" s="12" t="s">
        <v>646</v>
      </c>
      <c r="I466" s="23" t="s">
        <v>3106</v>
      </c>
      <c r="J466" s="12">
        <v>2014.0</v>
      </c>
      <c r="K466" s="23">
        <v>244.0</v>
      </c>
      <c r="L466" s="24">
        <v>2.0</v>
      </c>
      <c r="M466" s="25" t="s">
        <v>3107</v>
      </c>
      <c r="N466" s="26" t="str">
        <f t="shared" si="2"/>
        <v>570.3
NOV
k</v>
      </c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0">
        <v>466.0</v>
      </c>
      <c r="B467" s="12" t="s">
        <v>3108</v>
      </c>
      <c r="C467" s="12" t="s">
        <v>246</v>
      </c>
      <c r="D467" s="23">
        <v>500.0</v>
      </c>
      <c r="E467" s="12" t="s">
        <v>3070</v>
      </c>
      <c r="F467" s="12" t="s">
        <v>3109</v>
      </c>
      <c r="G467" s="12" t="s">
        <v>3110</v>
      </c>
      <c r="H467" s="12" t="s">
        <v>3111</v>
      </c>
      <c r="I467" s="23" t="s">
        <v>3112</v>
      </c>
      <c r="J467" s="12">
        <v>2008.0</v>
      </c>
      <c r="K467" s="23">
        <v>58.0</v>
      </c>
      <c r="L467" s="24">
        <v>1.0</v>
      </c>
      <c r="M467" s="12" t="s">
        <v>340</v>
      </c>
      <c r="N467" s="26" t="str">
        <f t="shared" si="2"/>
        <v>500
LIL
m</v>
      </c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0">
        <v>467.0</v>
      </c>
      <c r="B468" s="12" t="s">
        <v>3113</v>
      </c>
      <c r="C468" s="12" t="s">
        <v>246</v>
      </c>
      <c r="D468" s="23">
        <v>530.0</v>
      </c>
      <c r="E468" s="12" t="s">
        <v>3114</v>
      </c>
      <c r="F468" s="12" t="s">
        <v>3115</v>
      </c>
      <c r="G468" s="12" t="s">
        <v>107</v>
      </c>
      <c r="H468" s="12" t="s">
        <v>108</v>
      </c>
      <c r="I468" s="23" t="s">
        <v>3116</v>
      </c>
      <c r="J468" s="12">
        <v>2015.0</v>
      </c>
      <c r="K468" s="23">
        <v>72.0</v>
      </c>
      <c r="L468" s="24">
        <v>3.0</v>
      </c>
      <c r="M468" s="25" t="s">
        <v>3117</v>
      </c>
      <c r="N468" s="26" t="str">
        <f t="shared" si="2"/>
        <v>530
ADI
m</v>
      </c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0">
        <v>468.0</v>
      </c>
      <c r="B469" s="12" t="s">
        <v>3118</v>
      </c>
      <c r="C469" s="12" t="s">
        <v>246</v>
      </c>
      <c r="D469" s="23" t="s">
        <v>3119</v>
      </c>
      <c r="E469" s="22" t="s">
        <v>3120</v>
      </c>
      <c r="F469" s="12" t="s">
        <v>3121</v>
      </c>
      <c r="G469" s="12" t="s">
        <v>3110</v>
      </c>
      <c r="H469" s="12" t="s">
        <v>3111</v>
      </c>
      <c r="I469" s="23" t="s">
        <v>3122</v>
      </c>
      <c r="J469" s="12">
        <v>2008.0</v>
      </c>
      <c r="K469" s="23">
        <v>74.0</v>
      </c>
      <c r="L469" s="24">
        <v>1.0</v>
      </c>
      <c r="M469" s="38" t="s">
        <v>3123</v>
      </c>
      <c r="N469" s="26" t="str">
        <f t="shared" si="2"/>
        <v>577.53
MEI
m</v>
      </c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0">
        <v>469.0</v>
      </c>
      <c r="B470" s="12" t="s">
        <v>3124</v>
      </c>
      <c r="C470" s="12" t="s">
        <v>246</v>
      </c>
      <c r="D470" s="23">
        <v>510.0</v>
      </c>
      <c r="E470" s="12" t="s">
        <v>3019</v>
      </c>
      <c r="F470" s="12" t="s">
        <v>3125</v>
      </c>
      <c r="G470" s="12" t="s">
        <v>3126</v>
      </c>
      <c r="H470" s="12" t="s">
        <v>347</v>
      </c>
      <c r="I470" s="35"/>
      <c r="J470" s="12">
        <v>2015.0</v>
      </c>
      <c r="K470" s="23">
        <v>52.0</v>
      </c>
      <c r="L470" s="24">
        <v>1.0</v>
      </c>
      <c r="M470" s="25" t="s">
        <v>3127</v>
      </c>
      <c r="N470" s="26" t="str">
        <f t="shared" si="2"/>
        <v>510
AND
p</v>
      </c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0">
        <v>470.0</v>
      </c>
      <c r="B471" s="12" t="s">
        <v>3128</v>
      </c>
      <c r="C471" s="12" t="s">
        <v>246</v>
      </c>
      <c r="D471" s="23">
        <v>510.0</v>
      </c>
      <c r="E471" s="12" t="s">
        <v>3019</v>
      </c>
      <c r="F471" s="12" t="s">
        <v>3129</v>
      </c>
      <c r="G471" s="12" t="s">
        <v>3130</v>
      </c>
      <c r="H471" s="12" t="s">
        <v>3131</v>
      </c>
      <c r="I471" s="23" t="s">
        <v>3132</v>
      </c>
      <c r="J471" s="12">
        <v>2015.0</v>
      </c>
      <c r="K471" s="23">
        <v>168.0</v>
      </c>
      <c r="L471" s="24">
        <v>2.0</v>
      </c>
      <c r="M471" s="25" t="s">
        <v>3133</v>
      </c>
      <c r="N471" s="26" t="str">
        <f t="shared" si="2"/>
        <v>510
WAH
p</v>
      </c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0">
        <v>471.0</v>
      </c>
      <c r="B472" s="12" t="s">
        <v>3134</v>
      </c>
      <c r="C472" s="12" t="s">
        <v>246</v>
      </c>
      <c r="D472" s="23" t="s">
        <v>3097</v>
      </c>
      <c r="E472" s="12" t="s">
        <v>3135</v>
      </c>
      <c r="F472" s="12" t="s">
        <v>3136</v>
      </c>
      <c r="G472" s="22"/>
      <c r="H472" s="12" t="s">
        <v>534</v>
      </c>
      <c r="I472" s="23" t="s">
        <v>3137</v>
      </c>
      <c r="J472" s="12">
        <v>2015.0</v>
      </c>
      <c r="K472" s="23">
        <v>60.0</v>
      </c>
      <c r="L472" s="24">
        <v>5.0</v>
      </c>
      <c r="M472" s="25" t="s">
        <v>3138</v>
      </c>
      <c r="N472" s="26" t="str">
        <f t="shared" si="2"/>
        <v>551.48
KOM
p</v>
      </c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0">
        <v>472.0</v>
      </c>
      <c r="B473" s="12" t="s">
        <v>3139</v>
      </c>
      <c r="C473" s="12" t="s">
        <v>246</v>
      </c>
      <c r="D473" s="23">
        <v>570.0</v>
      </c>
      <c r="E473" s="12" t="s">
        <v>3140</v>
      </c>
      <c r="F473" s="12" t="s">
        <v>3136</v>
      </c>
      <c r="G473" s="22"/>
      <c r="H473" s="12" t="s">
        <v>534</v>
      </c>
      <c r="I473" s="23" t="s">
        <v>3141</v>
      </c>
      <c r="J473" s="12">
        <v>2015.0</v>
      </c>
      <c r="K473" s="23">
        <v>69.0</v>
      </c>
      <c r="L473" s="24">
        <v>2.0</v>
      </c>
      <c r="M473" s="25" t="s">
        <v>3142</v>
      </c>
      <c r="N473" s="26" t="str">
        <f t="shared" si="2"/>
        <v>570
KOM
p</v>
      </c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0">
        <v>473.0</v>
      </c>
      <c r="B474" s="12" t="s">
        <v>3143</v>
      </c>
      <c r="C474" s="12" t="s">
        <v>246</v>
      </c>
      <c r="D474" s="23">
        <v>530.0</v>
      </c>
      <c r="E474" s="12" t="s">
        <v>3144</v>
      </c>
      <c r="F474" s="12" t="s">
        <v>3145</v>
      </c>
      <c r="G474" s="12" t="s">
        <v>3146</v>
      </c>
      <c r="H474" s="12" t="s">
        <v>253</v>
      </c>
      <c r="I474" s="23" t="s">
        <v>3147</v>
      </c>
      <c r="J474" s="12">
        <v>2015.0</v>
      </c>
      <c r="K474" s="23">
        <v>72.0</v>
      </c>
      <c r="L474" s="24">
        <v>3.0</v>
      </c>
      <c r="M474" s="25" t="s">
        <v>3148</v>
      </c>
      <c r="N474" s="26" t="str">
        <f t="shared" si="2"/>
        <v>530
WAH
m</v>
      </c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0">
        <v>474.0</v>
      </c>
      <c r="B475" s="12" t="s">
        <v>3149</v>
      </c>
      <c r="C475" s="12" t="s">
        <v>229</v>
      </c>
      <c r="D475" s="23" t="s">
        <v>3150</v>
      </c>
      <c r="E475" s="12" t="s">
        <v>3151</v>
      </c>
      <c r="F475" s="12" t="s">
        <v>3152</v>
      </c>
      <c r="G475" s="12"/>
      <c r="H475" s="12" t="s">
        <v>3153</v>
      </c>
      <c r="I475" s="23"/>
      <c r="J475" s="12">
        <v>1993.0</v>
      </c>
      <c r="K475" s="23">
        <v>528.0</v>
      </c>
      <c r="L475" s="24">
        <v>1.0</v>
      </c>
      <c r="M475" s="25" t="s">
        <v>3154</v>
      </c>
      <c r="N475" s="26" t="str">
        <f t="shared" si="2"/>
        <v>330.1
WIE
k</v>
      </c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0">
        <v>475.0</v>
      </c>
      <c r="B476" s="12" t="s">
        <v>3155</v>
      </c>
      <c r="C476" s="12" t="s">
        <v>246</v>
      </c>
      <c r="D476" s="23">
        <v>594.0</v>
      </c>
      <c r="E476" s="12" t="s">
        <v>3156</v>
      </c>
      <c r="F476" s="12" t="s">
        <v>3157</v>
      </c>
      <c r="G476" s="12" t="s">
        <v>888</v>
      </c>
      <c r="H476" s="12" t="s">
        <v>3158</v>
      </c>
      <c r="I476" s="23" t="s">
        <v>3159</v>
      </c>
      <c r="J476" s="12">
        <v>2009.0</v>
      </c>
      <c r="K476" s="23" t="s">
        <v>3160</v>
      </c>
      <c r="L476" s="24">
        <v>1.0</v>
      </c>
      <c r="M476" s="12" t="s">
        <v>340</v>
      </c>
      <c r="N476" s="26" t="str">
        <f t="shared" si="2"/>
        <v>594
DEW
b</v>
      </c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0">
        <v>476.0</v>
      </c>
      <c r="B477" s="12" t="s">
        <v>3161</v>
      </c>
      <c r="C477" s="12" t="s">
        <v>246</v>
      </c>
      <c r="D477" s="23" t="s">
        <v>3162</v>
      </c>
      <c r="E477" s="12" t="s">
        <v>3163</v>
      </c>
      <c r="F477" s="12" t="s">
        <v>3164</v>
      </c>
      <c r="G477" s="12" t="s">
        <v>3165</v>
      </c>
      <c r="H477" s="12" t="s">
        <v>2314</v>
      </c>
      <c r="I477" s="35"/>
      <c r="J477" s="12">
        <v>2016.0</v>
      </c>
      <c r="K477" s="23" t="s">
        <v>3166</v>
      </c>
      <c r="L477" s="24">
        <v>1.0</v>
      </c>
      <c r="M477" s="12" t="s">
        <v>340</v>
      </c>
      <c r="N477" s="26" t="str">
        <f t="shared" si="2"/>
        <v>591.3
SUM
b</v>
      </c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0">
        <v>477.0</v>
      </c>
      <c r="B478" s="12" t="s">
        <v>3167</v>
      </c>
      <c r="C478" s="12" t="s">
        <v>249</v>
      </c>
      <c r="D478" s="23" t="s">
        <v>3168</v>
      </c>
      <c r="E478" s="12" t="s">
        <v>3169</v>
      </c>
      <c r="F478" s="12" t="s">
        <v>3041</v>
      </c>
      <c r="G478" s="12" t="s">
        <v>3048</v>
      </c>
      <c r="H478" s="12" t="s">
        <v>174</v>
      </c>
      <c r="I478" s="23" t="s">
        <v>3170</v>
      </c>
      <c r="J478" s="12">
        <v>2013.0</v>
      </c>
      <c r="K478" s="23" t="s">
        <v>1093</v>
      </c>
      <c r="L478" s="24">
        <v>2.0</v>
      </c>
      <c r="M478" s="12" t="s">
        <v>340</v>
      </c>
      <c r="N478" s="26" t="str">
        <f t="shared" si="2"/>
        <v>615.3
NAS
b</v>
      </c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0">
        <v>478.0</v>
      </c>
      <c r="B479" s="12" t="s">
        <v>3171</v>
      </c>
      <c r="C479" s="12" t="s">
        <v>246</v>
      </c>
      <c r="D479" s="23">
        <v>593.0</v>
      </c>
      <c r="E479" s="12" t="s">
        <v>3172</v>
      </c>
      <c r="F479" s="12" t="s">
        <v>3173</v>
      </c>
      <c r="G479" s="12" t="s">
        <v>3174</v>
      </c>
      <c r="H479" s="12" t="s">
        <v>3158</v>
      </c>
      <c r="I479" s="23" t="s">
        <v>3175</v>
      </c>
      <c r="J479" s="12">
        <v>2009.0</v>
      </c>
      <c r="K479" s="23">
        <v>50.0</v>
      </c>
      <c r="L479" s="24">
        <v>2.0</v>
      </c>
      <c r="M479" s="12" t="s">
        <v>340</v>
      </c>
      <c r="N479" s="26" t="str">
        <f t="shared" si="2"/>
        <v>593
TSU
h</v>
      </c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0">
        <v>479.0</v>
      </c>
      <c r="B480" s="12" t="s">
        <v>3176</v>
      </c>
      <c r="C480" s="12" t="s">
        <v>246</v>
      </c>
      <c r="D480" s="23">
        <v>510.0</v>
      </c>
      <c r="E480" s="12" t="s">
        <v>3019</v>
      </c>
      <c r="F480" s="12" t="s">
        <v>3177</v>
      </c>
      <c r="G480" s="12" t="s">
        <v>3178</v>
      </c>
      <c r="H480" s="12" t="s">
        <v>347</v>
      </c>
      <c r="I480" s="23">
        <v>9.789792806366E12</v>
      </c>
      <c r="J480" s="12">
        <v>2015.0</v>
      </c>
      <c r="K480" s="23">
        <v>68.0</v>
      </c>
      <c r="L480" s="24">
        <v>1.0</v>
      </c>
      <c r="M480" s="12" t="s">
        <v>340</v>
      </c>
      <c r="N480" s="26" t="str">
        <f t="shared" si="2"/>
        <v>510
DEW
k</v>
      </c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0">
        <v>480.0</v>
      </c>
      <c r="B481" s="12" t="s">
        <v>3179</v>
      </c>
      <c r="C481" s="12" t="s">
        <v>246</v>
      </c>
      <c r="D481" s="23">
        <v>580.0</v>
      </c>
      <c r="E481" s="12" t="s">
        <v>3180</v>
      </c>
      <c r="F481" s="12" t="s">
        <v>3181</v>
      </c>
      <c r="G481" s="12" t="s">
        <v>107</v>
      </c>
      <c r="H481" s="12" t="s">
        <v>534</v>
      </c>
      <c r="I481" s="23">
        <v>9.786028712064E12</v>
      </c>
      <c r="J481" s="12">
        <v>2015.0</v>
      </c>
      <c r="K481" s="23">
        <v>84.0</v>
      </c>
      <c r="L481" s="24">
        <v>4.0</v>
      </c>
      <c r="M481" s="25" t="s">
        <v>3182</v>
      </c>
      <c r="N481" s="26" t="str">
        <f t="shared" si="2"/>
        <v>580
YEN
k</v>
      </c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0">
        <v>481.0</v>
      </c>
      <c r="B482" s="12" t="s">
        <v>3183</v>
      </c>
      <c r="C482" s="12" t="s">
        <v>246</v>
      </c>
      <c r="D482" s="23">
        <v>583.0</v>
      </c>
      <c r="E482" s="12" t="s">
        <v>3184</v>
      </c>
      <c r="F482" s="12" t="s">
        <v>3185</v>
      </c>
      <c r="G482" s="22"/>
      <c r="H482" s="12" t="s">
        <v>3186</v>
      </c>
      <c r="I482" s="35"/>
      <c r="J482" s="12">
        <v>2010.0</v>
      </c>
      <c r="K482" s="23" t="s">
        <v>3187</v>
      </c>
      <c r="L482" s="24">
        <v>1.0</v>
      </c>
      <c r="M482" s="25" t="s">
        <v>3188</v>
      </c>
      <c r="N482" s="26" t="str">
        <f t="shared" si="2"/>
        <v>583
KAR
d</v>
      </c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0">
        <v>482.0</v>
      </c>
      <c r="B483" s="12" t="s">
        <v>3189</v>
      </c>
      <c r="C483" s="12" t="s">
        <v>246</v>
      </c>
      <c r="D483" s="23">
        <v>540.0</v>
      </c>
      <c r="E483" s="12" t="s">
        <v>3010</v>
      </c>
      <c r="F483" s="12" t="s">
        <v>3190</v>
      </c>
      <c r="G483" s="12" t="s">
        <v>3191</v>
      </c>
      <c r="H483" s="12" t="s">
        <v>253</v>
      </c>
      <c r="I483" s="23">
        <v>9.786028713184E12</v>
      </c>
      <c r="J483" s="12">
        <v>2015.0</v>
      </c>
      <c r="K483" s="23" t="s">
        <v>3192</v>
      </c>
      <c r="L483" s="24">
        <v>1.0</v>
      </c>
      <c r="M483" s="25" t="s">
        <v>3193</v>
      </c>
      <c r="N483" s="26" t="str">
        <f t="shared" si="2"/>
        <v>540
NAS
k</v>
      </c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0">
        <v>483.0</v>
      </c>
      <c r="B484" s="12" t="s">
        <v>3194</v>
      </c>
      <c r="C484" s="12" t="s">
        <v>246</v>
      </c>
      <c r="D484" s="23">
        <v>520.0</v>
      </c>
      <c r="E484" s="12" t="s">
        <v>3195</v>
      </c>
      <c r="F484" s="12" t="s">
        <v>3196</v>
      </c>
      <c r="G484" s="22"/>
      <c r="H484" s="12" t="s">
        <v>347</v>
      </c>
      <c r="I484" s="35"/>
      <c r="J484" s="22"/>
      <c r="K484" s="23">
        <v>42.0</v>
      </c>
      <c r="L484" s="24">
        <v>3.0</v>
      </c>
      <c r="M484" s="25" t="s">
        <v>3197</v>
      </c>
      <c r="N484" s="26" t="str">
        <f t="shared" si="2"/>
        <v>520
ALI
m</v>
      </c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0">
        <v>484.0</v>
      </c>
      <c r="B485" s="12" t="s">
        <v>3198</v>
      </c>
      <c r="C485" s="12" t="s">
        <v>246</v>
      </c>
      <c r="D485" s="23">
        <v>535.0</v>
      </c>
      <c r="E485" s="12" t="s">
        <v>3199</v>
      </c>
      <c r="F485" s="12" t="s">
        <v>3200</v>
      </c>
      <c r="G485" s="12" t="s">
        <v>3201</v>
      </c>
      <c r="H485" s="12" t="s">
        <v>2314</v>
      </c>
      <c r="I485" s="35"/>
      <c r="J485" s="12">
        <v>2007.0</v>
      </c>
      <c r="K485" s="23" t="s">
        <v>3202</v>
      </c>
      <c r="L485" s="24">
        <v>1.0</v>
      </c>
      <c r="M485" s="12" t="s">
        <v>340</v>
      </c>
      <c r="N485" s="26" t="str">
        <f t="shared" si="2"/>
        <v>535
HES
m</v>
      </c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0">
        <v>485.0</v>
      </c>
      <c r="B486" s="12" t="s">
        <v>3203</v>
      </c>
      <c r="C486" s="12" t="s">
        <v>246</v>
      </c>
      <c r="D486" s="35"/>
      <c r="E486" s="22"/>
      <c r="F486" s="12" t="s">
        <v>3204</v>
      </c>
      <c r="G486" s="12" t="s">
        <v>3205</v>
      </c>
      <c r="H486" s="12" t="s">
        <v>1439</v>
      </c>
      <c r="I486" s="23" t="s">
        <v>3206</v>
      </c>
      <c r="J486" s="12">
        <v>2015.0</v>
      </c>
      <c r="K486" s="23">
        <v>56.0</v>
      </c>
      <c r="L486" s="24">
        <v>2.0</v>
      </c>
      <c r="M486" s="12" t="s">
        <v>340</v>
      </c>
      <c r="N486" s="26" t="str">
        <f t="shared" si="2"/>
        <v>
AND
m</v>
      </c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0">
        <v>486.0</v>
      </c>
      <c r="B487" s="12" t="s">
        <v>3207</v>
      </c>
      <c r="C487" s="12" t="s">
        <v>246</v>
      </c>
      <c r="D487" s="35"/>
      <c r="E487" s="22"/>
      <c r="F487" s="12" t="s">
        <v>3208</v>
      </c>
      <c r="G487" s="12" t="s">
        <v>3209</v>
      </c>
      <c r="H487" s="12" t="s">
        <v>3210</v>
      </c>
      <c r="I487" s="23" t="s">
        <v>3211</v>
      </c>
      <c r="J487" s="12">
        <v>2014.0</v>
      </c>
      <c r="K487" s="23">
        <v>108.0</v>
      </c>
      <c r="L487" s="24">
        <v>1.0</v>
      </c>
      <c r="M487" s="12" t="s">
        <v>340</v>
      </c>
      <c r="N487" s="26" t="str">
        <f t="shared" si="2"/>
        <v>
DAN
m</v>
      </c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0">
        <v>487.0</v>
      </c>
      <c r="B488" s="12" t="s">
        <v>3212</v>
      </c>
      <c r="C488" s="12" t="s">
        <v>249</v>
      </c>
      <c r="D488" s="23" t="s">
        <v>3213</v>
      </c>
      <c r="E488" s="12" t="s">
        <v>3214</v>
      </c>
      <c r="F488" s="12" t="s">
        <v>3215</v>
      </c>
      <c r="G488" s="12" t="s">
        <v>3216</v>
      </c>
      <c r="H488" s="12" t="s">
        <v>3217</v>
      </c>
      <c r="I488" s="23" t="s">
        <v>3218</v>
      </c>
      <c r="J488" s="12">
        <v>2009.0</v>
      </c>
      <c r="K488" s="23">
        <v>52.0</v>
      </c>
      <c r="L488" s="24">
        <v>1.0</v>
      </c>
      <c r="M488" s="25" t="s">
        <v>3219</v>
      </c>
      <c r="N488" s="26" t="str">
        <f t="shared" si="2"/>
        <v>635.7
KAN
m</v>
      </c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0">
        <v>488.0</v>
      </c>
      <c r="B489" s="12" t="s">
        <v>3220</v>
      </c>
      <c r="C489" s="12" t="s">
        <v>246</v>
      </c>
      <c r="D489" s="35"/>
      <c r="E489" s="22"/>
      <c r="F489" s="12" t="s">
        <v>3221</v>
      </c>
      <c r="G489" s="12" t="s">
        <v>3222</v>
      </c>
      <c r="H489" s="12" t="s">
        <v>347</v>
      </c>
      <c r="I489" s="23" t="s">
        <v>3223</v>
      </c>
      <c r="J489" s="12">
        <v>2008.0</v>
      </c>
      <c r="K489" s="23">
        <v>68.0</v>
      </c>
      <c r="L489" s="24">
        <v>2.0</v>
      </c>
      <c r="M489" s="12" t="s">
        <v>340</v>
      </c>
      <c r="N489" s="26" t="str">
        <f t="shared" si="2"/>
        <v>
SIT
m</v>
      </c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0">
        <v>489.0</v>
      </c>
      <c r="B490" s="12" t="s">
        <v>3224</v>
      </c>
      <c r="C490" s="12" t="s">
        <v>246</v>
      </c>
      <c r="D490" s="23" t="s">
        <v>3225</v>
      </c>
      <c r="E490" s="12" t="s">
        <v>3226</v>
      </c>
      <c r="F490" s="12" t="s">
        <v>3227</v>
      </c>
      <c r="G490" s="12" t="s">
        <v>107</v>
      </c>
      <c r="H490" s="12" t="s">
        <v>534</v>
      </c>
      <c r="I490" s="23" t="s">
        <v>3228</v>
      </c>
      <c r="J490" s="12">
        <v>2012.0</v>
      </c>
      <c r="K490" s="23">
        <v>60.0</v>
      </c>
      <c r="L490" s="24">
        <v>4.0</v>
      </c>
      <c r="M490" s="25" t="s">
        <v>3229</v>
      </c>
      <c r="N490" s="26" t="str">
        <f t="shared" si="2"/>
        <v>502.82
ZAH
m</v>
      </c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0">
        <v>490.0</v>
      </c>
      <c r="B491" s="12" t="s">
        <v>3230</v>
      </c>
      <c r="C491" s="12" t="s">
        <v>246</v>
      </c>
      <c r="D491" s="35"/>
      <c r="E491" s="22"/>
      <c r="F491" s="12" t="s">
        <v>3231</v>
      </c>
      <c r="G491" s="12" t="s">
        <v>3232</v>
      </c>
      <c r="H491" s="12" t="s">
        <v>347</v>
      </c>
      <c r="I491" s="23" t="s">
        <v>3233</v>
      </c>
      <c r="J491" s="12">
        <v>2015.0</v>
      </c>
      <c r="K491" s="23">
        <v>76.0</v>
      </c>
      <c r="L491" s="24">
        <v>1.0</v>
      </c>
      <c r="M491" s="12" t="s">
        <v>340</v>
      </c>
      <c r="N491" s="26" t="str">
        <f t="shared" si="2"/>
        <v>
REN
p</v>
      </c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0">
        <v>491.0</v>
      </c>
      <c r="B492" s="12" t="s">
        <v>3234</v>
      </c>
      <c r="C492" s="12" t="s">
        <v>246</v>
      </c>
      <c r="D492" s="23">
        <v>510.0</v>
      </c>
      <c r="E492" s="12" t="s">
        <v>3019</v>
      </c>
      <c r="F492" s="12" t="s">
        <v>504</v>
      </c>
      <c r="G492" s="12" t="s">
        <v>3235</v>
      </c>
      <c r="H492" s="12" t="s">
        <v>554</v>
      </c>
      <c r="I492" s="23">
        <v>9.786029109122E12</v>
      </c>
      <c r="J492" s="12">
        <v>2015.0</v>
      </c>
      <c r="K492" s="23">
        <v>58.0</v>
      </c>
      <c r="L492" s="24">
        <v>3.0</v>
      </c>
      <c r="M492" s="25" t="s">
        <v>3236</v>
      </c>
      <c r="N492" s="26" t="str">
        <f t="shared" si="2"/>
        <v>510
NIA
m</v>
      </c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0">
        <v>492.0</v>
      </c>
      <c r="B493" s="12" t="s">
        <v>3237</v>
      </c>
      <c r="C493" s="12" t="s">
        <v>246</v>
      </c>
      <c r="D493" s="23">
        <v>570.0</v>
      </c>
      <c r="E493" s="12" t="s">
        <v>3238</v>
      </c>
      <c r="F493" s="12" t="s">
        <v>3239</v>
      </c>
      <c r="G493" s="12" t="s">
        <v>3240</v>
      </c>
      <c r="H493" s="12" t="s">
        <v>1817</v>
      </c>
      <c r="I493" s="23" t="s">
        <v>3241</v>
      </c>
      <c r="J493" s="12">
        <v>2011.0</v>
      </c>
      <c r="K493" s="23">
        <v>72.0</v>
      </c>
      <c r="L493" s="24">
        <v>1.0</v>
      </c>
      <c r="M493" s="25" t="s">
        <v>3242</v>
      </c>
      <c r="N493" s="26" t="str">
        <f t="shared" si="2"/>
        <v>570
ASY
k</v>
      </c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0">
        <v>493.0</v>
      </c>
      <c r="B494" s="12" t="s">
        <v>3243</v>
      </c>
      <c r="C494" s="12" t="s">
        <v>246</v>
      </c>
      <c r="D494" s="23">
        <v>582.0</v>
      </c>
      <c r="E494" s="12" t="s">
        <v>3244</v>
      </c>
      <c r="F494" s="12" t="s">
        <v>3245</v>
      </c>
      <c r="G494" s="12" t="s">
        <v>3246</v>
      </c>
      <c r="H494" s="12" t="s">
        <v>3247</v>
      </c>
      <c r="I494" s="23" t="s">
        <v>3248</v>
      </c>
      <c r="J494" s="12">
        <v>2007.0</v>
      </c>
      <c r="K494" s="23">
        <v>52.0</v>
      </c>
      <c r="L494" s="24">
        <v>1.0</v>
      </c>
      <c r="M494" s="25" t="s">
        <v>3249</v>
      </c>
      <c r="N494" s="26" t="str">
        <f t="shared" si="2"/>
        <v>582
KOR
k</v>
      </c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0">
        <v>494.0</v>
      </c>
      <c r="B495" s="12" t="s">
        <v>3250</v>
      </c>
      <c r="C495" s="12" t="s">
        <v>246</v>
      </c>
      <c r="D495" s="23" t="s">
        <v>3251</v>
      </c>
      <c r="E495" s="12" t="s">
        <v>3252</v>
      </c>
      <c r="F495" s="12" t="s">
        <v>3253</v>
      </c>
      <c r="G495" s="12" t="s">
        <v>3240</v>
      </c>
      <c r="H495" s="12" t="s">
        <v>2141</v>
      </c>
      <c r="I495" s="23" t="s">
        <v>3254</v>
      </c>
      <c r="J495" s="12">
        <v>2015.0</v>
      </c>
      <c r="K495" s="23">
        <v>104.0</v>
      </c>
      <c r="L495" s="24">
        <v>1.0</v>
      </c>
      <c r="M495" s="25" t="s">
        <v>3255</v>
      </c>
      <c r="N495" s="26" t="str">
        <f t="shared" si="2"/>
        <v>577.6
KOE
e</v>
      </c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0">
        <v>495.0</v>
      </c>
      <c r="B496" s="12" t="s">
        <v>3256</v>
      </c>
      <c r="C496" s="12" t="s">
        <v>246</v>
      </c>
      <c r="D496" s="35"/>
      <c r="E496" s="22"/>
      <c r="F496" s="12" t="s">
        <v>3257</v>
      </c>
      <c r="G496" s="12" t="s">
        <v>3258</v>
      </c>
      <c r="H496" s="12" t="s">
        <v>3259</v>
      </c>
      <c r="I496" s="23" t="s">
        <v>3260</v>
      </c>
      <c r="J496" s="12">
        <v>2015.0</v>
      </c>
      <c r="K496" s="23">
        <v>64.0</v>
      </c>
      <c r="L496" s="24">
        <v>2.0</v>
      </c>
      <c r="M496" s="12" t="s">
        <v>340</v>
      </c>
      <c r="N496" s="26" t="str">
        <f t="shared" si="2"/>
        <v>
M. 
b</v>
      </c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0">
        <v>496.0</v>
      </c>
      <c r="B497" s="12" t="s">
        <v>3261</v>
      </c>
      <c r="C497" s="12" t="s">
        <v>246</v>
      </c>
      <c r="D497" s="23" t="s">
        <v>3262</v>
      </c>
      <c r="E497" s="12" t="s">
        <v>3019</v>
      </c>
      <c r="F497" s="77" t="s">
        <v>3263</v>
      </c>
      <c r="G497" s="12" t="s">
        <v>3258</v>
      </c>
      <c r="H497" s="12" t="s">
        <v>3264</v>
      </c>
      <c r="I497" s="23" t="s">
        <v>3265</v>
      </c>
      <c r="J497" s="12">
        <v>2015.0</v>
      </c>
      <c r="K497" s="23">
        <v>64.0</v>
      </c>
      <c r="L497" s="24">
        <v>2.0</v>
      </c>
      <c r="M497" s="25" t="s">
        <v>3266</v>
      </c>
      <c r="N497" s="26" t="str">
        <f t="shared" si="2"/>
        <v>510
PER
m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0">
        <v>497.0</v>
      </c>
      <c r="B498" s="12" t="s">
        <v>3267</v>
      </c>
      <c r="C498" s="12" t="s">
        <v>246</v>
      </c>
      <c r="D498" s="23" t="s">
        <v>3262</v>
      </c>
      <c r="E498" s="12" t="s">
        <v>3019</v>
      </c>
      <c r="F498" s="12" t="s">
        <v>504</v>
      </c>
      <c r="G498" s="12" t="s">
        <v>3235</v>
      </c>
      <c r="H498" s="12" t="s">
        <v>578</v>
      </c>
      <c r="I498" s="23" t="s">
        <v>3268</v>
      </c>
      <c r="J498" s="12">
        <v>2015.0</v>
      </c>
      <c r="K498" s="23">
        <v>66.0</v>
      </c>
      <c r="L498" s="24">
        <v>4.0</v>
      </c>
      <c r="M498" s="25" t="s">
        <v>3269</v>
      </c>
      <c r="N498" s="26" t="str">
        <f t="shared" si="2"/>
        <v>510
NIA
m</v>
      </c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0">
        <v>498.0</v>
      </c>
      <c r="B499" s="12" t="s">
        <v>3270</v>
      </c>
      <c r="C499" s="12" t="s">
        <v>246</v>
      </c>
      <c r="D499" s="23" t="s">
        <v>3271</v>
      </c>
      <c r="E499" s="12" t="s">
        <v>3272</v>
      </c>
      <c r="F499" s="12" t="s">
        <v>3273</v>
      </c>
      <c r="G499" s="12" t="s">
        <v>3274</v>
      </c>
      <c r="H499" s="12" t="s">
        <v>3264</v>
      </c>
      <c r="I499" s="23" t="s">
        <v>3275</v>
      </c>
      <c r="J499" s="12">
        <v>2015.0</v>
      </c>
      <c r="K499" s="23">
        <v>104.0</v>
      </c>
      <c r="L499" s="24">
        <v>2.0</v>
      </c>
      <c r="M499" s="25" t="s">
        <v>3276</v>
      </c>
      <c r="N499" s="26" t="str">
        <f t="shared" si="2"/>
        <v>590
MUT
d</v>
      </c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0">
        <v>499.0</v>
      </c>
      <c r="B500" s="12" t="s">
        <v>3277</v>
      </c>
      <c r="C500" s="12" t="s">
        <v>246</v>
      </c>
      <c r="D500" s="23" t="s">
        <v>1155</v>
      </c>
      <c r="E500" s="22"/>
      <c r="F500" s="12" t="s">
        <v>3278</v>
      </c>
      <c r="G500" s="12" t="s">
        <v>1954</v>
      </c>
      <c r="H500" s="12" t="s">
        <v>3279</v>
      </c>
      <c r="I500" s="23" t="s">
        <v>3280</v>
      </c>
      <c r="J500" s="12">
        <v>2015.0</v>
      </c>
      <c r="K500" s="23">
        <v>64.0</v>
      </c>
      <c r="L500" s="24">
        <v>2.0</v>
      </c>
      <c r="M500" s="12" t="s">
        <v>340</v>
      </c>
      <c r="N500" s="26" t="str">
        <f t="shared" si="2"/>
        <v>
SRI
a</v>
      </c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0">
        <v>500.0</v>
      </c>
      <c r="B501" s="12" t="s">
        <v>3281</v>
      </c>
      <c r="C501" s="12" t="s">
        <v>229</v>
      </c>
      <c r="D501" s="23">
        <v>330.0</v>
      </c>
      <c r="E501" s="12" t="s">
        <v>2238</v>
      </c>
      <c r="F501" s="12" t="s">
        <v>3282</v>
      </c>
      <c r="G501" s="12" t="s">
        <v>3283</v>
      </c>
      <c r="H501" s="12" t="s">
        <v>3284</v>
      </c>
      <c r="I501" s="35"/>
      <c r="J501" s="12">
        <v>2015.0</v>
      </c>
      <c r="K501" s="23">
        <v>64.0</v>
      </c>
      <c r="L501" s="24">
        <v>1.0</v>
      </c>
      <c r="M501" s="25" t="s">
        <v>3285</v>
      </c>
      <c r="N501" s="26" t="str">
        <f t="shared" si="2"/>
        <v>330
DIN
k</v>
      </c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0">
        <v>501.0</v>
      </c>
      <c r="B502" s="12" t="s">
        <v>3286</v>
      </c>
      <c r="C502" s="12" t="s">
        <v>246</v>
      </c>
      <c r="D502" s="23" t="s">
        <v>3287</v>
      </c>
      <c r="E502" s="12" t="s">
        <v>3288</v>
      </c>
      <c r="F502" s="12" t="s">
        <v>3253</v>
      </c>
      <c r="G502" s="12" t="s">
        <v>3240</v>
      </c>
      <c r="H502" s="12" t="s">
        <v>2141</v>
      </c>
      <c r="I502" s="23" t="s">
        <v>3289</v>
      </c>
      <c r="J502" s="12">
        <v>2015.0</v>
      </c>
      <c r="K502" s="23">
        <v>96.0</v>
      </c>
      <c r="L502" s="24">
        <v>3.0</v>
      </c>
      <c r="M502" s="25" t="s">
        <v>3290</v>
      </c>
      <c r="N502" s="26" t="str">
        <f t="shared" si="2"/>
        <v>595.7
KOE
m</v>
      </c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0">
        <v>502.0</v>
      </c>
      <c r="B503" s="12" t="s">
        <v>3291</v>
      </c>
      <c r="C503" s="12" t="s">
        <v>246</v>
      </c>
      <c r="D503" s="23">
        <v>571.0</v>
      </c>
      <c r="E503" s="12" t="s">
        <v>3292</v>
      </c>
      <c r="F503" s="12" t="s">
        <v>3293</v>
      </c>
      <c r="G503" s="12" t="s">
        <v>107</v>
      </c>
      <c r="H503" s="12" t="s">
        <v>253</v>
      </c>
      <c r="I503" s="23" t="s">
        <v>3294</v>
      </c>
      <c r="J503" s="12">
        <v>2015.0</v>
      </c>
      <c r="K503" s="23">
        <v>72.0</v>
      </c>
      <c r="L503" s="24">
        <v>2.0</v>
      </c>
      <c r="M503" s="25" t="s">
        <v>3295</v>
      </c>
      <c r="N503" s="26" t="str">
        <f t="shared" si="2"/>
        <v>571
WAH
a</v>
      </c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0">
        <v>503.0</v>
      </c>
      <c r="B504" s="12" t="s">
        <v>3296</v>
      </c>
      <c r="C504" s="12" t="s">
        <v>246</v>
      </c>
      <c r="D504" s="23" t="s">
        <v>1155</v>
      </c>
      <c r="E504" s="22"/>
      <c r="F504" s="12" t="s">
        <v>3297</v>
      </c>
      <c r="G504" s="22"/>
      <c r="H504" s="12" t="s">
        <v>2902</v>
      </c>
      <c r="I504" s="35"/>
      <c r="J504" s="12">
        <v>2015.0</v>
      </c>
      <c r="K504" s="23">
        <v>64.0</v>
      </c>
      <c r="L504" s="24">
        <v>1.0</v>
      </c>
      <c r="M504" s="12" t="s">
        <v>340</v>
      </c>
      <c r="N504" s="26" t="str">
        <f t="shared" si="2"/>
        <v>
NGA
a</v>
      </c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0">
        <v>504.0</v>
      </c>
      <c r="B505" s="12" t="s">
        <v>3298</v>
      </c>
      <c r="C505" s="12" t="s">
        <v>246</v>
      </c>
      <c r="D505" s="23" t="s">
        <v>3262</v>
      </c>
      <c r="E505" s="12" t="s">
        <v>3019</v>
      </c>
      <c r="F505" s="12" t="s">
        <v>3299</v>
      </c>
      <c r="G505" s="12" t="s">
        <v>3300</v>
      </c>
      <c r="H505" s="12" t="s">
        <v>3299</v>
      </c>
      <c r="I505" s="23" t="s">
        <v>3301</v>
      </c>
      <c r="J505" s="12">
        <v>2011.0</v>
      </c>
      <c r="K505" s="23">
        <v>158.0</v>
      </c>
      <c r="L505" s="24">
        <v>1.0</v>
      </c>
      <c r="M505" s="25" t="s">
        <v>3302</v>
      </c>
      <c r="N505" s="26" t="str">
        <f t="shared" si="2"/>
        <v>510
OPT
s</v>
      </c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0">
        <v>505.0</v>
      </c>
      <c r="B506" s="12" t="s">
        <v>3303</v>
      </c>
      <c r="C506" s="12" t="s">
        <v>246</v>
      </c>
      <c r="D506" s="23" t="s">
        <v>3271</v>
      </c>
      <c r="E506" s="12" t="s">
        <v>3272</v>
      </c>
      <c r="F506" s="12" t="s">
        <v>2308</v>
      </c>
      <c r="G506" s="12" t="s">
        <v>107</v>
      </c>
      <c r="H506" s="12" t="s">
        <v>253</v>
      </c>
      <c r="I506" s="23" t="s">
        <v>3304</v>
      </c>
      <c r="J506" s="12">
        <v>2015.0</v>
      </c>
      <c r="K506" s="23">
        <v>72.0</v>
      </c>
      <c r="L506" s="24">
        <v>3.0</v>
      </c>
      <c r="M506" s="25" t="s">
        <v>3305</v>
      </c>
      <c r="N506" s="26" t="str">
        <f t="shared" si="2"/>
        <v>590
HET
k</v>
      </c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0">
        <v>506.0</v>
      </c>
      <c r="B507" s="12" t="s">
        <v>3306</v>
      </c>
      <c r="C507" s="12" t="s">
        <v>246</v>
      </c>
      <c r="D507" s="23" t="s">
        <v>3307</v>
      </c>
      <c r="E507" s="12" t="s">
        <v>3308</v>
      </c>
      <c r="F507" s="12" t="s">
        <v>3145</v>
      </c>
      <c r="G507" s="12" t="s">
        <v>107</v>
      </c>
      <c r="H507" s="12" t="s">
        <v>253</v>
      </c>
      <c r="I507" s="23" t="s">
        <v>3309</v>
      </c>
      <c r="J507" s="12">
        <v>2005.0</v>
      </c>
      <c r="K507" s="23">
        <v>78.0</v>
      </c>
      <c r="L507" s="24">
        <v>4.0</v>
      </c>
      <c r="M507" s="25" t="s">
        <v>3310</v>
      </c>
      <c r="N507" s="26" t="str">
        <f t="shared" si="2"/>
        <v>570
WAH
m</v>
      </c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0">
        <v>507.0</v>
      </c>
      <c r="B508" s="12" t="s">
        <v>3311</v>
      </c>
      <c r="C508" s="12" t="s">
        <v>246</v>
      </c>
      <c r="D508" s="23">
        <v>590.0</v>
      </c>
      <c r="E508" s="12" t="s">
        <v>3272</v>
      </c>
      <c r="F508" s="12" t="s">
        <v>3312</v>
      </c>
      <c r="G508" s="12" t="s">
        <v>107</v>
      </c>
      <c r="H508" s="12" t="s">
        <v>2914</v>
      </c>
      <c r="I508" s="23" t="s">
        <v>3313</v>
      </c>
      <c r="J508" s="12">
        <v>2015.0</v>
      </c>
      <c r="K508" s="23">
        <v>90.0</v>
      </c>
      <c r="L508" s="24">
        <v>5.0</v>
      </c>
      <c r="M508" s="25" t="s">
        <v>3314</v>
      </c>
      <c r="N508" s="26" t="str">
        <f t="shared" si="2"/>
        <v>590
YEN
m</v>
      </c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0">
        <v>508.0</v>
      </c>
      <c r="B509" s="12" t="s">
        <v>3315</v>
      </c>
      <c r="C509" s="12" t="s">
        <v>246</v>
      </c>
      <c r="D509" s="23">
        <v>512.0</v>
      </c>
      <c r="E509" s="12" t="s">
        <v>3051</v>
      </c>
      <c r="F509" s="12" t="s">
        <v>504</v>
      </c>
      <c r="G509" s="12" t="s">
        <v>3052</v>
      </c>
      <c r="H509" s="12" t="s">
        <v>554</v>
      </c>
      <c r="I509" s="23" t="s">
        <v>3316</v>
      </c>
      <c r="J509" s="12">
        <v>2015.0</v>
      </c>
      <c r="K509" s="23">
        <v>66.0</v>
      </c>
      <c r="L509" s="24">
        <v>4.0</v>
      </c>
      <c r="M509" s="25" t="s">
        <v>3317</v>
      </c>
      <c r="N509" s="26" t="str">
        <f t="shared" si="2"/>
        <v>512
NIA
a</v>
      </c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0">
        <v>509.0</v>
      </c>
      <c r="B510" s="12" t="s">
        <v>3318</v>
      </c>
      <c r="C510" s="12" t="s">
        <v>246</v>
      </c>
      <c r="D510" s="23" t="s">
        <v>3262</v>
      </c>
      <c r="E510" s="12" t="s">
        <v>3019</v>
      </c>
      <c r="F510" s="12" t="s">
        <v>3319</v>
      </c>
      <c r="G510" s="12" t="s">
        <v>3320</v>
      </c>
      <c r="H510" s="12" t="s">
        <v>554</v>
      </c>
      <c r="I510" s="23" t="s">
        <v>3321</v>
      </c>
      <c r="J510" s="12">
        <v>2015.0</v>
      </c>
      <c r="K510" s="23">
        <v>66.0</v>
      </c>
      <c r="L510" s="24">
        <v>4.0</v>
      </c>
      <c r="M510" s="25" t="s">
        <v>3322</v>
      </c>
      <c r="N510" s="26" t="str">
        <f t="shared" si="2"/>
        <v>510
ANI
f</v>
      </c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0">
        <v>510.0</v>
      </c>
      <c r="B511" s="12" t="s">
        <v>3323</v>
      </c>
      <c r="C511" s="12" t="s">
        <v>246</v>
      </c>
      <c r="D511" s="23" t="s">
        <v>3324</v>
      </c>
      <c r="E511" s="12" t="s">
        <v>3195</v>
      </c>
      <c r="F511" s="12" t="s">
        <v>3325</v>
      </c>
      <c r="G511" s="12" t="s">
        <v>2165</v>
      </c>
      <c r="H511" s="12" t="s">
        <v>2097</v>
      </c>
      <c r="I511" s="23" t="s">
        <v>3326</v>
      </c>
      <c r="J511" s="12">
        <v>2009.0</v>
      </c>
      <c r="K511" s="23">
        <v>232.0</v>
      </c>
      <c r="L511" s="24">
        <v>1.0</v>
      </c>
      <c r="M511" s="25" t="s">
        <v>3327</v>
      </c>
      <c r="N511" s="26" t="str">
        <f t="shared" si="2"/>
        <v>520
BAY
i</v>
      </c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0">
        <v>511.0</v>
      </c>
      <c r="B512" s="12" t="s">
        <v>3328</v>
      </c>
      <c r="C512" s="12" t="s">
        <v>246</v>
      </c>
      <c r="D512" s="23" t="s">
        <v>3329</v>
      </c>
      <c r="E512" s="12" t="s">
        <v>3330</v>
      </c>
      <c r="F512" s="12" t="s">
        <v>3331</v>
      </c>
      <c r="G512" s="12" t="s">
        <v>3332</v>
      </c>
      <c r="H512" s="12" t="s">
        <v>206</v>
      </c>
      <c r="I512" s="23" t="s">
        <v>3333</v>
      </c>
      <c r="J512" s="12">
        <v>2008.0</v>
      </c>
      <c r="K512" s="23" t="s">
        <v>3334</v>
      </c>
      <c r="L512" s="24">
        <v>1.0</v>
      </c>
      <c r="M512" s="12" t="s">
        <v>340</v>
      </c>
      <c r="N512" s="26" t="str">
        <f t="shared" si="2"/>
        <v>576.6
SUS
m</v>
      </c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0">
        <v>512.0</v>
      </c>
      <c r="B513" s="12" t="s">
        <v>3335</v>
      </c>
      <c r="C513" s="12" t="s">
        <v>246</v>
      </c>
      <c r="D513" s="23">
        <v>520.0</v>
      </c>
      <c r="E513" s="12" t="s">
        <v>3195</v>
      </c>
      <c r="F513" s="12" t="s">
        <v>504</v>
      </c>
      <c r="G513" s="12" t="s">
        <v>715</v>
      </c>
      <c r="H513" s="12" t="s">
        <v>496</v>
      </c>
      <c r="I513" s="23" t="s">
        <v>3336</v>
      </c>
      <c r="J513" s="12">
        <v>2012.0</v>
      </c>
      <c r="K513" s="23">
        <v>26.0</v>
      </c>
      <c r="L513" s="24">
        <v>3.0</v>
      </c>
      <c r="M513" s="25" t="s">
        <v>3337</v>
      </c>
      <c r="N513" s="26" t="str">
        <f t="shared" si="2"/>
        <v>520
NIA
b</v>
      </c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0">
        <v>513.0</v>
      </c>
      <c r="B514" s="12" t="s">
        <v>917</v>
      </c>
      <c r="C514" s="12" t="s">
        <v>246</v>
      </c>
      <c r="D514" s="23" t="s">
        <v>918</v>
      </c>
      <c r="E514" s="12" t="s">
        <v>917</v>
      </c>
      <c r="F514" s="12" t="s">
        <v>3338</v>
      </c>
      <c r="G514" s="12" t="s">
        <v>361</v>
      </c>
      <c r="H514" s="12" t="s">
        <v>3339</v>
      </c>
      <c r="I514" s="23" t="s">
        <v>3340</v>
      </c>
      <c r="J514" s="12">
        <v>2014.0</v>
      </c>
      <c r="K514" s="23">
        <v>128.0</v>
      </c>
      <c r="L514" s="24">
        <v>2.0</v>
      </c>
      <c r="M514" s="25" t="s">
        <v>923</v>
      </c>
      <c r="N514" s="26" t="str">
        <f t="shared" si="2"/>
        <v>540.3
MUG
k</v>
      </c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0">
        <v>514.0</v>
      </c>
      <c r="B515" s="12" t="s">
        <v>3341</v>
      </c>
      <c r="C515" s="12" t="s">
        <v>246</v>
      </c>
      <c r="D515" s="23" t="s">
        <v>3342</v>
      </c>
      <c r="E515" s="12" t="s">
        <v>3343</v>
      </c>
      <c r="F515" s="12" t="s">
        <v>3344</v>
      </c>
      <c r="G515" s="12" t="s">
        <v>3345</v>
      </c>
      <c r="H515" s="12" t="s">
        <v>3346</v>
      </c>
      <c r="I515" s="23" t="s">
        <v>3347</v>
      </c>
      <c r="J515" s="12">
        <v>2011.0</v>
      </c>
      <c r="K515" s="23">
        <v>64.0</v>
      </c>
      <c r="L515" s="24">
        <v>1.0</v>
      </c>
      <c r="M515" s="12" t="s">
        <v>340</v>
      </c>
      <c r="N515" s="26" t="str">
        <f t="shared" si="2"/>
        <v>530.41
TRI
z</v>
      </c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0">
        <v>515.0</v>
      </c>
      <c r="B516" s="12" t="s">
        <v>3348</v>
      </c>
      <c r="C516" s="12" t="s">
        <v>246</v>
      </c>
      <c r="D516" s="23" t="s">
        <v>3262</v>
      </c>
      <c r="E516" s="12" t="s">
        <v>3019</v>
      </c>
      <c r="F516" s="12" t="s">
        <v>3349</v>
      </c>
      <c r="G516" s="12" t="s">
        <v>3350</v>
      </c>
      <c r="H516" s="12" t="s">
        <v>3351</v>
      </c>
      <c r="I516" s="23">
        <v>9.786021962534E12</v>
      </c>
      <c r="J516" s="12">
        <v>2015.0</v>
      </c>
      <c r="K516" s="23">
        <v>58.0</v>
      </c>
      <c r="L516" s="24">
        <v>1.0</v>
      </c>
      <c r="M516" s="25" t="s">
        <v>3352</v>
      </c>
      <c r="N516" s="26" t="str">
        <f t="shared" si="2"/>
        <v>510
ALF
p</v>
      </c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0">
        <v>516.0</v>
      </c>
      <c r="B517" s="12" t="s">
        <v>3353</v>
      </c>
      <c r="C517" s="12" t="s">
        <v>246</v>
      </c>
      <c r="D517" s="23" t="s">
        <v>1155</v>
      </c>
      <c r="E517" s="22"/>
      <c r="F517" s="12" t="s">
        <v>3354</v>
      </c>
      <c r="G517" s="12" t="s">
        <v>3355</v>
      </c>
      <c r="H517" s="12" t="s">
        <v>3356</v>
      </c>
      <c r="I517" s="23" t="s">
        <v>3357</v>
      </c>
      <c r="J517" s="12">
        <v>2014.0</v>
      </c>
      <c r="K517" s="23">
        <v>92.0</v>
      </c>
      <c r="L517" s="24">
        <v>2.0</v>
      </c>
      <c r="M517" s="12" t="s">
        <v>340</v>
      </c>
      <c r="N517" s="26" t="str">
        <f t="shared" si="2"/>
        <v>
DAR
s</v>
      </c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0">
        <v>517.0</v>
      </c>
      <c r="B518" s="12" t="s">
        <v>3358</v>
      </c>
      <c r="C518" s="12" t="s">
        <v>246</v>
      </c>
      <c r="D518" s="23">
        <v>510.0</v>
      </c>
      <c r="E518" s="12" t="s">
        <v>3019</v>
      </c>
      <c r="F518" s="12" t="s">
        <v>3359</v>
      </c>
      <c r="G518" s="12" t="s">
        <v>3360</v>
      </c>
      <c r="H518" s="12" t="s">
        <v>126</v>
      </c>
      <c r="I518" s="23">
        <v>9.789790403185E12</v>
      </c>
      <c r="J518" s="12">
        <v>2015.0</v>
      </c>
      <c r="K518" s="23">
        <v>76.0</v>
      </c>
      <c r="L518" s="24">
        <v>2.0</v>
      </c>
      <c r="M518" s="25" t="s">
        <v>3361</v>
      </c>
      <c r="N518" s="26" t="str">
        <f t="shared" si="2"/>
        <v>510
SUW
b</v>
      </c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0">
        <v>518.0</v>
      </c>
      <c r="B519" s="12" t="s">
        <v>3362</v>
      </c>
      <c r="C519" s="12" t="s">
        <v>246</v>
      </c>
      <c r="D519" s="23" t="s">
        <v>1155</v>
      </c>
      <c r="E519" s="22"/>
      <c r="F519" s="12" t="s">
        <v>2973</v>
      </c>
      <c r="G519" s="12" t="s">
        <v>3363</v>
      </c>
      <c r="H519" s="12" t="s">
        <v>1636</v>
      </c>
      <c r="I519" s="23" t="s">
        <v>3364</v>
      </c>
      <c r="J519" s="22"/>
      <c r="K519" s="23">
        <v>59.0</v>
      </c>
      <c r="L519" s="24">
        <v>1.0</v>
      </c>
      <c r="M519" s="12" t="s">
        <v>340</v>
      </c>
      <c r="N519" s="26" t="str">
        <f t="shared" si="2"/>
        <v>
DID
m</v>
      </c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0">
        <v>519.0</v>
      </c>
      <c r="B520" s="12" t="s">
        <v>3365</v>
      </c>
      <c r="C520" s="12" t="s">
        <v>229</v>
      </c>
      <c r="D520" s="23" t="s">
        <v>2320</v>
      </c>
      <c r="E520" s="12" t="s">
        <v>3366</v>
      </c>
      <c r="F520" s="12" t="s">
        <v>3367</v>
      </c>
      <c r="G520" s="12" t="s">
        <v>3368</v>
      </c>
      <c r="H520" s="12" t="s">
        <v>3369</v>
      </c>
      <c r="I520" s="23" t="s">
        <v>3370</v>
      </c>
      <c r="J520" s="12">
        <v>2014.0</v>
      </c>
      <c r="K520" s="23">
        <v>52.0</v>
      </c>
      <c r="L520" s="24">
        <v>2.0</v>
      </c>
      <c r="M520" s="12" t="s">
        <v>340</v>
      </c>
      <c r="N520" s="26" t="str">
        <f t="shared" si="2"/>
        <v>363.7
DEL
m</v>
      </c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0">
        <v>520.0</v>
      </c>
      <c r="B521" s="12" t="s">
        <v>3371</v>
      </c>
      <c r="C521" s="12" t="s">
        <v>246</v>
      </c>
      <c r="D521" s="23" t="s">
        <v>3372</v>
      </c>
      <c r="E521" s="22" t="s">
        <v>3373</v>
      </c>
      <c r="F521" s="12" t="s">
        <v>3349</v>
      </c>
      <c r="G521" s="12" t="s">
        <v>3350</v>
      </c>
      <c r="H521" s="12" t="s">
        <v>3374</v>
      </c>
      <c r="I521" s="23">
        <v>9.786021962558E12</v>
      </c>
      <c r="J521" s="12">
        <v>2015.0</v>
      </c>
      <c r="K521" s="23">
        <v>66.0</v>
      </c>
      <c r="L521" s="24">
        <v>3.0</v>
      </c>
      <c r="M521" s="25" t="s">
        <v>3375</v>
      </c>
      <c r="N521" s="26" t="str">
        <f t="shared" si="2"/>
        <v>516.16
ALF
m</v>
      </c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0">
        <v>521.0</v>
      </c>
      <c r="B522" s="12" t="s">
        <v>3376</v>
      </c>
      <c r="C522" s="12" t="s">
        <v>246</v>
      </c>
      <c r="D522" s="23" t="s">
        <v>3377</v>
      </c>
      <c r="E522" s="12" t="s">
        <v>3378</v>
      </c>
      <c r="F522" s="12" t="s">
        <v>2866</v>
      </c>
      <c r="G522" s="12" t="s">
        <v>3379</v>
      </c>
      <c r="H522" s="12" t="s">
        <v>1439</v>
      </c>
      <c r="I522" s="23" t="s">
        <v>3380</v>
      </c>
      <c r="J522" s="12">
        <v>2014.0</v>
      </c>
      <c r="K522" s="23" t="s">
        <v>3381</v>
      </c>
      <c r="L522" s="24">
        <v>1.0</v>
      </c>
      <c r="M522" s="25" t="s">
        <v>3382</v>
      </c>
      <c r="N522" s="26" t="str">
        <f t="shared" si="2"/>
        <v>551.22
MEI
b</v>
      </c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0">
        <v>522.0</v>
      </c>
      <c r="B523" s="12" t="s">
        <v>3383</v>
      </c>
      <c r="C523" s="12" t="s">
        <v>246</v>
      </c>
      <c r="D523" s="23">
        <v>520.0</v>
      </c>
      <c r="E523" s="12" t="s">
        <v>3195</v>
      </c>
      <c r="F523" s="12" t="s">
        <v>3384</v>
      </c>
      <c r="G523" s="12" t="s">
        <v>2325</v>
      </c>
      <c r="H523" s="12" t="s">
        <v>362</v>
      </c>
      <c r="I523" s="23" t="s">
        <v>3385</v>
      </c>
      <c r="J523" s="12">
        <v>2014.0</v>
      </c>
      <c r="K523" s="23">
        <v>73.0</v>
      </c>
      <c r="L523" s="24">
        <v>3.0</v>
      </c>
      <c r="M523" s="25" t="s">
        <v>3386</v>
      </c>
      <c r="N523" s="26" t="str">
        <f t="shared" si="2"/>
        <v>520
YEN
p</v>
      </c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0">
        <v>523.0</v>
      </c>
      <c r="B524" s="12" t="s">
        <v>3387</v>
      </c>
      <c r="C524" s="12" t="s">
        <v>246</v>
      </c>
      <c r="D524" s="23">
        <v>550.0</v>
      </c>
      <c r="E524" s="12" t="s">
        <v>2359</v>
      </c>
      <c r="F524" s="12" t="s">
        <v>3388</v>
      </c>
      <c r="G524" s="12" t="s">
        <v>2414</v>
      </c>
      <c r="H524" s="12" t="s">
        <v>3369</v>
      </c>
      <c r="I524" s="23" t="s">
        <v>3389</v>
      </c>
      <c r="J524" s="12">
        <v>2014.0</v>
      </c>
      <c r="K524" s="23">
        <v>60.0</v>
      </c>
      <c r="L524" s="24">
        <v>2.0</v>
      </c>
      <c r="M524" s="12" t="s">
        <v>340</v>
      </c>
      <c r="N524" s="26" t="str">
        <f t="shared" si="2"/>
        <v>550
CIC
m</v>
      </c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0">
        <v>524.0</v>
      </c>
      <c r="B525" s="12" t="s">
        <v>3390</v>
      </c>
      <c r="C525" s="12" t="s">
        <v>246</v>
      </c>
      <c r="D525" s="23" t="s">
        <v>3391</v>
      </c>
      <c r="E525" s="12" t="s">
        <v>3392</v>
      </c>
      <c r="F525" s="12" t="s">
        <v>3393</v>
      </c>
      <c r="G525" s="12" t="s">
        <v>3394</v>
      </c>
      <c r="H525" s="12" t="s">
        <v>3395</v>
      </c>
      <c r="I525" s="23" t="s">
        <v>3396</v>
      </c>
      <c r="J525" s="12">
        <v>2014.0</v>
      </c>
      <c r="K525" s="23">
        <v>91.0</v>
      </c>
      <c r="L525" s="24">
        <v>1.0</v>
      </c>
      <c r="M525" s="25" t="s">
        <v>3397</v>
      </c>
      <c r="N525" s="26" t="str">
        <f t="shared" si="2"/>
        <v>523.7
HS.
m</v>
      </c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0">
        <v>525.0</v>
      </c>
      <c r="B526" s="12" t="s">
        <v>3398</v>
      </c>
      <c r="C526" s="12" t="s">
        <v>246</v>
      </c>
      <c r="D526" s="35"/>
      <c r="E526" s="22"/>
      <c r="F526" s="12" t="s">
        <v>3399</v>
      </c>
      <c r="G526" s="12" t="s">
        <v>205</v>
      </c>
      <c r="H526" s="12" t="s">
        <v>3400</v>
      </c>
      <c r="I526" s="23" t="s">
        <v>3401</v>
      </c>
      <c r="J526" s="12">
        <v>2008.0</v>
      </c>
      <c r="K526" s="23">
        <v>112.0</v>
      </c>
      <c r="L526" s="24">
        <v>1.0</v>
      </c>
      <c r="M526" s="12" t="s">
        <v>340</v>
      </c>
      <c r="N526" s="26" t="str">
        <f t="shared" si="2"/>
        <v>
HER
b</v>
      </c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0">
        <v>526.0</v>
      </c>
      <c r="B527" s="12" t="s">
        <v>3402</v>
      </c>
      <c r="C527" s="12" t="s">
        <v>246</v>
      </c>
      <c r="D527" s="23">
        <v>590.0</v>
      </c>
      <c r="E527" s="12" t="s">
        <v>3403</v>
      </c>
      <c r="F527" s="12" t="s">
        <v>3404</v>
      </c>
      <c r="G527" s="12" t="s">
        <v>3048</v>
      </c>
      <c r="H527" s="12" t="s">
        <v>2141</v>
      </c>
      <c r="I527" s="23" t="s">
        <v>3405</v>
      </c>
      <c r="J527" s="12">
        <v>2015.0</v>
      </c>
      <c r="K527" s="23">
        <v>92.0</v>
      </c>
      <c r="L527" s="24">
        <v>2.0</v>
      </c>
      <c r="M527" s="25" t="s">
        <v>3406</v>
      </c>
      <c r="N527" s="26" t="str">
        <f t="shared" si="2"/>
        <v>590
KUS
m</v>
      </c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0">
        <v>527.0</v>
      </c>
      <c r="B528" s="12" t="s">
        <v>3407</v>
      </c>
      <c r="C528" s="12" t="s">
        <v>246</v>
      </c>
      <c r="D528" s="23">
        <v>530.0</v>
      </c>
      <c r="E528" s="12" t="s">
        <v>3408</v>
      </c>
      <c r="F528" s="12" t="s">
        <v>3409</v>
      </c>
      <c r="G528" s="12" t="s">
        <v>3048</v>
      </c>
      <c r="H528" s="12" t="s">
        <v>2141</v>
      </c>
      <c r="I528" s="23">
        <v>9.786028714662E12</v>
      </c>
      <c r="J528" s="12">
        <v>2015.0</v>
      </c>
      <c r="K528" s="23">
        <v>100.0</v>
      </c>
      <c r="L528" s="24">
        <v>2.0</v>
      </c>
      <c r="M528" s="25" t="s">
        <v>3410</v>
      </c>
      <c r="N528" s="26" t="str">
        <f t="shared" si="2"/>
        <v>530
KUS
m</v>
      </c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0">
        <v>528.0</v>
      </c>
      <c r="B529" s="12" t="s">
        <v>3411</v>
      </c>
      <c r="C529" s="12" t="s">
        <v>246</v>
      </c>
      <c r="D529" s="35"/>
      <c r="E529" s="22"/>
      <c r="F529" s="12" t="s">
        <v>2193</v>
      </c>
      <c r="G529" s="12" t="s">
        <v>3412</v>
      </c>
      <c r="H529" s="12" t="s">
        <v>2202</v>
      </c>
      <c r="I529" s="23" t="s">
        <v>3413</v>
      </c>
      <c r="J529" s="12">
        <v>2015.0</v>
      </c>
      <c r="K529" s="23">
        <v>56.0</v>
      </c>
      <c r="L529" s="24">
        <v>1.0</v>
      </c>
      <c r="M529" s="12" t="s">
        <v>340</v>
      </c>
      <c r="N529" s="26" t="str">
        <f t="shared" si="2"/>
        <v>
ADH
s</v>
      </c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0">
        <v>529.0</v>
      </c>
      <c r="B530" s="12" t="s">
        <v>3414</v>
      </c>
      <c r="C530" s="12" t="s">
        <v>246</v>
      </c>
      <c r="D530" s="35"/>
      <c r="E530" s="22"/>
      <c r="F530" s="12" t="s">
        <v>3415</v>
      </c>
      <c r="G530" s="12" t="s">
        <v>3416</v>
      </c>
      <c r="H530" s="12" t="s">
        <v>3417</v>
      </c>
      <c r="I530" s="23" t="s">
        <v>3418</v>
      </c>
      <c r="J530" s="12">
        <v>2009.0</v>
      </c>
      <c r="K530" s="23">
        <v>155.0</v>
      </c>
      <c r="L530" s="24">
        <v>1.0</v>
      </c>
      <c r="M530" s="12" t="s">
        <v>340</v>
      </c>
      <c r="N530" s="26" t="str">
        <f t="shared" si="2"/>
        <v>
Dr.
e</v>
      </c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0">
        <v>530.0</v>
      </c>
      <c r="B531" s="12" t="s">
        <v>3419</v>
      </c>
      <c r="C531" s="12" t="s">
        <v>246</v>
      </c>
      <c r="D531" s="23">
        <v>570.0</v>
      </c>
      <c r="E531" s="12" t="s">
        <v>3140</v>
      </c>
      <c r="F531" s="12" t="s">
        <v>733</v>
      </c>
      <c r="G531" s="12" t="s">
        <v>2325</v>
      </c>
      <c r="H531" s="12" t="s">
        <v>1415</v>
      </c>
      <c r="I531" s="23" t="s">
        <v>3420</v>
      </c>
      <c r="J531" s="12">
        <v>2014.0</v>
      </c>
      <c r="K531" s="23" t="s">
        <v>2393</v>
      </c>
      <c r="L531" s="24">
        <v>2.0</v>
      </c>
      <c r="M531" s="25" t="s">
        <v>3421</v>
      </c>
      <c r="N531" s="26" t="str">
        <f t="shared" si="2"/>
        <v>570
IZZ
m</v>
      </c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0">
        <v>531.0</v>
      </c>
      <c r="B532" s="12" t="s">
        <v>3422</v>
      </c>
      <c r="C532" s="12" t="s">
        <v>246</v>
      </c>
      <c r="D532" s="35"/>
      <c r="E532" s="22"/>
      <c r="F532" s="12" t="s">
        <v>3423</v>
      </c>
      <c r="G532" s="12" t="s">
        <v>3424</v>
      </c>
      <c r="H532" s="12" t="s">
        <v>3369</v>
      </c>
      <c r="I532" s="23" t="s">
        <v>3425</v>
      </c>
      <c r="J532" s="12">
        <v>2014.0</v>
      </c>
      <c r="K532" s="23">
        <v>60.0</v>
      </c>
      <c r="L532" s="24">
        <v>1.0</v>
      </c>
      <c r="M532" s="12" t="s">
        <v>340</v>
      </c>
      <c r="N532" s="26" t="str">
        <f t="shared" si="2"/>
        <v>
SUR
m</v>
      </c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0">
        <v>532.0</v>
      </c>
      <c r="B533" s="12" t="s">
        <v>3426</v>
      </c>
      <c r="C533" s="12" t="s">
        <v>246</v>
      </c>
      <c r="D533" s="23">
        <v>580.0</v>
      </c>
      <c r="E533" s="12" t="s">
        <v>3408</v>
      </c>
      <c r="F533" s="12" t="s">
        <v>3427</v>
      </c>
      <c r="G533" s="12" t="s">
        <v>481</v>
      </c>
      <c r="H533" s="12" t="s">
        <v>2309</v>
      </c>
      <c r="I533" s="23" t="s">
        <v>3428</v>
      </c>
      <c r="J533" s="12">
        <v>2015.0</v>
      </c>
      <c r="K533" s="23">
        <v>63.0</v>
      </c>
      <c r="L533" s="24">
        <v>1.0</v>
      </c>
      <c r="M533" s="25" t="s">
        <v>3429</v>
      </c>
      <c r="N533" s="26" t="str">
        <f t="shared" si="2"/>
        <v>580
NOR
m</v>
      </c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0">
        <v>533.0</v>
      </c>
      <c r="B534" s="12" t="s">
        <v>3430</v>
      </c>
      <c r="C534" s="12" t="s">
        <v>246</v>
      </c>
      <c r="D534" s="23">
        <v>510.0</v>
      </c>
      <c r="E534" s="12" t="s">
        <v>3019</v>
      </c>
      <c r="F534" s="12" t="s">
        <v>3431</v>
      </c>
      <c r="G534" s="12" t="s">
        <v>3432</v>
      </c>
      <c r="H534" s="12" t="s">
        <v>126</v>
      </c>
      <c r="I534" s="23" t="s">
        <v>3433</v>
      </c>
      <c r="J534" s="12">
        <v>2015.0</v>
      </c>
      <c r="K534" s="23">
        <v>60.0</v>
      </c>
      <c r="L534" s="24">
        <v>1.0</v>
      </c>
      <c r="M534" s="25" t="s">
        <v>3434</v>
      </c>
      <c r="N534" s="26" t="str">
        <f t="shared" si="2"/>
        <v>510
UMI
b</v>
      </c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0">
        <v>534.0</v>
      </c>
      <c r="B535" s="12" t="s">
        <v>3435</v>
      </c>
      <c r="C535" s="12" t="s">
        <v>246</v>
      </c>
      <c r="D535" s="35"/>
      <c r="E535" s="22"/>
      <c r="F535" s="12" t="s">
        <v>3431</v>
      </c>
      <c r="G535" s="12" t="s">
        <v>3432</v>
      </c>
      <c r="H535" s="12" t="s">
        <v>126</v>
      </c>
      <c r="I535" s="23" t="s">
        <v>3436</v>
      </c>
      <c r="J535" s="12">
        <v>2015.0</v>
      </c>
      <c r="K535" s="23">
        <v>56.0</v>
      </c>
      <c r="L535" s="24">
        <v>2.0</v>
      </c>
      <c r="M535" s="12" t="s">
        <v>340</v>
      </c>
      <c r="N535" s="26" t="str">
        <f t="shared" si="2"/>
        <v>
UMI
b</v>
      </c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0">
        <v>535.0</v>
      </c>
      <c r="B536" s="12" t="s">
        <v>3437</v>
      </c>
      <c r="C536" s="12" t="s">
        <v>246</v>
      </c>
      <c r="D536" s="35"/>
      <c r="E536" s="22"/>
      <c r="F536" s="12" t="s">
        <v>3438</v>
      </c>
      <c r="G536" s="12" t="s">
        <v>3439</v>
      </c>
      <c r="H536" s="12" t="s">
        <v>1439</v>
      </c>
      <c r="I536" s="23" t="s">
        <v>3440</v>
      </c>
      <c r="J536" s="12">
        <v>2015.0</v>
      </c>
      <c r="K536" s="23">
        <v>60.0</v>
      </c>
      <c r="L536" s="24">
        <v>2.0</v>
      </c>
      <c r="M536" s="12" t="s">
        <v>340</v>
      </c>
      <c r="N536" s="26" t="str">
        <f t="shared" si="2"/>
        <v>
SUL
m</v>
      </c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0">
        <v>536.0</v>
      </c>
      <c r="B537" s="12" t="s">
        <v>3441</v>
      </c>
      <c r="C537" s="12" t="s">
        <v>246</v>
      </c>
      <c r="D537" s="23" t="s">
        <v>3442</v>
      </c>
      <c r="E537" s="12" t="s">
        <v>3443</v>
      </c>
      <c r="F537" s="12" t="s">
        <v>2110</v>
      </c>
      <c r="G537" s="12" t="s">
        <v>518</v>
      </c>
      <c r="H537" s="12" t="s">
        <v>1439</v>
      </c>
      <c r="I537" s="23" t="s">
        <v>3444</v>
      </c>
      <c r="J537" s="12">
        <v>2015.0</v>
      </c>
      <c r="K537" s="23">
        <v>52.0</v>
      </c>
      <c r="L537" s="24">
        <v>2.0</v>
      </c>
      <c r="M537" s="25" t="s">
        <v>3445</v>
      </c>
      <c r="N537" s="26" t="str">
        <f t="shared" si="2"/>
        <v>535.1
WEN
c</v>
      </c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0">
        <v>537.0</v>
      </c>
      <c r="B538" s="12" t="s">
        <v>3446</v>
      </c>
      <c r="C538" s="12" t="s">
        <v>246</v>
      </c>
      <c r="D538" s="23" t="s">
        <v>3447</v>
      </c>
      <c r="E538" s="12" t="s">
        <v>3252</v>
      </c>
      <c r="F538" s="12" t="s">
        <v>3448</v>
      </c>
      <c r="G538" s="12" t="s">
        <v>761</v>
      </c>
      <c r="H538" s="12" t="s">
        <v>2309</v>
      </c>
      <c r="I538" s="23" t="s">
        <v>3449</v>
      </c>
      <c r="J538" s="12">
        <v>2013.0</v>
      </c>
      <c r="K538" s="23">
        <v>55.0</v>
      </c>
      <c r="L538" s="24">
        <v>1.0</v>
      </c>
      <c r="M538" s="25" t="s">
        <v>3450</v>
      </c>
      <c r="N538" s="26" t="str">
        <f t="shared" si="2"/>
        <v>574.5
A. 
l</v>
      </c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0">
        <v>538.0</v>
      </c>
      <c r="B539" s="12" t="s">
        <v>3451</v>
      </c>
      <c r="C539" s="12" t="s">
        <v>246</v>
      </c>
      <c r="D539" s="35"/>
      <c r="E539" s="22"/>
      <c r="F539" s="12" t="s">
        <v>2973</v>
      </c>
      <c r="G539" s="12" t="s">
        <v>518</v>
      </c>
      <c r="H539" s="12" t="s">
        <v>1636</v>
      </c>
      <c r="I539" s="23" t="s">
        <v>3452</v>
      </c>
      <c r="J539" s="12">
        <v>2015.0</v>
      </c>
      <c r="K539" s="23">
        <v>60.0</v>
      </c>
      <c r="L539" s="24">
        <v>1.0</v>
      </c>
      <c r="M539" s="12" t="s">
        <v>340</v>
      </c>
      <c r="N539" s="26" t="str">
        <f t="shared" si="2"/>
        <v>
DID
m</v>
      </c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0">
        <v>539.0</v>
      </c>
      <c r="B540" s="12" t="s">
        <v>3453</v>
      </c>
      <c r="C540" s="12" t="s">
        <v>246</v>
      </c>
      <c r="D540" s="23">
        <v>571.0</v>
      </c>
      <c r="E540" s="12" t="s">
        <v>3140</v>
      </c>
      <c r="F540" s="12" t="s">
        <v>3454</v>
      </c>
      <c r="G540" s="12" t="s">
        <v>897</v>
      </c>
      <c r="H540" s="12" t="s">
        <v>3455</v>
      </c>
      <c r="I540" s="23" t="s">
        <v>3456</v>
      </c>
      <c r="J540" s="12">
        <v>2015.0</v>
      </c>
      <c r="K540" s="23">
        <v>56.0</v>
      </c>
      <c r="L540" s="24">
        <v>2.0</v>
      </c>
      <c r="M540" s="25" t="s">
        <v>3457</v>
      </c>
      <c r="N540" s="26" t="str">
        <f t="shared" si="2"/>
        <v>571
AME
o</v>
      </c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0">
        <v>540.0</v>
      </c>
      <c r="B541" s="12" t="s">
        <v>3458</v>
      </c>
      <c r="C541" s="12" t="s">
        <v>246</v>
      </c>
      <c r="D541" s="35"/>
      <c r="E541" s="22"/>
      <c r="F541" s="12" t="s">
        <v>3459</v>
      </c>
      <c r="G541" s="12" t="s">
        <v>3460</v>
      </c>
      <c r="H541" s="12" t="s">
        <v>3369</v>
      </c>
      <c r="I541" s="23" t="s">
        <v>3461</v>
      </c>
      <c r="J541" s="12">
        <v>2014.0</v>
      </c>
      <c r="K541" s="23">
        <v>51.0</v>
      </c>
      <c r="L541" s="24">
        <v>2.0</v>
      </c>
      <c r="M541" s="12" t="s">
        <v>340</v>
      </c>
      <c r="N541" s="26" t="str">
        <f t="shared" si="2"/>
        <v>
LEN
m</v>
      </c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0">
        <v>541.0</v>
      </c>
      <c r="B542" s="12" t="s">
        <v>3362</v>
      </c>
      <c r="C542" s="12" t="s">
        <v>246</v>
      </c>
      <c r="D542" s="35"/>
      <c r="E542" s="22"/>
      <c r="F542" s="12" t="s">
        <v>2973</v>
      </c>
      <c r="G542" s="12" t="s">
        <v>3363</v>
      </c>
      <c r="H542" s="12" t="s">
        <v>1636</v>
      </c>
      <c r="I542" s="23" t="s">
        <v>3364</v>
      </c>
      <c r="J542" s="12">
        <v>2015.0</v>
      </c>
      <c r="K542" s="23">
        <v>60.0</v>
      </c>
      <c r="L542" s="24">
        <v>1.0</v>
      </c>
      <c r="M542" s="12" t="s">
        <v>340</v>
      </c>
      <c r="N542" s="26" t="str">
        <f t="shared" si="2"/>
        <v>
DID
m</v>
      </c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0">
        <v>542.0</v>
      </c>
      <c r="B543" s="12" t="s">
        <v>3462</v>
      </c>
      <c r="C543" s="12" t="s">
        <v>246</v>
      </c>
      <c r="D543" s="35"/>
      <c r="E543" s="22"/>
      <c r="F543" s="12" t="s">
        <v>3463</v>
      </c>
      <c r="G543" s="12" t="s">
        <v>3464</v>
      </c>
      <c r="H543" s="12" t="s">
        <v>3369</v>
      </c>
      <c r="I543" s="23" t="s">
        <v>3465</v>
      </c>
      <c r="J543" s="12">
        <v>2014.0</v>
      </c>
      <c r="K543" s="23">
        <v>59.0</v>
      </c>
      <c r="L543" s="24">
        <v>1.0</v>
      </c>
      <c r="M543" s="12" t="s">
        <v>340</v>
      </c>
      <c r="N543" s="26" t="str">
        <f t="shared" si="2"/>
        <v>
BUD
m</v>
      </c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0">
        <v>543.0</v>
      </c>
      <c r="B544" s="93" t="s">
        <v>3466</v>
      </c>
      <c r="C544" s="12" t="s">
        <v>249</v>
      </c>
      <c r="D544" s="23">
        <v>613.0</v>
      </c>
      <c r="E544" s="12" t="s">
        <v>3467</v>
      </c>
      <c r="F544" s="12" t="s">
        <v>3468</v>
      </c>
      <c r="G544" s="12" t="s">
        <v>518</v>
      </c>
      <c r="H544" s="12" t="s">
        <v>3469</v>
      </c>
      <c r="I544" s="23" t="s">
        <v>3470</v>
      </c>
      <c r="J544" s="12">
        <v>2007.0</v>
      </c>
      <c r="K544" s="23">
        <v>88.0</v>
      </c>
      <c r="L544" s="24">
        <v>2.0</v>
      </c>
      <c r="M544" s="25" t="s">
        <v>3471</v>
      </c>
      <c r="N544" s="26" t="str">
        <f t="shared" si="2"/>
        <v>613
HER
t</v>
      </c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0">
        <v>544.0</v>
      </c>
      <c r="B545" s="12" t="s">
        <v>3472</v>
      </c>
      <c r="C545" s="12" t="s">
        <v>246</v>
      </c>
      <c r="D545" s="35"/>
      <c r="E545" s="22"/>
      <c r="F545" s="12" t="s">
        <v>3473</v>
      </c>
      <c r="G545" s="12" t="s">
        <v>518</v>
      </c>
      <c r="H545" s="12" t="s">
        <v>2036</v>
      </c>
      <c r="I545" s="23" t="s">
        <v>3474</v>
      </c>
      <c r="J545" s="12">
        <v>2014.0</v>
      </c>
      <c r="K545" s="23">
        <v>68.0</v>
      </c>
      <c r="L545" s="24">
        <v>1.0</v>
      </c>
      <c r="M545" s="12" t="s">
        <v>340</v>
      </c>
      <c r="N545" s="26" t="str">
        <f t="shared" si="2"/>
        <v>
DEW
p</v>
      </c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0">
        <v>545.0</v>
      </c>
      <c r="B546" s="12" t="s">
        <v>3475</v>
      </c>
      <c r="C546" s="12" t="s">
        <v>246</v>
      </c>
      <c r="D546" s="23" t="s">
        <v>3097</v>
      </c>
      <c r="E546" s="12" t="s">
        <v>3098</v>
      </c>
      <c r="F546" s="12" t="s">
        <v>3476</v>
      </c>
      <c r="G546" s="12" t="s">
        <v>3477</v>
      </c>
      <c r="H546" s="12" t="s">
        <v>2145</v>
      </c>
      <c r="I546" s="23" t="s">
        <v>3478</v>
      </c>
      <c r="J546" s="12">
        <v>2015.0</v>
      </c>
      <c r="K546" s="23">
        <v>56.0</v>
      </c>
      <c r="L546" s="24">
        <v>1.0</v>
      </c>
      <c r="M546" s="25" t="s">
        <v>3479</v>
      </c>
      <c r="N546" s="26" t="str">
        <f t="shared" si="2"/>
        <v>551.48
ATI
f</v>
      </c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0">
        <v>546.0</v>
      </c>
      <c r="B547" s="12" t="s">
        <v>3480</v>
      </c>
      <c r="C547" s="12" t="s">
        <v>246</v>
      </c>
      <c r="D547" s="23">
        <v>510.0</v>
      </c>
      <c r="E547" s="12" t="s">
        <v>3019</v>
      </c>
      <c r="F547" s="12" t="s">
        <v>3481</v>
      </c>
      <c r="G547" s="12" t="s">
        <v>3482</v>
      </c>
      <c r="H547" s="12" t="s">
        <v>3483</v>
      </c>
      <c r="I547" s="23">
        <v>9.786028567503E12</v>
      </c>
      <c r="J547" s="12">
        <v>2015.0</v>
      </c>
      <c r="K547" s="23">
        <v>68.0</v>
      </c>
      <c r="L547" s="24">
        <v>1.0</v>
      </c>
      <c r="M547" s="25" t="s">
        <v>3484</v>
      </c>
      <c r="N547" s="26" t="str">
        <f t="shared" si="2"/>
        <v>510
MAR
a</v>
      </c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0">
        <v>547.0</v>
      </c>
      <c r="B548" s="12" t="s">
        <v>3485</v>
      </c>
      <c r="C548" s="12" t="s">
        <v>246</v>
      </c>
      <c r="D548" s="35"/>
      <c r="E548" s="22"/>
      <c r="F548" s="12" t="s">
        <v>3486</v>
      </c>
      <c r="G548" s="12" t="s">
        <v>3487</v>
      </c>
      <c r="H548" s="12" t="s">
        <v>3356</v>
      </c>
      <c r="I548" s="23" t="s">
        <v>3488</v>
      </c>
      <c r="J548" s="12">
        <v>2014.0</v>
      </c>
      <c r="K548" s="23">
        <v>92.0</v>
      </c>
      <c r="L548" s="24">
        <v>2.0</v>
      </c>
      <c r="M548" s="12" t="s">
        <v>340</v>
      </c>
      <c r="N548" s="26" t="str">
        <f t="shared" si="2"/>
        <v>
M. 
s</v>
      </c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0">
        <v>548.0</v>
      </c>
      <c r="B549" s="12" t="s">
        <v>3489</v>
      </c>
      <c r="C549" s="12" t="s">
        <v>246</v>
      </c>
      <c r="D549" s="35"/>
      <c r="E549" s="22"/>
      <c r="F549" s="12" t="s">
        <v>3490</v>
      </c>
      <c r="G549" s="12" t="s">
        <v>1330</v>
      </c>
      <c r="H549" s="12" t="s">
        <v>2069</v>
      </c>
      <c r="I549" s="23" t="s">
        <v>3491</v>
      </c>
      <c r="J549" s="12">
        <v>2009.0</v>
      </c>
      <c r="K549" s="23">
        <v>218.0</v>
      </c>
      <c r="L549" s="24">
        <v>2.0</v>
      </c>
      <c r="M549" s="12" t="s">
        <v>340</v>
      </c>
      <c r="N549" s="26" t="str">
        <f t="shared" si="2"/>
        <v>
ALY
b</v>
      </c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0">
        <v>549.0</v>
      </c>
      <c r="B550" s="12" t="s">
        <v>3492</v>
      </c>
      <c r="C550" s="12" t="s">
        <v>246</v>
      </c>
      <c r="D550" s="23" t="s">
        <v>3493</v>
      </c>
      <c r="E550" s="12" t="s">
        <v>3494</v>
      </c>
      <c r="F550" s="12" t="s">
        <v>3495</v>
      </c>
      <c r="G550" s="12" t="s">
        <v>3496</v>
      </c>
      <c r="H550" s="12" t="s">
        <v>734</v>
      </c>
      <c r="I550" s="23" t="s">
        <v>3497</v>
      </c>
      <c r="J550" s="12">
        <v>2015.0</v>
      </c>
      <c r="K550" s="23">
        <v>74.0</v>
      </c>
      <c r="L550" s="24">
        <v>1.0</v>
      </c>
      <c r="M550" s="12" t="s">
        <v>340</v>
      </c>
      <c r="N550" s="26" t="str">
        <f t="shared" si="2"/>
        <v>591.5
WEN
m</v>
      </c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0">
        <v>550.0</v>
      </c>
      <c r="B551" s="12" t="s">
        <v>3498</v>
      </c>
      <c r="C551" s="12" t="s">
        <v>246</v>
      </c>
      <c r="D551" s="35"/>
      <c r="E551" s="22"/>
      <c r="F551" s="12" t="s">
        <v>3499</v>
      </c>
      <c r="G551" s="12" t="s">
        <v>1206</v>
      </c>
      <c r="H551" s="12" t="s">
        <v>3369</v>
      </c>
      <c r="I551" s="23" t="s">
        <v>3500</v>
      </c>
      <c r="J551" s="12">
        <v>2014.0</v>
      </c>
      <c r="K551" s="23">
        <v>59.0</v>
      </c>
      <c r="L551" s="24">
        <v>2.0</v>
      </c>
      <c r="M551" s="12" t="s">
        <v>340</v>
      </c>
      <c r="N551" s="26" t="str">
        <f t="shared" si="2"/>
        <v>
SIT
m</v>
      </c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0">
        <v>551.0</v>
      </c>
      <c r="B552" s="12" t="s">
        <v>3501</v>
      </c>
      <c r="C552" s="12" t="s">
        <v>246</v>
      </c>
      <c r="D552" s="23" t="s">
        <v>3502</v>
      </c>
      <c r="E552" s="12" t="s">
        <v>3503</v>
      </c>
      <c r="F552" s="12" t="s">
        <v>3349</v>
      </c>
      <c r="G552" s="12" t="s">
        <v>3350</v>
      </c>
      <c r="H552" s="12" t="s">
        <v>3374</v>
      </c>
      <c r="I552" s="23" t="s">
        <v>3504</v>
      </c>
      <c r="J552" s="12">
        <v>2015.0</v>
      </c>
      <c r="K552" s="23">
        <v>60.0</v>
      </c>
      <c r="L552" s="24">
        <v>1.0</v>
      </c>
      <c r="M552" s="25" t="s">
        <v>3505</v>
      </c>
      <c r="N552" s="26" t="str">
        <f t="shared" si="2"/>
        <v>516.22
ALF
m</v>
      </c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0">
        <v>552.0</v>
      </c>
      <c r="B553" s="12" t="s">
        <v>3506</v>
      </c>
      <c r="C553" s="12" t="s">
        <v>246</v>
      </c>
      <c r="D553" s="35"/>
      <c r="E553" s="22"/>
      <c r="F553" s="12" t="s">
        <v>3507</v>
      </c>
      <c r="G553" s="12" t="s">
        <v>2035</v>
      </c>
      <c r="H553" s="12" t="s">
        <v>3395</v>
      </c>
      <c r="I553" s="23" t="s">
        <v>3508</v>
      </c>
      <c r="J553" s="12">
        <v>2014.0</v>
      </c>
      <c r="K553" s="23">
        <v>91.0</v>
      </c>
      <c r="L553" s="24">
        <v>2.0</v>
      </c>
      <c r="M553" s="12" t="s">
        <v>340</v>
      </c>
      <c r="N553" s="26" t="str">
        <f t="shared" si="2"/>
        <v>
R. 
m</v>
      </c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0">
        <v>553.0</v>
      </c>
      <c r="B554" s="12" t="s">
        <v>3509</v>
      </c>
      <c r="C554" s="12" t="s">
        <v>246</v>
      </c>
      <c r="D554" s="35"/>
      <c r="E554" s="22"/>
      <c r="F554" s="12" t="s">
        <v>3510</v>
      </c>
      <c r="G554" s="12" t="s">
        <v>3511</v>
      </c>
      <c r="H554" s="12" t="s">
        <v>3512</v>
      </c>
      <c r="I554" s="23">
        <v>9.789791836852E12</v>
      </c>
      <c r="J554" s="12">
        <v>2010.0</v>
      </c>
      <c r="K554" s="23">
        <v>67.0</v>
      </c>
      <c r="L554" s="24">
        <v>2.0</v>
      </c>
      <c r="M554" s="12" t="s">
        <v>340</v>
      </c>
      <c r="N554" s="26" t="str">
        <f t="shared" si="2"/>
        <v>
EMM
s</v>
      </c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0">
        <v>554.0</v>
      </c>
      <c r="B555" s="12" t="s">
        <v>3513</v>
      </c>
      <c r="C555" s="12" t="s">
        <v>246</v>
      </c>
      <c r="D555" s="23" t="s">
        <v>3097</v>
      </c>
      <c r="E555" s="12" t="s">
        <v>3098</v>
      </c>
      <c r="F555" s="12" t="s">
        <v>3514</v>
      </c>
      <c r="G555" s="12" t="s">
        <v>3515</v>
      </c>
      <c r="H555" s="12" t="s">
        <v>3395</v>
      </c>
      <c r="I555" s="23" t="s">
        <v>3516</v>
      </c>
      <c r="J555" s="12">
        <v>2014.0</v>
      </c>
      <c r="K555" s="23">
        <v>91.0</v>
      </c>
      <c r="L555" s="24">
        <v>2.0</v>
      </c>
      <c r="M555" s="25" t="s">
        <v>3517</v>
      </c>
      <c r="N555" s="26" t="str">
        <f t="shared" si="2"/>
        <v>551.48
KEM
m</v>
      </c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0">
        <v>555.0</v>
      </c>
      <c r="B556" s="12" t="s">
        <v>3518</v>
      </c>
      <c r="C556" s="12" t="s">
        <v>246</v>
      </c>
      <c r="D556" s="35"/>
      <c r="E556" s="22"/>
      <c r="F556" s="12" t="s">
        <v>3519</v>
      </c>
      <c r="G556" s="12" t="s">
        <v>3520</v>
      </c>
      <c r="H556" s="12" t="s">
        <v>3521</v>
      </c>
      <c r="I556" s="23" t="s">
        <v>3522</v>
      </c>
      <c r="J556" s="12">
        <v>2014.0</v>
      </c>
      <c r="K556" s="23">
        <v>76.0</v>
      </c>
      <c r="L556" s="24">
        <v>2.0</v>
      </c>
      <c r="M556" s="12" t="s">
        <v>340</v>
      </c>
      <c r="N556" s="26" t="str">
        <f t="shared" si="2"/>
        <v>
UMI
s</v>
      </c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0">
        <v>556.0</v>
      </c>
      <c r="B557" s="12" t="s">
        <v>3523</v>
      </c>
      <c r="C557" s="12" t="s">
        <v>246</v>
      </c>
      <c r="D557" s="23">
        <v>510.0</v>
      </c>
      <c r="E557" s="12" t="s">
        <v>3019</v>
      </c>
      <c r="F557" s="12" t="s">
        <v>3524</v>
      </c>
      <c r="G557" s="12" t="s">
        <v>3130</v>
      </c>
      <c r="H557" s="12" t="s">
        <v>3131</v>
      </c>
      <c r="I557" s="23">
        <v>9.789793077307E12</v>
      </c>
      <c r="J557" s="12">
        <v>2008.0</v>
      </c>
      <c r="K557" s="23">
        <v>60.0</v>
      </c>
      <c r="L557" s="24">
        <v>4.0</v>
      </c>
      <c r="M557" s="25" t="s">
        <v>3525</v>
      </c>
      <c r="N557" s="26" t="str">
        <f t="shared" si="2"/>
        <v>510
WAH
r</v>
      </c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0">
        <v>557.0</v>
      </c>
      <c r="B558" s="12" t="s">
        <v>3526</v>
      </c>
      <c r="C558" s="12" t="s">
        <v>246</v>
      </c>
      <c r="D558" s="35"/>
      <c r="E558" s="22"/>
      <c r="F558" s="12" t="s">
        <v>3473</v>
      </c>
      <c r="G558" s="12" t="s">
        <v>234</v>
      </c>
      <c r="H558" s="12" t="s">
        <v>623</v>
      </c>
      <c r="I558" s="23" t="s">
        <v>3527</v>
      </c>
      <c r="J558" s="12">
        <v>2014.0</v>
      </c>
      <c r="K558" s="23">
        <v>58.0</v>
      </c>
      <c r="L558" s="24">
        <v>1.0</v>
      </c>
      <c r="M558" s="12" t="s">
        <v>340</v>
      </c>
      <c r="N558" s="26" t="str">
        <f t="shared" si="2"/>
        <v>
DEW
m</v>
      </c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0">
        <v>558.0</v>
      </c>
      <c r="B559" s="12" t="s">
        <v>3528</v>
      </c>
      <c r="C559" s="12" t="s">
        <v>246</v>
      </c>
      <c r="D559" s="23">
        <v>537.0</v>
      </c>
      <c r="E559" s="12" t="s">
        <v>3529</v>
      </c>
      <c r="F559" s="12" t="s">
        <v>3394</v>
      </c>
      <c r="G559" s="12" t="s">
        <v>3530</v>
      </c>
      <c r="H559" s="12" t="s">
        <v>3356</v>
      </c>
      <c r="I559" s="23">
        <v>9.786023168484E12</v>
      </c>
      <c r="J559" s="12">
        <v>2014.0</v>
      </c>
      <c r="K559" s="23">
        <v>108.0</v>
      </c>
      <c r="L559" s="24">
        <v>1.0</v>
      </c>
      <c r="M559" s="25" t="s">
        <v>3531</v>
      </c>
      <c r="N559" s="26" t="str">
        <f t="shared" si="2"/>
        <v>537
ASE
s</v>
      </c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0">
        <v>559.0</v>
      </c>
      <c r="B560" s="12" t="s">
        <v>3532</v>
      </c>
      <c r="C560" s="12" t="s">
        <v>246</v>
      </c>
      <c r="D560" s="35"/>
      <c r="E560" s="22"/>
      <c r="F560" s="12" t="s">
        <v>3533</v>
      </c>
      <c r="G560" s="12" t="s">
        <v>3534</v>
      </c>
      <c r="H560" s="12" t="s">
        <v>3535</v>
      </c>
      <c r="I560" s="23" t="s">
        <v>3536</v>
      </c>
      <c r="J560" s="12">
        <v>2006.0</v>
      </c>
      <c r="K560" s="23">
        <v>96.0</v>
      </c>
      <c r="L560" s="24">
        <v>1.0</v>
      </c>
      <c r="M560" s="12" t="s">
        <v>340</v>
      </c>
      <c r="N560" s="26" t="str">
        <f t="shared" si="2"/>
        <v>
DAD
m</v>
      </c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0">
        <v>560.0</v>
      </c>
      <c r="B561" s="12" t="s">
        <v>3537</v>
      </c>
      <c r="C561" s="12" t="s">
        <v>246</v>
      </c>
      <c r="D561" s="23">
        <v>510.0</v>
      </c>
      <c r="E561" s="12" t="s">
        <v>3019</v>
      </c>
      <c r="F561" s="12" t="s">
        <v>3538</v>
      </c>
      <c r="G561" s="12" t="s">
        <v>3130</v>
      </c>
      <c r="H561" s="12" t="s">
        <v>3131</v>
      </c>
      <c r="I561" s="23">
        <v>9.789793077291E12</v>
      </c>
      <c r="J561" s="12">
        <v>2015.0</v>
      </c>
      <c r="K561" s="23">
        <v>122.0</v>
      </c>
      <c r="L561" s="24">
        <v>4.0</v>
      </c>
      <c r="M561" s="25" t="s">
        <v>3539</v>
      </c>
      <c r="N561" s="26" t="str">
        <f t="shared" si="2"/>
        <v>510
WAH
r</v>
      </c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0">
        <v>561.0</v>
      </c>
      <c r="B562" s="12" t="s">
        <v>3540</v>
      </c>
      <c r="C562" s="12" t="s">
        <v>246</v>
      </c>
      <c r="D562" s="35"/>
      <c r="E562" s="22"/>
      <c r="F562" s="12" t="s">
        <v>3541</v>
      </c>
      <c r="G562" s="12" t="s">
        <v>3542</v>
      </c>
      <c r="H562" s="12" t="s">
        <v>3395</v>
      </c>
      <c r="I562" s="23" t="s">
        <v>3543</v>
      </c>
      <c r="J562" s="12">
        <v>2014.0</v>
      </c>
      <c r="K562" s="23">
        <v>91.0</v>
      </c>
      <c r="L562" s="24">
        <v>2.0</v>
      </c>
      <c r="M562" s="12" t="s">
        <v>340</v>
      </c>
      <c r="N562" s="26" t="str">
        <f t="shared" si="2"/>
        <v>
M F
m</v>
      </c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0">
        <v>562.0</v>
      </c>
      <c r="B563" s="12" t="s">
        <v>3544</v>
      </c>
      <c r="C563" s="12" t="s">
        <v>246</v>
      </c>
      <c r="D563" s="23">
        <v>510.0</v>
      </c>
      <c r="E563" s="12" t="s">
        <v>3019</v>
      </c>
      <c r="F563" s="12" t="s">
        <v>3545</v>
      </c>
      <c r="G563" s="12" t="s">
        <v>3546</v>
      </c>
      <c r="H563" s="12" t="s">
        <v>705</v>
      </c>
      <c r="I563" s="23" t="s">
        <v>3547</v>
      </c>
      <c r="J563" s="12">
        <v>2009.0</v>
      </c>
      <c r="K563" s="35"/>
      <c r="L563" s="24">
        <v>3.0</v>
      </c>
      <c r="M563" s="25" t="s">
        <v>3548</v>
      </c>
      <c r="N563" s="26" t="str">
        <f t="shared" si="2"/>
        <v>510
SIM
m</v>
      </c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0">
        <v>563.0</v>
      </c>
      <c r="B564" s="12" t="s">
        <v>3549</v>
      </c>
      <c r="C564" s="12" t="s">
        <v>246</v>
      </c>
      <c r="D564" s="23">
        <v>510.0</v>
      </c>
      <c r="E564" s="12" t="s">
        <v>3019</v>
      </c>
      <c r="F564" s="12" t="s">
        <v>3550</v>
      </c>
      <c r="G564" s="12" t="s">
        <v>3546</v>
      </c>
      <c r="H564" s="12" t="s">
        <v>705</v>
      </c>
      <c r="I564" s="23" t="s">
        <v>3551</v>
      </c>
      <c r="J564" s="12">
        <v>2009.0</v>
      </c>
      <c r="K564" s="35"/>
      <c r="L564" s="24">
        <v>2.0</v>
      </c>
      <c r="M564" s="25" t="s">
        <v>3552</v>
      </c>
      <c r="N564" s="26" t="str">
        <f t="shared" si="2"/>
        <v>510
SUE
m</v>
      </c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0">
        <v>564.0</v>
      </c>
      <c r="B565" s="12" t="s">
        <v>3553</v>
      </c>
      <c r="C565" s="12" t="s">
        <v>246</v>
      </c>
      <c r="D565" s="35"/>
      <c r="E565" s="22"/>
      <c r="F565" s="12" t="s">
        <v>3554</v>
      </c>
      <c r="G565" s="12" t="s">
        <v>3546</v>
      </c>
      <c r="H565" s="12" t="s">
        <v>705</v>
      </c>
      <c r="I565" s="23" t="s">
        <v>3555</v>
      </c>
      <c r="J565" s="12">
        <v>2009.0</v>
      </c>
      <c r="K565" s="35"/>
      <c r="L565" s="24">
        <v>1.0</v>
      </c>
      <c r="M565" s="12" t="s">
        <v>340</v>
      </c>
      <c r="N565" s="26" t="str">
        <f t="shared" si="2"/>
        <v>
BAR
m</v>
      </c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0">
        <v>565.0</v>
      </c>
      <c r="B566" s="12" t="s">
        <v>3556</v>
      </c>
      <c r="C566" s="12" t="s">
        <v>246</v>
      </c>
      <c r="D566" s="35"/>
      <c r="E566" s="22"/>
      <c r="F566" s="12" t="s">
        <v>3557</v>
      </c>
      <c r="G566" s="12" t="s">
        <v>3558</v>
      </c>
      <c r="H566" s="12" t="s">
        <v>623</v>
      </c>
      <c r="I566" s="23" t="s">
        <v>3559</v>
      </c>
      <c r="J566" s="12">
        <v>2009.0</v>
      </c>
      <c r="K566" s="35"/>
      <c r="L566" s="24">
        <v>1.0</v>
      </c>
      <c r="M566" s="12" t="s">
        <v>340</v>
      </c>
      <c r="N566" s="26" t="str">
        <f t="shared" si="2"/>
        <v>
MUH
c</v>
      </c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0">
        <v>566.0</v>
      </c>
      <c r="B567" s="12" t="s">
        <v>3560</v>
      </c>
      <c r="C567" s="12" t="s">
        <v>246</v>
      </c>
      <c r="D567" s="35"/>
      <c r="E567" s="22"/>
      <c r="F567" s="12" t="s">
        <v>3561</v>
      </c>
      <c r="G567" s="12" t="s">
        <v>3562</v>
      </c>
      <c r="H567" s="12" t="s">
        <v>2362</v>
      </c>
      <c r="I567" s="23" t="s">
        <v>3563</v>
      </c>
      <c r="J567" s="12">
        <v>2008.0</v>
      </c>
      <c r="K567" s="35"/>
      <c r="L567" s="24">
        <v>1.0</v>
      </c>
      <c r="M567" s="12" t="s">
        <v>340</v>
      </c>
      <c r="N567" s="26" t="str">
        <f t="shared" si="2"/>
        <v>
BAI
s</v>
      </c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0">
        <v>567.0</v>
      </c>
      <c r="B568" s="12" t="s">
        <v>3564</v>
      </c>
      <c r="C568" s="12" t="s">
        <v>246</v>
      </c>
      <c r="D568" s="35"/>
      <c r="E568" s="22"/>
      <c r="F568" s="12" t="s">
        <v>3565</v>
      </c>
      <c r="G568" s="12" t="s">
        <v>3566</v>
      </c>
      <c r="H568" s="12" t="s">
        <v>3567</v>
      </c>
      <c r="I568" s="23" t="s">
        <v>3568</v>
      </c>
      <c r="J568" s="12">
        <v>2007.0</v>
      </c>
      <c r="K568" s="35"/>
      <c r="L568" s="24">
        <v>2.0</v>
      </c>
      <c r="M568" s="12" t="s">
        <v>340</v>
      </c>
      <c r="N568" s="26" t="str">
        <f t="shared" si="2"/>
        <v>
DRS
m</v>
      </c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0">
        <v>568.0</v>
      </c>
      <c r="B569" s="12" t="s">
        <v>3569</v>
      </c>
      <c r="C569" s="12" t="s">
        <v>246</v>
      </c>
      <c r="D569" s="35"/>
      <c r="E569" s="22"/>
      <c r="F569" s="12" t="s">
        <v>3570</v>
      </c>
      <c r="G569" s="12" t="s">
        <v>3571</v>
      </c>
      <c r="H569" s="12" t="s">
        <v>588</v>
      </c>
      <c r="I569" s="23" t="s">
        <v>3572</v>
      </c>
      <c r="J569" s="12">
        <v>2009.0</v>
      </c>
      <c r="K569" s="35"/>
      <c r="L569" s="24">
        <v>1.0</v>
      </c>
      <c r="M569" s="12" t="s">
        <v>340</v>
      </c>
      <c r="N569" s="26" t="str">
        <f t="shared" si="2"/>
        <v>
ROB
f</v>
      </c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0">
        <v>569.0</v>
      </c>
      <c r="B570" s="12" t="s">
        <v>3573</v>
      </c>
      <c r="C570" s="12" t="s">
        <v>246</v>
      </c>
      <c r="D570" s="35"/>
      <c r="E570" s="22"/>
      <c r="F570" s="12" t="s">
        <v>3557</v>
      </c>
      <c r="G570" s="12" t="s">
        <v>2035</v>
      </c>
      <c r="H570" s="12" t="s">
        <v>623</v>
      </c>
      <c r="I570" s="23" t="s">
        <v>3574</v>
      </c>
      <c r="J570" s="12">
        <v>2014.0</v>
      </c>
      <c r="K570" s="35"/>
      <c r="L570" s="24">
        <v>3.0</v>
      </c>
      <c r="M570" s="12" t="s">
        <v>340</v>
      </c>
      <c r="N570" s="26" t="str">
        <f t="shared" si="2"/>
        <v>
MUH
m</v>
      </c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0">
        <v>570.0</v>
      </c>
      <c r="B571" s="12" t="s">
        <v>3575</v>
      </c>
      <c r="C571" s="12" t="s">
        <v>246</v>
      </c>
      <c r="D571" s="35"/>
      <c r="E571" s="22"/>
      <c r="F571" s="12" t="s">
        <v>3576</v>
      </c>
      <c r="G571" s="12" t="s">
        <v>888</v>
      </c>
      <c r="H571" s="12" t="s">
        <v>623</v>
      </c>
      <c r="I571" s="23" t="s">
        <v>3577</v>
      </c>
      <c r="J571" s="12">
        <v>2014.0</v>
      </c>
      <c r="K571" s="35"/>
      <c r="L571" s="24">
        <v>1.0</v>
      </c>
      <c r="M571" s="12" t="s">
        <v>340</v>
      </c>
      <c r="N571" s="26" t="str">
        <f t="shared" si="2"/>
        <v>
ARI
m</v>
      </c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0">
        <v>571.0</v>
      </c>
      <c r="B572" s="12" t="s">
        <v>3578</v>
      </c>
      <c r="C572" s="12" t="s">
        <v>246</v>
      </c>
      <c r="D572" s="35"/>
      <c r="E572" s="22"/>
      <c r="F572" s="12" t="s">
        <v>3557</v>
      </c>
      <c r="G572" s="12" t="s">
        <v>888</v>
      </c>
      <c r="H572" s="12" t="s">
        <v>623</v>
      </c>
      <c r="I572" s="23" t="s">
        <v>3579</v>
      </c>
      <c r="J572" s="12">
        <v>2008.0</v>
      </c>
      <c r="K572" s="35"/>
      <c r="L572" s="24">
        <v>4.0</v>
      </c>
      <c r="M572" s="12" t="s">
        <v>340</v>
      </c>
      <c r="N572" s="26" t="str">
        <f t="shared" si="2"/>
        <v>
MUH
b</v>
      </c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0">
        <v>572.0</v>
      </c>
      <c r="B573" s="12" t="s">
        <v>3580</v>
      </c>
      <c r="C573" s="12" t="s">
        <v>246</v>
      </c>
      <c r="D573" s="23" t="s">
        <v>3581</v>
      </c>
      <c r="E573" s="22" t="s">
        <v>3582</v>
      </c>
      <c r="F573" s="12" t="s">
        <v>2206</v>
      </c>
      <c r="G573" s="12" t="s">
        <v>3367</v>
      </c>
      <c r="H573" s="12" t="s">
        <v>3583</v>
      </c>
      <c r="I573" s="23" t="s">
        <v>3584</v>
      </c>
      <c r="J573" s="12">
        <v>2014.0</v>
      </c>
      <c r="K573" s="23">
        <v>51.0</v>
      </c>
      <c r="L573" s="24">
        <v>1.0</v>
      </c>
      <c r="M573" s="25" t="s">
        <v>3585</v>
      </c>
      <c r="N573" s="26" t="str">
        <f t="shared" si="2"/>
        <v>551.46
UDI
m</v>
      </c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0">
        <v>573.0</v>
      </c>
      <c r="B574" s="12" t="s">
        <v>3586</v>
      </c>
      <c r="C574" s="12" t="s">
        <v>246</v>
      </c>
      <c r="D574" s="35"/>
      <c r="E574" s="22"/>
      <c r="F574" s="12" t="s">
        <v>3587</v>
      </c>
      <c r="G574" s="12" t="s">
        <v>3588</v>
      </c>
      <c r="H574" s="12" t="s">
        <v>3589</v>
      </c>
      <c r="I574" s="23" t="s">
        <v>3590</v>
      </c>
      <c r="J574" s="12">
        <v>2014.0</v>
      </c>
      <c r="K574" s="23">
        <v>60.0</v>
      </c>
      <c r="L574" s="24">
        <v>1.0</v>
      </c>
      <c r="M574" s="12" t="s">
        <v>340</v>
      </c>
      <c r="N574" s="26" t="str">
        <f t="shared" si="2"/>
        <v>
SET
s</v>
      </c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0">
        <v>574.0</v>
      </c>
      <c r="B575" s="12" t="s">
        <v>3591</v>
      </c>
      <c r="C575" s="12" t="s">
        <v>246</v>
      </c>
      <c r="D575" s="35"/>
      <c r="E575" s="22"/>
      <c r="F575" s="12" t="s">
        <v>2292</v>
      </c>
      <c r="G575" s="12" t="s">
        <v>3592</v>
      </c>
      <c r="H575" s="12" t="s">
        <v>3593</v>
      </c>
      <c r="I575" s="23" t="s">
        <v>3594</v>
      </c>
      <c r="J575" s="12">
        <v>2010.0</v>
      </c>
      <c r="K575" s="23">
        <v>60.0</v>
      </c>
      <c r="L575" s="24">
        <v>1.0</v>
      </c>
      <c r="M575" s="12" t="s">
        <v>340</v>
      </c>
      <c r="N575" s="26" t="str">
        <f t="shared" si="2"/>
        <v>
DAN
m</v>
      </c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0">
        <v>575.0</v>
      </c>
      <c r="B576" s="12" t="s">
        <v>3595</v>
      </c>
      <c r="C576" s="12" t="s">
        <v>246</v>
      </c>
      <c r="D576" s="35"/>
      <c r="E576" s="22"/>
      <c r="F576" s="12" t="s">
        <v>3596</v>
      </c>
      <c r="G576" s="12" t="s">
        <v>3597</v>
      </c>
      <c r="H576" s="12" t="s">
        <v>3598</v>
      </c>
      <c r="I576" s="23" t="s">
        <v>3599</v>
      </c>
      <c r="J576" s="12">
        <v>2009.0</v>
      </c>
      <c r="K576" s="23">
        <v>44.0</v>
      </c>
      <c r="L576" s="24">
        <v>1.0</v>
      </c>
      <c r="M576" s="12" t="s">
        <v>340</v>
      </c>
      <c r="N576" s="26" t="str">
        <f t="shared" si="2"/>
        <v>
TED
s</v>
      </c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0">
        <v>576.0</v>
      </c>
      <c r="B577" s="12" t="s">
        <v>3600</v>
      </c>
      <c r="C577" s="12" t="s">
        <v>246</v>
      </c>
      <c r="D577" s="35"/>
      <c r="E577" s="22"/>
      <c r="F577" s="12" t="s">
        <v>3601</v>
      </c>
      <c r="G577" s="12" t="s">
        <v>3363</v>
      </c>
      <c r="H577" s="12" t="s">
        <v>1636</v>
      </c>
      <c r="I577" s="23" t="s">
        <v>3602</v>
      </c>
      <c r="J577" s="12">
        <v>2010.0</v>
      </c>
      <c r="K577" s="23">
        <v>60.0</v>
      </c>
      <c r="L577" s="24">
        <v>1.0</v>
      </c>
      <c r="M577" s="12" t="s">
        <v>340</v>
      </c>
      <c r="N577" s="26" t="str">
        <f t="shared" si="2"/>
        <v>
AYU
s</v>
      </c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0">
        <v>577.0</v>
      </c>
      <c r="B578" s="12" t="s">
        <v>3603</v>
      </c>
      <c r="C578" s="12" t="s">
        <v>246</v>
      </c>
      <c r="D578" s="35"/>
      <c r="E578" s="22"/>
      <c r="F578" s="12" t="s">
        <v>3604</v>
      </c>
      <c r="G578" s="12" t="s">
        <v>3605</v>
      </c>
      <c r="H578" s="12" t="s">
        <v>3606</v>
      </c>
      <c r="I578" s="23" t="s">
        <v>3607</v>
      </c>
      <c r="J578" s="12">
        <v>2015.0</v>
      </c>
      <c r="K578" s="23">
        <v>56.0</v>
      </c>
      <c r="L578" s="24">
        <v>1.0</v>
      </c>
      <c r="M578" s="12" t="s">
        <v>340</v>
      </c>
      <c r="N578" s="26" t="str">
        <f t="shared" si="2"/>
        <v>
ART
m</v>
      </c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0">
        <v>578.0</v>
      </c>
      <c r="B579" s="12" t="s">
        <v>3608</v>
      </c>
      <c r="C579" s="12" t="s">
        <v>246</v>
      </c>
      <c r="D579" s="35"/>
      <c r="E579" s="22"/>
      <c r="F579" s="12" t="s">
        <v>1930</v>
      </c>
      <c r="G579" s="12" t="s">
        <v>1206</v>
      </c>
      <c r="H579" s="12" t="s">
        <v>2069</v>
      </c>
      <c r="I579" s="23" t="s">
        <v>3609</v>
      </c>
      <c r="J579" s="12">
        <v>2009.0</v>
      </c>
      <c r="K579" s="23">
        <v>52.0</v>
      </c>
      <c r="L579" s="24">
        <v>1.0</v>
      </c>
      <c r="M579" s="12" t="s">
        <v>340</v>
      </c>
      <c r="N579" s="26" t="str">
        <f t="shared" si="2"/>
        <v>
KEY
b</v>
      </c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0">
        <v>579.0</v>
      </c>
      <c r="B580" s="12" t="s">
        <v>3610</v>
      </c>
      <c r="C580" s="12" t="s">
        <v>246</v>
      </c>
      <c r="D580" s="35"/>
      <c r="E580" s="22"/>
      <c r="F580" s="12" t="s">
        <v>2973</v>
      </c>
      <c r="G580" s="12" t="s">
        <v>3611</v>
      </c>
      <c r="H580" s="12" t="s">
        <v>1636</v>
      </c>
      <c r="I580" s="23">
        <v>9.786028608688E12</v>
      </c>
      <c r="J580" s="12">
        <v>2015.0</v>
      </c>
      <c r="K580" s="23">
        <v>60.0</v>
      </c>
      <c r="L580" s="24">
        <v>1.0</v>
      </c>
      <c r="M580" s="12" t="s">
        <v>340</v>
      </c>
      <c r="N580" s="26" t="str">
        <f t="shared" si="2"/>
        <v>
DID
b</v>
      </c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0">
        <v>580.0</v>
      </c>
      <c r="B581" s="12" t="s">
        <v>3612</v>
      </c>
      <c r="C581" s="12" t="s">
        <v>246</v>
      </c>
      <c r="D581" s="23">
        <v>510.0</v>
      </c>
      <c r="E581" s="12" t="s">
        <v>3019</v>
      </c>
      <c r="F581" s="12" t="s">
        <v>3613</v>
      </c>
      <c r="G581" s="12" t="s">
        <v>3614</v>
      </c>
      <c r="H581" s="12" t="s">
        <v>3615</v>
      </c>
      <c r="I581" s="23">
        <v>9.78979149087E12</v>
      </c>
      <c r="J581" s="12">
        <v>2009.0</v>
      </c>
      <c r="K581" s="23" t="s">
        <v>3616</v>
      </c>
      <c r="L581" s="24">
        <v>1.0</v>
      </c>
      <c r="M581" s="25" t="s">
        <v>3617</v>
      </c>
      <c r="N581" s="26" t="str">
        <f t="shared" si="2"/>
        <v>510
MUK
m</v>
      </c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0">
        <v>581.0</v>
      </c>
      <c r="B582" s="12" t="s">
        <v>3618</v>
      </c>
      <c r="C582" s="12" t="s">
        <v>246</v>
      </c>
      <c r="D582" s="50" t="s">
        <v>3619</v>
      </c>
      <c r="E582" s="50" t="s">
        <v>3620</v>
      </c>
      <c r="F582" s="12" t="s">
        <v>3621</v>
      </c>
      <c r="G582" s="12" t="s">
        <v>3622</v>
      </c>
      <c r="H582" s="12" t="s">
        <v>2069</v>
      </c>
      <c r="I582" s="23">
        <v>9.786028148474E12</v>
      </c>
      <c r="J582" s="12">
        <v>2009.0</v>
      </c>
      <c r="K582" s="23">
        <v>52.0</v>
      </c>
      <c r="L582" s="24">
        <v>1.0</v>
      </c>
      <c r="M582" s="25" t="s">
        <v>3623</v>
      </c>
      <c r="N582" s="26" t="str">
        <f t="shared" si="2"/>
        <v>597.8
SUK
b</v>
      </c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0">
        <v>582.0</v>
      </c>
      <c r="B583" s="12" t="s">
        <v>3624</v>
      </c>
      <c r="C583" s="12" t="s">
        <v>246</v>
      </c>
      <c r="D583" s="35"/>
      <c r="E583" s="22"/>
      <c r="F583" s="12" t="s">
        <v>3625</v>
      </c>
      <c r="G583" s="12" t="s">
        <v>233</v>
      </c>
      <c r="H583" s="12" t="s">
        <v>2069</v>
      </c>
      <c r="I583" s="23">
        <v>9.786028148368E12</v>
      </c>
      <c r="J583" s="12">
        <v>2009.0</v>
      </c>
      <c r="K583" s="23">
        <v>52.0</v>
      </c>
      <c r="L583" s="24">
        <v>1.0</v>
      </c>
      <c r="M583" s="12" t="s">
        <v>340</v>
      </c>
      <c r="N583" s="26" t="str">
        <f t="shared" si="2"/>
        <v>
RAS
b</v>
      </c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0">
        <v>583.0</v>
      </c>
      <c r="B584" s="12" t="s">
        <v>3626</v>
      </c>
      <c r="C584" s="12" t="s">
        <v>246</v>
      </c>
      <c r="D584" s="35"/>
      <c r="E584" s="22"/>
      <c r="F584" s="12" t="s">
        <v>3627</v>
      </c>
      <c r="G584" s="12" t="s">
        <v>3558</v>
      </c>
      <c r="H584" s="12" t="s">
        <v>2069</v>
      </c>
      <c r="I584" s="23">
        <v>9.786028148429E12</v>
      </c>
      <c r="J584" s="12">
        <v>2009.0</v>
      </c>
      <c r="K584" s="23">
        <v>52.0</v>
      </c>
      <c r="L584" s="24">
        <v>1.0</v>
      </c>
      <c r="M584" s="12" t="s">
        <v>340</v>
      </c>
      <c r="N584" s="26" t="str">
        <f t="shared" si="2"/>
        <v>
SAT
b</v>
      </c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0">
        <v>584.0</v>
      </c>
      <c r="B585" s="12" t="s">
        <v>3628</v>
      </c>
      <c r="C585" s="12" t="s">
        <v>246</v>
      </c>
      <c r="D585" s="35"/>
      <c r="E585" s="22"/>
      <c r="F585" s="12" t="s">
        <v>3629</v>
      </c>
      <c r="G585" s="12" t="s">
        <v>518</v>
      </c>
      <c r="H585" s="12" t="s">
        <v>3630</v>
      </c>
      <c r="I585" s="23">
        <v>9.789791131476E12</v>
      </c>
      <c r="J585" s="12">
        <v>2007.0</v>
      </c>
      <c r="K585" s="23" t="s">
        <v>3631</v>
      </c>
      <c r="L585" s="24">
        <v>1.0</v>
      </c>
      <c r="M585" s="12" t="s">
        <v>340</v>
      </c>
      <c r="N585" s="26" t="str">
        <f t="shared" si="2"/>
        <v>
WAH
d</v>
      </c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0">
        <v>585.0</v>
      </c>
      <c r="B586" s="12" t="s">
        <v>3632</v>
      </c>
      <c r="C586" s="12" t="s">
        <v>246</v>
      </c>
      <c r="D586" s="23">
        <v>500.0</v>
      </c>
      <c r="E586" s="12" t="s">
        <v>3144</v>
      </c>
      <c r="F586" s="12" t="s">
        <v>3633</v>
      </c>
      <c r="G586" s="12" t="s">
        <v>3634</v>
      </c>
      <c r="H586" s="12" t="s">
        <v>3356</v>
      </c>
      <c r="I586" s="23" t="s">
        <v>3635</v>
      </c>
      <c r="J586" s="12">
        <v>2014.0</v>
      </c>
      <c r="K586" s="23">
        <v>116.0</v>
      </c>
      <c r="L586" s="24">
        <v>2.0</v>
      </c>
      <c r="M586" s="12" t="s">
        <v>340</v>
      </c>
      <c r="N586" s="26" t="str">
        <f t="shared" si="2"/>
        <v>500
CAN
s</v>
      </c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0">
        <v>586.0</v>
      </c>
      <c r="B587" s="12" t="s">
        <v>3636</v>
      </c>
      <c r="C587" s="12" t="s">
        <v>246</v>
      </c>
      <c r="D587" s="23">
        <v>530.0</v>
      </c>
      <c r="E587" s="12" t="s">
        <v>3637</v>
      </c>
      <c r="F587" s="12" t="s">
        <v>3638</v>
      </c>
      <c r="G587" s="12" t="s">
        <v>3639</v>
      </c>
      <c r="H587" s="12" t="s">
        <v>3356</v>
      </c>
      <c r="I587" s="23">
        <v>9.786023168453E12</v>
      </c>
      <c r="J587" s="12">
        <v>2014.0</v>
      </c>
      <c r="K587" s="23">
        <v>131.0</v>
      </c>
      <c r="L587" s="24">
        <v>1.0</v>
      </c>
      <c r="M587" s="25" t="s">
        <v>3640</v>
      </c>
      <c r="N587" s="26" t="str">
        <f t="shared" si="2"/>
        <v>530
BUD
s</v>
      </c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0">
        <v>587.0</v>
      </c>
      <c r="B588" s="12" t="s">
        <v>3641</v>
      </c>
      <c r="C588" s="12" t="s">
        <v>246</v>
      </c>
      <c r="D588" s="35"/>
      <c r="E588" s="22"/>
      <c r="F588" s="12" t="s">
        <v>3515</v>
      </c>
      <c r="G588" s="12" t="s">
        <v>3642</v>
      </c>
      <c r="H588" s="12" t="s">
        <v>3356</v>
      </c>
      <c r="I588" s="23">
        <v>9.786023168491E12</v>
      </c>
      <c r="J588" s="12">
        <v>2014.0</v>
      </c>
      <c r="K588" s="23">
        <v>116.0</v>
      </c>
      <c r="L588" s="24">
        <v>1.0</v>
      </c>
      <c r="M588" s="12" t="s">
        <v>340</v>
      </c>
      <c r="N588" s="26" t="str">
        <f t="shared" si="2"/>
        <v>
DEW
s</v>
      </c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0">
        <v>588.0</v>
      </c>
      <c r="B589" s="12" t="s">
        <v>3643</v>
      </c>
      <c r="C589" s="12" t="s">
        <v>246</v>
      </c>
      <c r="D589" s="23">
        <v>580.0</v>
      </c>
      <c r="E589" s="12" t="s">
        <v>3180</v>
      </c>
      <c r="F589" s="12" t="s">
        <v>3644</v>
      </c>
      <c r="G589" s="12" t="s">
        <v>3645</v>
      </c>
      <c r="H589" s="12" t="s">
        <v>3646</v>
      </c>
      <c r="I589" s="23">
        <v>9.789792697902E12</v>
      </c>
      <c r="J589" s="12">
        <v>2009.0</v>
      </c>
      <c r="K589" s="23">
        <v>60.0</v>
      </c>
      <c r="L589" s="24">
        <v>1.0</v>
      </c>
      <c r="M589" s="25" t="s">
        <v>3647</v>
      </c>
      <c r="N589" s="26" t="str">
        <f t="shared" si="2"/>
        <v>580
MUH
f</v>
      </c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0">
        <v>589.0</v>
      </c>
      <c r="B590" s="12" t="s">
        <v>3648</v>
      </c>
      <c r="C590" s="12" t="s">
        <v>246</v>
      </c>
      <c r="D590" s="23">
        <v>570.0</v>
      </c>
      <c r="E590" s="12" t="s">
        <v>3649</v>
      </c>
      <c r="F590" s="12" t="s">
        <v>3645</v>
      </c>
      <c r="G590" s="12" t="s">
        <v>3650</v>
      </c>
      <c r="H590" s="12" t="s">
        <v>390</v>
      </c>
      <c r="I590" s="23">
        <v>9.786028131063E12</v>
      </c>
      <c r="J590" s="12">
        <v>2016.0</v>
      </c>
      <c r="K590" s="23" t="s">
        <v>3651</v>
      </c>
      <c r="L590" s="24">
        <v>3.0</v>
      </c>
      <c r="M590" s="25" t="s">
        <v>3652</v>
      </c>
      <c r="N590" s="26" t="str">
        <f t="shared" si="2"/>
        <v>570
MUH
m</v>
      </c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0">
        <v>590.0</v>
      </c>
      <c r="B591" s="12" t="s">
        <v>3653</v>
      </c>
      <c r="C591" s="12" t="s">
        <v>246</v>
      </c>
      <c r="D591" s="23">
        <v>570.0</v>
      </c>
      <c r="E591" s="12" t="s">
        <v>3649</v>
      </c>
      <c r="F591" s="12" t="s">
        <v>3654</v>
      </c>
      <c r="G591" s="12" t="s">
        <v>3655</v>
      </c>
      <c r="H591" s="12" t="s">
        <v>2241</v>
      </c>
      <c r="I591" s="23">
        <v>9.786029168655E12</v>
      </c>
      <c r="J591" s="12">
        <v>2017.0</v>
      </c>
      <c r="K591" s="23" t="s">
        <v>3656</v>
      </c>
      <c r="L591" s="24">
        <v>2.0</v>
      </c>
      <c r="M591" s="25" t="s">
        <v>3657</v>
      </c>
      <c r="N591" s="26" t="str">
        <f t="shared" si="2"/>
        <v>570
NAE
m</v>
      </c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0">
        <v>591.0</v>
      </c>
      <c r="B592" s="12" t="s">
        <v>3658</v>
      </c>
      <c r="C592" s="12" t="s">
        <v>246</v>
      </c>
      <c r="D592" s="23" t="s">
        <v>3262</v>
      </c>
      <c r="E592" s="22" t="s">
        <v>3019</v>
      </c>
      <c r="F592" s="12" t="s">
        <v>3659</v>
      </c>
      <c r="G592" s="12" t="s">
        <v>3660</v>
      </c>
      <c r="H592" s="12" t="s">
        <v>3483</v>
      </c>
      <c r="I592" s="23">
        <v>9.789791490863E12</v>
      </c>
      <c r="J592" s="12">
        <v>2017.0</v>
      </c>
      <c r="K592" s="23" t="s">
        <v>3661</v>
      </c>
      <c r="L592" s="24">
        <v>3.0</v>
      </c>
      <c r="M592" s="25" t="s">
        <v>3662</v>
      </c>
      <c r="N592" s="26" t="str">
        <f t="shared" si="2"/>
        <v>510
RIN
m</v>
      </c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0">
        <v>592.0</v>
      </c>
      <c r="B593" s="12" t="s">
        <v>3663</v>
      </c>
      <c r="C593" s="12" t="s">
        <v>246</v>
      </c>
      <c r="D593" s="23">
        <v>590.0</v>
      </c>
      <c r="E593" s="12" t="s">
        <v>3403</v>
      </c>
      <c r="F593" s="12" t="s">
        <v>3664</v>
      </c>
      <c r="G593" s="22"/>
      <c r="H593" s="12" t="s">
        <v>2260</v>
      </c>
      <c r="I593" s="23">
        <v>9.789791013352E12</v>
      </c>
      <c r="J593" s="12">
        <v>2018.0</v>
      </c>
      <c r="K593" s="23" t="s">
        <v>3665</v>
      </c>
      <c r="L593" s="24">
        <v>4.0</v>
      </c>
      <c r="M593" s="25" t="s">
        <v>3666</v>
      </c>
      <c r="N593" s="26" t="str">
        <f t="shared" si="2"/>
        <v>590
ANA
e</v>
      </c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0">
        <v>593.0</v>
      </c>
      <c r="B594" s="12" t="s">
        <v>3667</v>
      </c>
      <c r="C594" s="12" t="s">
        <v>246</v>
      </c>
      <c r="D594" s="23">
        <v>550.0</v>
      </c>
      <c r="E594" s="12" t="s">
        <v>3668</v>
      </c>
      <c r="F594" s="12" t="s">
        <v>3669</v>
      </c>
      <c r="G594" s="12" t="s">
        <v>2414</v>
      </c>
      <c r="H594" s="12" t="s">
        <v>3670</v>
      </c>
      <c r="I594" s="23">
        <v>9.78602826246E12</v>
      </c>
      <c r="J594" s="12">
        <v>2014.0</v>
      </c>
      <c r="K594" s="23" t="s">
        <v>3671</v>
      </c>
      <c r="L594" s="24">
        <v>1.0</v>
      </c>
      <c r="M594" s="25" t="s">
        <v>3672</v>
      </c>
      <c r="N594" s="26" t="str">
        <f t="shared" si="2"/>
        <v>550
SRI
m</v>
      </c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0">
        <v>594.0</v>
      </c>
      <c r="B595" s="12" t="s">
        <v>3673</v>
      </c>
      <c r="C595" s="12" t="s">
        <v>246</v>
      </c>
      <c r="D595" s="23">
        <v>510.0</v>
      </c>
      <c r="E595" s="12" t="s">
        <v>3019</v>
      </c>
      <c r="F595" s="12" t="s">
        <v>3482</v>
      </c>
      <c r="G595" s="12" t="s">
        <v>3674</v>
      </c>
      <c r="H595" s="12" t="s">
        <v>3675</v>
      </c>
      <c r="I595" s="23">
        <v>9.789799926388E12</v>
      </c>
      <c r="J595" s="12">
        <v>2017.0</v>
      </c>
      <c r="K595" s="23" t="s">
        <v>3676</v>
      </c>
      <c r="L595" s="24">
        <v>4.0</v>
      </c>
      <c r="M595" s="25" t="s">
        <v>3677</v>
      </c>
      <c r="N595" s="26" t="str">
        <f t="shared" si="2"/>
        <v>510
RET
j</v>
      </c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0">
        <v>595.0</v>
      </c>
      <c r="B596" s="12" t="s">
        <v>3678</v>
      </c>
      <c r="C596" s="12" t="s">
        <v>246</v>
      </c>
      <c r="D596" s="23">
        <v>590.0</v>
      </c>
      <c r="E596" s="12" t="s">
        <v>3679</v>
      </c>
      <c r="F596" s="12" t="s">
        <v>3680</v>
      </c>
      <c r="G596" s="12" t="s">
        <v>3681</v>
      </c>
      <c r="H596" s="12" t="s">
        <v>3682</v>
      </c>
      <c r="I596" s="23">
        <v>9.789793711355E12</v>
      </c>
      <c r="J596" s="12">
        <v>2007.0</v>
      </c>
      <c r="K596" s="23">
        <v>74.0</v>
      </c>
      <c r="L596" s="24">
        <v>4.0</v>
      </c>
      <c r="M596" s="25" t="s">
        <v>3683</v>
      </c>
      <c r="N596" s="26" t="str">
        <f t="shared" si="2"/>
        <v>590
DAD
m</v>
      </c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0">
        <v>596.0</v>
      </c>
      <c r="B597" s="12" t="s">
        <v>3684</v>
      </c>
      <c r="C597" s="12" t="s">
        <v>246</v>
      </c>
      <c r="D597" s="23" t="s">
        <v>3685</v>
      </c>
      <c r="E597" s="12" t="s">
        <v>3686</v>
      </c>
      <c r="F597" s="12" t="s">
        <v>3687</v>
      </c>
      <c r="G597" s="12" t="s">
        <v>3688</v>
      </c>
      <c r="H597" s="12" t="s">
        <v>2156</v>
      </c>
      <c r="I597" s="23">
        <v>9.789799148766E12</v>
      </c>
      <c r="J597" s="12">
        <v>2007.0</v>
      </c>
      <c r="K597" s="23">
        <v>50.0</v>
      </c>
      <c r="L597" s="24">
        <v>4.0</v>
      </c>
      <c r="M597" s="25" t="s">
        <v>3689</v>
      </c>
      <c r="N597" s="26" t="str">
        <f t="shared" si="2"/>
        <v>578.7
TOT
m</v>
      </c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0">
        <v>597.0</v>
      </c>
      <c r="B598" s="12" t="s">
        <v>3690</v>
      </c>
      <c r="C598" s="12" t="s">
        <v>246</v>
      </c>
      <c r="D598" s="23">
        <v>590.0</v>
      </c>
      <c r="E598" s="12" t="s">
        <v>3272</v>
      </c>
      <c r="F598" s="12" t="s">
        <v>3691</v>
      </c>
      <c r="G598" s="12" t="s">
        <v>3681</v>
      </c>
      <c r="H598" s="12" t="s">
        <v>3682</v>
      </c>
      <c r="I598" s="23">
        <v>9.789793711409E12</v>
      </c>
      <c r="J598" s="12">
        <v>2007.0</v>
      </c>
      <c r="K598" s="23">
        <v>84.0</v>
      </c>
      <c r="L598" s="24">
        <v>4.0</v>
      </c>
      <c r="M598" s="25" t="s">
        <v>3692</v>
      </c>
      <c r="N598" s="26" t="str">
        <f t="shared" si="2"/>
        <v>590
DAD
m</v>
      </c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0">
        <v>598.0</v>
      </c>
      <c r="B599" s="12" t="s">
        <v>3693</v>
      </c>
      <c r="C599" s="12" t="s">
        <v>246</v>
      </c>
      <c r="D599" s="23">
        <v>510.0</v>
      </c>
      <c r="E599" s="12" t="s">
        <v>3019</v>
      </c>
      <c r="F599" s="12" t="s">
        <v>3694</v>
      </c>
      <c r="G599" s="12" t="s">
        <v>1771</v>
      </c>
      <c r="H599" s="12" t="s">
        <v>206</v>
      </c>
      <c r="I599" s="23">
        <v>9.786028123013E12</v>
      </c>
      <c r="J599" s="12">
        <v>2008.0</v>
      </c>
      <c r="K599" s="23" t="s">
        <v>3695</v>
      </c>
      <c r="L599" s="24">
        <v>3.0</v>
      </c>
      <c r="M599" s="25" t="s">
        <v>3696</v>
      </c>
      <c r="N599" s="26" t="str">
        <f t="shared" si="2"/>
        <v>510
JAN
r</v>
      </c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0">
        <v>599.0</v>
      </c>
      <c r="B600" s="12" t="s">
        <v>3697</v>
      </c>
      <c r="C600" s="12" t="s">
        <v>246</v>
      </c>
      <c r="D600" s="23">
        <v>510.0</v>
      </c>
      <c r="E600" s="12" t="s">
        <v>3019</v>
      </c>
      <c r="F600" s="12" t="s">
        <v>3694</v>
      </c>
      <c r="G600" s="12" t="s">
        <v>1771</v>
      </c>
      <c r="H600" s="12" t="s">
        <v>206</v>
      </c>
      <c r="I600" s="23">
        <v>9.786028123419E12</v>
      </c>
      <c r="J600" s="12">
        <v>2014.0</v>
      </c>
      <c r="K600" s="23">
        <v>68.0</v>
      </c>
      <c r="L600" s="24">
        <v>4.0</v>
      </c>
      <c r="M600" s="25" t="s">
        <v>3698</v>
      </c>
      <c r="N600" s="26" t="str">
        <f t="shared" si="2"/>
        <v>510
JAN
m</v>
      </c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0">
        <v>600.0</v>
      </c>
      <c r="B601" s="12" t="s">
        <v>3699</v>
      </c>
      <c r="C601" s="12" t="s">
        <v>246</v>
      </c>
      <c r="D601" s="23">
        <v>510.0</v>
      </c>
      <c r="E601" s="12" t="s">
        <v>3019</v>
      </c>
      <c r="F601" s="12" t="s">
        <v>3700</v>
      </c>
      <c r="G601" s="12" t="s">
        <v>3701</v>
      </c>
      <c r="H601" s="12" t="s">
        <v>807</v>
      </c>
      <c r="I601" s="23">
        <v>9.786028922517E12</v>
      </c>
      <c r="J601" s="12">
        <v>2015.0</v>
      </c>
      <c r="K601" s="23" t="s">
        <v>3702</v>
      </c>
      <c r="L601" s="24">
        <v>2.0</v>
      </c>
      <c r="M601" s="25" t="s">
        <v>3703</v>
      </c>
      <c r="N601" s="26" t="str">
        <f t="shared" si="2"/>
        <v>510
IDE
m</v>
      </c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0">
        <v>601.0</v>
      </c>
      <c r="B602" s="12" t="s">
        <v>3704</v>
      </c>
      <c r="C602" s="12" t="s">
        <v>246</v>
      </c>
      <c r="D602" s="23" t="s">
        <v>3705</v>
      </c>
      <c r="E602" s="12" t="s">
        <v>3706</v>
      </c>
      <c r="F602" s="12" t="s">
        <v>3707</v>
      </c>
      <c r="G602" s="22"/>
      <c r="H602" s="12" t="s">
        <v>2587</v>
      </c>
      <c r="I602" s="23">
        <v>9.789799513892E12</v>
      </c>
      <c r="J602" s="12">
        <v>2017.0</v>
      </c>
      <c r="K602" s="23">
        <v>56.0</v>
      </c>
      <c r="L602" s="24">
        <v>7.0</v>
      </c>
      <c r="M602" s="25" t="s">
        <v>3708</v>
      </c>
      <c r="N602" s="26" t="str">
        <f t="shared" si="2"/>
        <v>580
VEL
p</v>
      </c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0">
        <v>602.0</v>
      </c>
      <c r="B603" s="12" t="s">
        <v>3709</v>
      </c>
      <c r="C603" s="12" t="s">
        <v>246</v>
      </c>
      <c r="D603" s="23" t="s">
        <v>3271</v>
      </c>
      <c r="E603" s="12" t="s">
        <v>3272</v>
      </c>
      <c r="F603" s="12" t="s">
        <v>3710</v>
      </c>
      <c r="G603" s="12" t="s">
        <v>2586</v>
      </c>
      <c r="H603" s="12" t="s">
        <v>2587</v>
      </c>
      <c r="I603" s="23">
        <v>9.78602898203E12</v>
      </c>
      <c r="J603" s="12">
        <v>2010.0</v>
      </c>
      <c r="K603" s="23" t="s">
        <v>2588</v>
      </c>
      <c r="L603" s="24">
        <v>4.0</v>
      </c>
      <c r="M603" s="25" t="s">
        <v>3711</v>
      </c>
      <c r="N603" s="26" t="str">
        <f t="shared" si="2"/>
        <v>590
VEL
p</v>
      </c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0">
        <v>603.0</v>
      </c>
      <c r="B604" s="12" t="s">
        <v>3712</v>
      </c>
      <c r="C604" s="12" t="s">
        <v>246</v>
      </c>
      <c r="D604" s="23" t="s">
        <v>3705</v>
      </c>
      <c r="E604" s="12" t="s">
        <v>3706</v>
      </c>
      <c r="F604" s="12" t="s">
        <v>3707</v>
      </c>
      <c r="G604" s="12" t="s">
        <v>2586</v>
      </c>
      <c r="H604" s="12" t="s">
        <v>2587</v>
      </c>
      <c r="I604" s="23">
        <v>9.786028982016E12</v>
      </c>
      <c r="J604" s="12">
        <v>2015.0</v>
      </c>
      <c r="K604" s="23" t="s">
        <v>2592</v>
      </c>
      <c r="L604" s="24">
        <v>1.0</v>
      </c>
      <c r="M604" s="25" t="s">
        <v>3713</v>
      </c>
      <c r="N604" s="26" t="str">
        <f t="shared" si="2"/>
        <v>580
VEL
p</v>
      </c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0">
        <v>604.0</v>
      </c>
      <c r="B605" s="12" t="s">
        <v>3714</v>
      </c>
      <c r="C605" s="12" t="s">
        <v>246</v>
      </c>
      <c r="D605" s="23" t="s">
        <v>3271</v>
      </c>
      <c r="E605" s="12" t="s">
        <v>3272</v>
      </c>
      <c r="F605" s="12" t="s">
        <v>3710</v>
      </c>
      <c r="G605" s="12" t="s">
        <v>2586</v>
      </c>
      <c r="H605" s="12" t="s">
        <v>2587</v>
      </c>
      <c r="I605" s="23">
        <v>9.786028982023E12</v>
      </c>
      <c r="J605" s="12">
        <v>2015.0</v>
      </c>
      <c r="K605" s="23" t="s">
        <v>2592</v>
      </c>
      <c r="L605" s="24">
        <v>3.0</v>
      </c>
      <c r="M605" s="25" t="s">
        <v>3715</v>
      </c>
      <c r="N605" s="26" t="str">
        <f t="shared" si="2"/>
        <v>590
VEL
p</v>
      </c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0">
        <v>605.0</v>
      </c>
      <c r="B606" s="12" t="s">
        <v>3716</v>
      </c>
      <c r="C606" s="12" t="s">
        <v>246</v>
      </c>
      <c r="D606" s="23">
        <v>590.0</v>
      </c>
      <c r="E606" s="12" t="s">
        <v>3403</v>
      </c>
      <c r="F606" s="12" t="s">
        <v>3717</v>
      </c>
      <c r="G606" s="12" t="s">
        <v>2586</v>
      </c>
      <c r="H606" s="12" t="s">
        <v>2587</v>
      </c>
      <c r="I606" s="23">
        <v>9.786028982047E12</v>
      </c>
      <c r="J606" s="12">
        <v>2015.0</v>
      </c>
      <c r="K606" s="23" t="s">
        <v>2592</v>
      </c>
      <c r="L606" s="24">
        <v>3.0</v>
      </c>
      <c r="M606" s="25" t="s">
        <v>3718</v>
      </c>
      <c r="N606" s="26" t="str">
        <f t="shared" si="2"/>
        <v>590
VEL
p</v>
      </c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0">
        <v>606.0</v>
      </c>
      <c r="B607" s="12" t="s">
        <v>3719</v>
      </c>
      <c r="C607" s="12" t="s">
        <v>246</v>
      </c>
      <c r="D607" s="23" t="s">
        <v>3262</v>
      </c>
      <c r="E607" s="12" t="s">
        <v>3019</v>
      </c>
      <c r="F607" s="12" t="s">
        <v>3720</v>
      </c>
      <c r="G607" s="12" t="s">
        <v>3721</v>
      </c>
      <c r="H607" s="12" t="s">
        <v>807</v>
      </c>
      <c r="I607" s="23">
        <v>9.786028922319E12</v>
      </c>
      <c r="J607" s="12">
        <v>2015.0</v>
      </c>
      <c r="K607" s="23" t="s">
        <v>3722</v>
      </c>
      <c r="L607" s="24">
        <v>2.0</v>
      </c>
      <c r="M607" s="25" t="s">
        <v>3723</v>
      </c>
      <c r="N607" s="26" t="str">
        <f t="shared" si="2"/>
        <v>510
IIS
r</v>
      </c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0">
        <v>607.0</v>
      </c>
      <c r="B608" s="12" t="s">
        <v>3724</v>
      </c>
      <c r="C608" s="12" t="s">
        <v>246</v>
      </c>
      <c r="D608" s="23" t="s">
        <v>3705</v>
      </c>
      <c r="E608" s="12" t="s">
        <v>3706</v>
      </c>
      <c r="F608" s="12" t="s">
        <v>3725</v>
      </c>
      <c r="G608" s="12" t="s">
        <v>3726</v>
      </c>
      <c r="H608" s="12" t="s">
        <v>2587</v>
      </c>
      <c r="I608" s="23">
        <v>9.786028982009E12</v>
      </c>
      <c r="J608" s="12">
        <v>2017.0</v>
      </c>
      <c r="K608" s="23" t="s">
        <v>2592</v>
      </c>
      <c r="L608" s="24">
        <v>1.0</v>
      </c>
      <c r="M608" s="12" t="s">
        <v>340</v>
      </c>
      <c r="N608" s="26" t="str">
        <f t="shared" si="2"/>
        <v>580
Drs
p</v>
      </c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0">
        <v>608.0</v>
      </c>
      <c r="B609" s="12" t="s">
        <v>3727</v>
      </c>
      <c r="C609" s="12" t="s">
        <v>262</v>
      </c>
      <c r="D609" s="23" t="s">
        <v>3728</v>
      </c>
      <c r="E609" s="12" t="s">
        <v>3729</v>
      </c>
      <c r="F609" s="12" t="s">
        <v>3730</v>
      </c>
      <c r="G609" s="12" t="s">
        <v>3731</v>
      </c>
      <c r="H609" s="12" t="s">
        <v>3732</v>
      </c>
      <c r="I609" s="23">
        <v>9.789796656516E12</v>
      </c>
      <c r="J609" s="12">
        <v>2014.0</v>
      </c>
      <c r="K609" s="23" t="s">
        <v>3733</v>
      </c>
      <c r="L609" s="24">
        <v>3.0</v>
      </c>
      <c r="M609" s="25" t="s">
        <v>3734</v>
      </c>
      <c r="N609" s="26" t="str">
        <f t="shared" si="2"/>
        <v>930.1
BAD
m</v>
      </c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0">
        <v>609.0</v>
      </c>
      <c r="B610" s="12" t="s">
        <v>3735</v>
      </c>
      <c r="C610" s="12" t="s">
        <v>246</v>
      </c>
      <c r="D610" s="23">
        <v>510.0</v>
      </c>
      <c r="E610" s="12" t="s">
        <v>3019</v>
      </c>
      <c r="F610" s="12" t="s">
        <v>3736</v>
      </c>
      <c r="G610" s="12" t="s">
        <v>3737</v>
      </c>
      <c r="H610" s="12" t="s">
        <v>807</v>
      </c>
      <c r="I610" s="23">
        <v>9.786028922289E12</v>
      </c>
      <c r="J610" s="12">
        <v>2015.0</v>
      </c>
      <c r="K610" s="23" t="s">
        <v>808</v>
      </c>
      <c r="L610" s="24">
        <v>3.0</v>
      </c>
      <c r="M610" s="25" t="s">
        <v>3738</v>
      </c>
      <c r="N610" s="26" t="str">
        <f t="shared" si="2"/>
        <v>510
HAR
2</v>
      </c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0">
        <v>610.0</v>
      </c>
      <c r="B611" s="12" t="s">
        <v>3739</v>
      </c>
      <c r="C611" s="12" t="s">
        <v>246</v>
      </c>
      <c r="D611" s="23" t="s">
        <v>3581</v>
      </c>
      <c r="E611" s="12" t="s">
        <v>3740</v>
      </c>
      <c r="F611" s="12" t="s">
        <v>3741</v>
      </c>
      <c r="G611" s="12" t="s">
        <v>3742</v>
      </c>
      <c r="H611" s="12" t="s">
        <v>1466</v>
      </c>
      <c r="I611" s="23">
        <v>9.789797585273E12</v>
      </c>
      <c r="J611" s="12">
        <v>2007.0</v>
      </c>
      <c r="K611" s="23">
        <v>64.0</v>
      </c>
      <c r="L611" s="24">
        <v>1.0</v>
      </c>
      <c r="M611" s="25" t="s">
        <v>3743</v>
      </c>
      <c r="N611" s="26" t="str">
        <f t="shared" si="2"/>
        <v>551.46
MAR
l</v>
      </c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0">
        <v>611.0</v>
      </c>
      <c r="B612" s="12" t="s">
        <v>3744</v>
      </c>
      <c r="C612" s="12" t="s">
        <v>249</v>
      </c>
      <c r="D612" s="47">
        <v>615952.0</v>
      </c>
      <c r="E612" s="12" t="s">
        <v>3745</v>
      </c>
      <c r="F612" s="12" t="s">
        <v>3011</v>
      </c>
      <c r="G612" s="12" t="s">
        <v>3012</v>
      </c>
      <c r="H612" s="12" t="s">
        <v>57</v>
      </c>
      <c r="I612" s="23">
        <v>9.789794657232E12</v>
      </c>
      <c r="J612" s="12">
        <v>2010.0</v>
      </c>
      <c r="K612" s="23">
        <v>90.0</v>
      </c>
      <c r="L612" s="24">
        <v>2.0</v>
      </c>
      <c r="M612" s="12" t="s">
        <v>340</v>
      </c>
      <c r="N612" s="26" t="str">
        <f t="shared" si="2"/>
        <v>615952
ASE
z</v>
      </c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0">
        <v>612.0</v>
      </c>
      <c r="B613" s="12" t="s">
        <v>3746</v>
      </c>
      <c r="C613" s="12" t="s">
        <v>262</v>
      </c>
      <c r="D613" s="23">
        <v>920.0</v>
      </c>
      <c r="E613" s="12" t="s">
        <v>3747</v>
      </c>
      <c r="F613" s="12" t="s">
        <v>2969</v>
      </c>
      <c r="G613" s="12"/>
      <c r="H613" s="12" t="s">
        <v>2420</v>
      </c>
      <c r="I613" s="23" t="s">
        <v>3748</v>
      </c>
      <c r="J613" s="12">
        <v>2018.0</v>
      </c>
      <c r="K613" s="23">
        <v>48.0</v>
      </c>
      <c r="L613" s="24">
        <v>1.0</v>
      </c>
      <c r="M613" s="25" t="s">
        <v>3749</v>
      </c>
      <c r="N613" s="26" t="str">
        <f t="shared" si="2"/>
        <v>920
BUD
s</v>
      </c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0">
        <v>613.0</v>
      </c>
      <c r="B614" s="12" t="s">
        <v>3750</v>
      </c>
      <c r="C614" s="12" t="s">
        <v>246</v>
      </c>
      <c r="D614" s="35"/>
      <c r="E614" s="22"/>
      <c r="F614" s="12" t="s">
        <v>3011</v>
      </c>
      <c r="G614" s="12" t="s">
        <v>3012</v>
      </c>
      <c r="H614" s="12" t="s">
        <v>57</v>
      </c>
      <c r="I614" s="23">
        <v>9.789794657164E12</v>
      </c>
      <c r="J614" s="12">
        <v>2010.0</v>
      </c>
      <c r="K614" s="23">
        <v>88.0</v>
      </c>
      <c r="L614" s="24">
        <v>2.0</v>
      </c>
      <c r="M614" s="12" t="s">
        <v>340</v>
      </c>
      <c r="N614" s="26" t="str">
        <f t="shared" si="2"/>
        <v>
ASE
m</v>
      </c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0">
        <v>614.0</v>
      </c>
      <c r="B615" s="12" t="s">
        <v>3018</v>
      </c>
      <c r="C615" s="12" t="s">
        <v>246</v>
      </c>
      <c r="D615" s="35"/>
      <c r="E615" s="22"/>
      <c r="F615" s="12" t="s">
        <v>3025</v>
      </c>
      <c r="G615" s="12" t="s">
        <v>3021</v>
      </c>
      <c r="H615" s="12" t="s">
        <v>57</v>
      </c>
      <c r="I615" s="23">
        <v>9.789794656587E12</v>
      </c>
      <c r="J615" s="12">
        <v>2010.0</v>
      </c>
      <c r="K615" s="23">
        <v>52.0</v>
      </c>
      <c r="L615" s="24">
        <v>2.0</v>
      </c>
      <c r="M615" s="12" t="s">
        <v>340</v>
      </c>
      <c r="N615" s="26" t="str">
        <f t="shared" si="2"/>
        <v>
PRO
m</v>
      </c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0">
        <v>615.0</v>
      </c>
      <c r="B616" s="12" t="s">
        <v>3751</v>
      </c>
      <c r="C616" s="12" t="s">
        <v>226</v>
      </c>
      <c r="D616" s="23" t="s">
        <v>3752</v>
      </c>
      <c r="E616" s="12" t="s">
        <v>1436</v>
      </c>
      <c r="F616" s="12" t="s">
        <v>3753</v>
      </c>
      <c r="G616" s="12"/>
      <c r="H616" s="12" t="s">
        <v>3754</v>
      </c>
      <c r="I616" s="23" t="s">
        <v>3755</v>
      </c>
      <c r="J616" s="12">
        <v>2005.0</v>
      </c>
      <c r="K616" s="23" t="s">
        <v>3756</v>
      </c>
      <c r="L616" s="24">
        <v>1.0</v>
      </c>
      <c r="M616" s="25" t="s">
        <v>3757</v>
      </c>
      <c r="N616" s="26" t="str">
        <f t="shared" si="2"/>
        <v>297.09
AHM
i</v>
      </c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0">
        <v>616.0</v>
      </c>
      <c r="B617" s="12" t="s">
        <v>3027</v>
      </c>
      <c r="C617" s="12" t="s">
        <v>246</v>
      </c>
      <c r="D617" s="35"/>
      <c r="E617" s="22"/>
      <c r="F617" s="12" t="s">
        <v>3025</v>
      </c>
      <c r="G617" s="12" t="s">
        <v>3021</v>
      </c>
      <c r="H617" s="12" t="s">
        <v>57</v>
      </c>
      <c r="I617" s="23">
        <v>9.789794656563E12</v>
      </c>
      <c r="J617" s="12">
        <v>2011.0</v>
      </c>
      <c r="K617" s="23">
        <v>92.0</v>
      </c>
      <c r="L617" s="24">
        <v>2.0</v>
      </c>
      <c r="M617" s="12" t="s">
        <v>340</v>
      </c>
      <c r="N617" s="26" t="str">
        <f t="shared" si="2"/>
        <v>
PRO
m</v>
      </c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0">
        <v>617.0</v>
      </c>
      <c r="B618" s="12" t="s">
        <v>3031</v>
      </c>
      <c r="C618" s="12" t="s">
        <v>246</v>
      </c>
      <c r="D618" s="35"/>
      <c r="E618" s="22"/>
      <c r="F618" s="12" t="s">
        <v>3034</v>
      </c>
      <c r="G618" s="22"/>
      <c r="H618" s="12" t="s">
        <v>57</v>
      </c>
      <c r="I618" s="23">
        <v>9.789794655276E12</v>
      </c>
      <c r="J618" s="12">
        <v>2011.0</v>
      </c>
      <c r="K618" s="23">
        <v>52.0</v>
      </c>
      <c r="L618" s="24">
        <v>2.0</v>
      </c>
      <c r="M618" s="12" t="s">
        <v>340</v>
      </c>
      <c r="N618" s="26" t="str">
        <f t="shared" si="2"/>
        <v>
E. 
m</v>
      </c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0">
        <v>618.0</v>
      </c>
      <c r="B619" s="12" t="s">
        <v>3758</v>
      </c>
      <c r="C619" s="12" t="s">
        <v>246</v>
      </c>
      <c r="D619" s="23" t="s">
        <v>3759</v>
      </c>
      <c r="E619" s="12" t="s">
        <v>3760</v>
      </c>
      <c r="F619" s="12" t="s">
        <v>3664</v>
      </c>
      <c r="G619" s="22"/>
      <c r="H619" s="12" t="s">
        <v>3761</v>
      </c>
      <c r="I619" s="23">
        <v>5.028333033E9</v>
      </c>
      <c r="J619" s="12">
        <v>2015.0</v>
      </c>
      <c r="K619" s="23">
        <v>60.0</v>
      </c>
      <c r="L619" s="24">
        <v>4.0</v>
      </c>
      <c r="M619" s="25" t="s">
        <v>3762</v>
      </c>
      <c r="N619" s="26" t="str">
        <f t="shared" si="2"/>
        <v>551.3
ANA
t</v>
      </c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0">
        <v>619.0</v>
      </c>
      <c r="B620" s="12" t="s">
        <v>3763</v>
      </c>
      <c r="C620" s="12" t="s">
        <v>246</v>
      </c>
      <c r="D620" s="23">
        <v>574.0</v>
      </c>
      <c r="E620" s="12" t="s">
        <v>3764</v>
      </c>
      <c r="F620" s="12" t="s">
        <v>3765</v>
      </c>
      <c r="G620" s="12" t="s">
        <v>2325</v>
      </c>
      <c r="H620" s="12" t="s">
        <v>362</v>
      </c>
      <c r="I620" s="23">
        <v>9.786021388075E12</v>
      </c>
      <c r="J620" s="12">
        <v>2014.0</v>
      </c>
      <c r="K620" s="23">
        <v>57.0</v>
      </c>
      <c r="L620" s="24">
        <v>2.0</v>
      </c>
      <c r="M620" s="25" t="s">
        <v>3766</v>
      </c>
      <c r="N620" s="26" t="str">
        <f t="shared" si="2"/>
        <v>574
AAT
m</v>
      </c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0">
        <v>620.0</v>
      </c>
      <c r="B621" s="12" t="s">
        <v>3767</v>
      </c>
      <c r="C621" s="12" t="s">
        <v>246</v>
      </c>
      <c r="D621" s="23">
        <v>510.0</v>
      </c>
      <c r="E621" s="12" t="s">
        <v>3019</v>
      </c>
      <c r="F621" s="12" t="s">
        <v>3349</v>
      </c>
      <c r="G621" s="12" t="s">
        <v>3350</v>
      </c>
      <c r="H621" s="12" t="s">
        <v>3374</v>
      </c>
      <c r="I621" s="23">
        <v>9.786021962541E12</v>
      </c>
      <c r="J621" s="12">
        <v>2011.0</v>
      </c>
      <c r="K621" s="23" t="s">
        <v>3768</v>
      </c>
      <c r="L621" s="24">
        <v>1.0</v>
      </c>
      <c r="M621" s="25" t="s">
        <v>3769</v>
      </c>
      <c r="N621" s="26" t="str">
        <f t="shared" si="2"/>
        <v>510
ALF
p</v>
      </c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0">
        <v>621.0</v>
      </c>
      <c r="B622" s="12" t="s">
        <v>3770</v>
      </c>
      <c r="C622" s="12" t="s">
        <v>246</v>
      </c>
      <c r="D622" s="23">
        <v>510.0</v>
      </c>
      <c r="E622" s="12" t="s">
        <v>3019</v>
      </c>
      <c r="F622" s="12" t="s">
        <v>3771</v>
      </c>
      <c r="G622" s="22"/>
      <c r="H622" s="12" t="s">
        <v>3131</v>
      </c>
      <c r="I622" s="23">
        <v>9.789793077314E12</v>
      </c>
      <c r="J622" s="12">
        <v>2008.0</v>
      </c>
      <c r="K622" s="23" t="s">
        <v>3772</v>
      </c>
      <c r="L622" s="24">
        <v>4.0</v>
      </c>
      <c r="M622" s="25" t="s">
        <v>3773</v>
      </c>
      <c r="N622" s="26" t="str">
        <f t="shared" si="2"/>
        <v>510
WAH
r</v>
      </c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0">
        <v>622.0</v>
      </c>
      <c r="B623" s="12" t="s">
        <v>3774</v>
      </c>
      <c r="C623" s="12" t="s">
        <v>246</v>
      </c>
      <c r="D623" s="35"/>
      <c r="E623" s="22"/>
      <c r="F623" s="12" t="s">
        <v>3775</v>
      </c>
      <c r="G623" s="22"/>
      <c r="H623" s="12" t="s">
        <v>3131</v>
      </c>
      <c r="I623" s="23">
        <v>9.789793077284E12</v>
      </c>
      <c r="J623" s="12">
        <v>2008.0</v>
      </c>
      <c r="K623" s="23" t="s">
        <v>3776</v>
      </c>
      <c r="L623" s="24">
        <v>4.0</v>
      </c>
      <c r="M623" s="12" t="s">
        <v>340</v>
      </c>
      <c r="N623" s="26" t="str">
        <f t="shared" si="2"/>
        <v>
DR.
r</v>
      </c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0">
        <v>623.0</v>
      </c>
      <c r="B624" s="12" t="s">
        <v>3777</v>
      </c>
      <c r="C624" s="12" t="s">
        <v>246</v>
      </c>
      <c r="D624" s="23">
        <v>531.0</v>
      </c>
      <c r="E624" s="12" t="s">
        <v>3778</v>
      </c>
      <c r="F624" s="12" t="s">
        <v>3779</v>
      </c>
      <c r="G624" s="12" t="s">
        <v>3780</v>
      </c>
      <c r="H624" s="12" t="s">
        <v>3781</v>
      </c>
      <c r="I624" s="23" t="s">
        <v>3782</v>
      </c>
      <c r="J624" s="12">
        <v>2007.0</v>
      </c>
      <c r="K624" s="23">
        <v>117.0</v>
      </c>
      <c r="L624" s="24">
        <v>1.0</v>
      </c>
      <c r="M624" s="25" t="s">
        <v>3783</v>
      </c>
      <c r="N624" s="26" t="str">
        <f t="shared" si="2"/>
        <v>531
Drs
s</v>
      </c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0">
        <v>624.0</v>
      </c>
      <c r="B625" s="12" t="s">
        <v>3784</v>
      </c>
      <c r="C625" s="12" t="s">
        <v>246</v>
      </c>
      <c r="D625" s="23">
        <v>530.0</v>
      </c>
      <c r="E625" s="12" t="s">
        <v>3144</v>
      </c>
      <c r="F625" s="12" t="s">
        <v>3785</v>
      </c>
      <c r="G625" s="12" t="s">
        <v>3786</v>
      </c>
      <c r="H625" s="12" t="s">
        <v>3781</v>
      </c>
      <c r="I625" s="23">
        <v>9.791192146E9</v>
      </c>
      <c r="J625" s="12">
        <v>2007.0</v>
      </c>
      <c r="K625" s="23">
        <v>93.0</v>
      </c>
      <c r="L625" s="24">
        <v>7.0</v>
      </c>
      <c r="M625" s="25" t="s">
        <v>3787</v>
      </c>
      <c r="N625" s="26" t="str">
        <f t="shared" si="2"/>
        <v>530
SUH
s</v>
      </c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0">
        <v>625.0</v>
      </c>
      <c r="B626" s="12" t="s">
        <v>3788</v>
      </c>
      <c r="C626" s="12" t="s">
        <v>246</v>
      </c>
      <c r="D626" s="23">
        <v>531.0</v>
      </c>
      <c r="E626" s="12" t="s">
        <v>3789</v>
      </c>
      <c r="F626" s="12" t="s">
        <v>3790</v>
      </c>
      <c r="G626" s="12" t="s">
        <v>3791</v>
      </c>
      <c r="H626" s="12" t="s">
        <v>3781</v>
      </c>
      <c r="I626" s="23">
        <v>9.791192154E9</v>
      </c>
      <c r="J626" s="12">
        <v>2007.0</v>
      </c>
      <c r="K626" s="23">
        <v>117.0</v>
      </c>
      <c r="L626" s="24">
        <v>6.0</v>
      </c>
      <c r="M626" s="12" t="s">
        <v>340</v>
      </c>
      <c r="N626" s="26" t="str">
        <f t="shared" si="2"/>
        <v>531
Drs
s</v>
      </c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0">
        <v>626.0</v>
      </c>
      <c r="B627" s="12" t="s">
        <v>3792</v>
      </c>
      <c r="C627" s="12" t="s">
        <v>246</v>
      </c>
      <c r="D627" s="23">
        <v>531.0</v>
      </c>
      <c r="E627" s="12" t="s">
        <v>3793</v>
      </c>
      <c r="F627" s="12" t="s">
        <v>3790</v>
      </c>
      <c r="G627" s="12" t="s">
        <v>3794</v>
      </c>
      <c r="H627" s="12" t="s">
        <v>3781</v>
      </c>
      <c r="I627" s="23">
        <v>9.791192162E9</v>
      </c>
      <c r="J627" s="12">
        <v>2007.0</v>
      </c>
      <c r="K627" s="23">
        <v>131.0</v>
      </c>
      <c r="L627" s="24">
        <v>6.0</v>
      </c>
      <c r="M627" s="25" t="s">
        <v>3795</v>
      </c>
      <c r="N627" s="26" t="str">
        <f t="shared" si="2"/>
        <v>531
Drs
s</v>
      </c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0">
        <v>627.0</v>
      </c>
      <c r="B628" s="12" t="s">
        <v>3796</v>
      </c>
      <c r="C628" s="12" t="s">
        <v>246</v>
      </c>
      <c r="D628" s="23">
        <v>534.0</v>
      </c>
      <c r="E628" s="12" t="s">
        <v>3797</v>
      </c>
      <c r="F628" s="12" t="s">
        <v>3798</v>
      </c>
      <c r="G628" s="12" t="s">
        <v>3799</v>
      </c>
      <c r="H628" s="12" t="s">
        <v>3800</v>
      </c>
      <c r="I628" s="23" t="s">
        <v>3801</v>
      </c>
      <c r="J628" s="12">
        <v>2007.0</v>
      </c>
      <c r="K628" s="23">
        <v>104.0</v>
      </c>
      <c r="L628" s="24">
        <v>3.0</v>
      </c>
      <c r="M628" s="25" t="s">
        <v>3802</v>
      </c>
      <c r="N628" s="26" t="str">
        <f t="shared" si="2"/>
        <v>534
DRS
s</v>
      </c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0">
        <v>628.0</v>
      </c>
      <c r="B629" s="12" t="s">
        <v>3803</v>
      </c>
      <c r="C629" s="12" t="s">
        <v>246</v>
      </c>
      <c r="D629" s="23">
        <v>535.0</v>
      </c>
      <c r="E629" s="12" t="s">
        <v>1107</v>
      </c>
      <c r="F629" s="12" t="s">
        <v>3790</v>
      </c>
      <c r="G629" s="12" t="s">
        <v>3804</v>
      </c>
      <c r="H629" s="12" t="s">
        <v>3781</v>
      </c>
      <c r="I629" s="23">
        <v>9.791192189E9</v>
      </c>
      <c r="J629" s="12">
        <v>2007.0</v>
      </c>
      <c r="K629" s="23">
        <v>112.0</v>
      </c>
      <c r="L629" s="24">
        <v>7.0</v>
      </c>
      <c r="M629" s="25" t="s">
        <v>3805</v>
      </c>
      <c r="N629" s="26" t="str">
        <f t="shared" si="2"/>
        <v>535
Drs
s</v>
      </c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0">
        <v>629.0</v>
      </c>
      <c r="B630" s="12" t="s">
        <v>3806</v>
      </c>
      <c r="C630" s="12" t="s">
        <v>246</v>
      </c>
      <c r="D630" s="23" t="s">
        <v>3807</v>
      </c>
      <c r="E630" s="12" t="s">
        <v>3808</v>
      </c>
      <c r="F630" s="12" t="s">
        <v>3779</v>
      </c>
      <c r="G630" s="12" t="s">
        <v>3794</v>
      </c>
      <c r="H630" s="12" t="s">
        <v>3781</v>
      </c>
      <c r="I630" s="23" t="s">
        <v>3809</v>
      </c>
      <c r="J630" s="12">
        <v>2007.0</v>
      </c>
      <c r="K630" s="23">
        <v>109.0</v>
      </c>
      <c r="L630" s="24">
        <v>1.0</v>
      </c>
      <c r="M630" s="25" t="s">
        <v>3810</v>
      </c>
      <c r="N630" s="26" t="str">
        <f t="shared" si="2"/>
        <v>537.6
Drs
s</v>
      </c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0">
        <v>630.0</v>
      </c>
      <c r="B631" s="12" t="s">
        <v>3811</v>
      </c>
      <c r="C631" s="12" t="s">
        <v>246</v>
      </c>
      <c r="D631" s="23">
        <v>538.0</v>
      </c>
      <c r="E631" s="12" t="s">
        <v>3812</v>
      </c>
      <c r="F631" s="12" t="s">
        <v>3779</v>
      </c>
      <c r="G631" s="12" t="s">
        <v>3780</v>
      </c>
      <c r="H631" s="12" t="s">
        <v>3781</v>
      </c>
      <c r="I631" s="23" t="s">
        <v>3813</v>
      </c>
      <c r="J631" s="12">
        <v>2007.0</v>
      </c>
      <c r="K631" s="23">
        <v>117.0</v>
      </c>
      <c r="L631" s="24">
        <v>2.0</v>
      </c>
      <c r="M631" s="25" t="s">
        <v>3814</v>
      </c>
      <c r="N631" s="26" t="str">
        <f t="shared" si="2"/>
        <v>538
Drs
s</v>
      </c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0">
        <v>631.0</v>
      </c>
      <c r="B632" s="12" t="s">
        <v>3815</v>
      </c>
      <c r="C632" s="12" t="s">
        <v>246</v>
      </c>
      <c r="D632" s="23">
        <v>537.0</v>
      </c>
      <c r="E632" s="12" t="s">
        <v>3816</v>
      </c>
      <c r="F632" s="12" t="s">
        <v>3817</v>
      </c>
      <c r="G632" s="12" t="s">
        <v>3799</v>
      </c>
      <c r="H632" s="12" t="s">
        <v>3800</v>
      </c>
      <c r="I632" s="23">
        <v>9.791192219E9</v>
      </c>
      <c r="J632" s="12">
        <v>2007.0</v>
      </c>
      <c r="K632" s="23">
        <v>80.0</v>
      </c>
      <c r="L632" s="24">
        <v>7.0</v>
      </c>
      <c r="M632" s="25" t="s">
        <v>3818</v>
      </c>
      <c r="N632" s="26" t="str">
        <f t="shared" si="2"/>
        <v>537
DRS
s</v>
      </c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0">
        <v>632.0</v>
      </c>
      <c r="B633" s="12" t="s">
        <v>3819</v>
      </c>
      <c r="C633" s="12" t="s">
        <v>246</v>
      </c>
      <c r="D633" s="23" t="s">
        <v>3820</v>
      </c>
      <c r="E633" s="12" t="s">
        <v>3821</v>
      </c>
      <c r="F633" s="12" t="s">
        <v>3798</v>
      </c>
      <c r="G633" s="12" t="s">
        <v>3822</v>
      </c>
      <c r="H633" s="12" t="s">
        <v>3800</v>
      </c>
      <c r="I633" s="23" t="s">
        <v>3823</v>
      </c>
      <c r="J633" s="12">
        <v>2007.0</v>
      </c>
      <c r="K633" s="23">
        <v>80.0</v>
      </c>
      <c r="L633" s="24">
        <v>7.0</v>
      </c>
      <c r="M633" s="25" t="s">
        <v>3824</v>
      </c>
      <c r="N633" s="26" t="str">
        <f t="shared" si="2"/>
        <v>539.6
DRS
s</v>
      </c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0">
        <v>633.0</v>
      </c>
      <c r="B634" s="12" t="s">
        <v>3825</v>
      </c>
      <c r="C634" s="12" t="s">
        <v>246</v>
      </c>
      <c r="D634" s="23">
        <v>510.0</v>
      </c>
      <c r="E634" s="12" t="s">
        <v>3019</v>
      </c>
      <c r="F634" s="12" t="s">
        <v>3826</v>
      </c>
      <c r="G634" s="12" t="s">
        <v>3482</v>
      </c>
      <c r="H634" s="12" t="s">
        <v>3615</v>
      </c>
      <c r="I634" s="23">
        <v>9.786022061069E12</v>
      </c>
      <c r="J634" s="12">
        <v>2017.0</v>
      </c>
      <c r="K634" s="23">
        <v>58.0</v>
      </c>
      <c r="L634" s="24">
        <v>2.0</v>
      </c>
      <c r="M634" s="25" t="s">
        <v>3827</v>
      </c>
      <c r="N634" s="26" t="str">
        <f t="shared" si="2"/>
        <v>510
IMA
b</v>
      </c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0">
        <v>634.0</v>
      </c>
      <c r="B635" s="12" t="s">
        <v>3828</v>
      </c>
      <c r="C635" s="12" t="s">
        <v>246</v>
      </c>
      <c r="D635" s="35"/>
      <c r="E635" s="22"/>
      <c r="F635" s="12" t="s">
        <v>3349</v>
      </c>
      <c r="G635" s="12" t="s">
        <v>3350</v>
      </c>
      <c r="H635" s="12" t="s">
        <v>3374</v>
      </c>
      <c r="I635" s="23">
        <v>9.786021962527E12</v>
      </c>
      <c r="J635" s="12">
        <v>2013.0</v>
      </c>
      <c r="K635" s="23" t="s">
        <v>3829</v>
      </c>
      <c r="L635" s="24">
        <v>4.0</v>
      </c>
      <c r="M635" s="12" t="s">
        <v>340</v>
      </c>
      <c r="N635" s="26" t="str">
        <f t="shared" si="2"/>
        <v>
ALF
p</v>
      </c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0">
        <v>635.0</v>
      </c>
      <c r="B636" s="12" t="s">
        <v>3830</v>
      </c>
      <c r="C636" s="12" t="s">
        <v>246</v>
      </c>
      <c r="D636" s="35"/>
      <c r="E636" s="22"/>
      <c r="F636" s="12" t="s">
        <v>3831</v>
      </c>
      <c r="G636" s="12" t="s">
        <v>3363</v>
      </c>
      <c r="H636" s="12" t="s">
        <v>2721</v>
      </c>
      <c r="I636" s="23">
        <v>9.786028608374E12</v>
      </c>
      <c r="J636" s="12">
        <v>2010.0</v>
      </c>
      <c r="K636" s="23">
        <v>57.0</v>
      </c>
      <c r="L636" s="24">
        <v>1.0</v>
      </c>
      <c r="M636" s="12" t="s">
        <v>340</v>
      </c>
      <c r="N636" s="26" t="str">
        <f t="shared" si="2"/>
        <v>
SAL
p</v>
      </c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0">
        <v>636.0</v>
      </c>
      <c r="B637" s="12" t="s">
        <v>3832</v>
      </c>
      <c r="C637" s="12" t="s">
        <v>246</v>
      </c>
      <c r="D637" s="35"/>
      <c r="E637" s="22"/>
      <c r="F637" s="12" t="s">
        <v>3831</v>
      </c>
      <c r="G637" s="12" t="s">
        <v>3363</v>
      </c>
      <c r="H637" s="12" t="s">
        <v>2721</v>
      </c>
      <c r="I637" s="23">
        <v>9.789793350622E12</v>
      </c>
      <c r="J637" s="12">
        <v>2010.0</v>
      </c>
      <c r="K637" s="23">
        <v>57.0</v>
      </c>
      <c r="L637" s="24">
        <v>1.0</v>
      </c>
      <c r="M637" s="12" t="s">
        <v>340</v>
      </c>
      <c r="N637" s="26" t="str">
        <f t="shared" si="2"/>
        <v>
SAL
p</v>
      </c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0">
        <v>637.0</v>
      </c>
      <c r="B638" s="12" t="s">
        <v>3833</v>
      </c>
      <c r="C638" s="12" t="s">
        <v>246</v>
      </c>
      <c r="D638" s="23" t="s">
        <v>3834</v>
      </c>
      <c r="E638" s="22" t="s">
        <v>2955</v>
      </c>
      <c r="F638" s="12" t="s">
        <v>3835</v>
      </c>
      <c r="G638" s="12" t="s">
        <v>3836</v>
      </c>
      <c r="H638" s="12" t="s">
        <v>3512</v>
      </c>
      <c r="I638" s="23">
        <v>9.789791836821E12</v>
      </c>
      <c r="J638" s="12">
        <v>2010.0</v>
      </c>
      <c r="K638" s="23">
        <v>67.0</v>
      </c>
      <c r="L638" s="24">
        <v>1.0</v>
      </c>
      <c r="M638" s="12" t="s">
        <v>340</v>
      </c>
      <c r="N638" s="26" t="str">
        <f t="shared" si="2"/>
        <v>500
RAM
s</v>
      </c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0">
        <v>638.0</v>
      </c>
      <c r="B639" s="12" t="s">
        <v>3837</v>
      </c>
      <c r="C639" s="12" t="s">
        <v>246</v>
      </c>
      <c r="D639" s="23">
        <v>510.0</v>
      </c>
      <c r="E639" s="12" t="s">
        <v>3019</v>
      </c>
      <c r="F639" s="12" t="s">
        <v>3838</v>
      </c>
      <c r="G639" s="22"/>
      <c r="H639" s="12" t="s">
        <v>3839</v>
      </c>
      <c r="I639" s="23">
        <v>9.789793077192E12</v>
      </c>
      <c r="J639" s="12">
        <v>2008.0</v>
      </c>
      <c r="K639" s="23" t="s">
        <v>3840</v>
      </c>
      <c r="L639" s="24">
        <v>2.0</v>
      </c>
      <c r="M639" s="25" t="s">
        <v>3841</v>
      </c>
      <c r="N639" s="26" t="str">
        <f t="shared" si="2"/>
        <v>510
WAH
p</v>
      </c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0">
        <v>639.0</v>
      </c>
      <c r="B640" s="12" t="s">
        <v>3842</v>
      </c>
      <c r="C640" s="12" t="s">
        <v>246</v>
      </c>
      <c r="D640" s="23">
        <v>510.0</v>
      </c>
      <c r="E640" s="12" t="s">
        <v>3019</v>
      </c>
      <c r="F640" s="12" t="s">
        <v>3838</v>
      </c>
      <c r="G640" s="22"/>
      <c r="H640" s="12" t="s">
        <v>3839</v>
      </c>
      <c r="I640" s="23">
        <v>9.789793077208E12</v>
      </c>
      <c r="J640" s="12">
        <v>2008.0</v>
      </c>
      <c r="K640" s="23" t="s">
        <v>3843</v>
      </c>
      <c r="L640" s="24">
        <v>2.0</v>
      </c>
      <c r="M640" s="25" t="s">
        <v>3844</v>
      </c>
      <c r="N640" s="26" t="str">
        <f t="shared" si="2"/>
        <v>510
WAH
p</v>
      </c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0">
        <v>640.0</v>
      </c>
      <c r="B641" s="12" t="s">
        <v>3845</v>
      </c>
      <c r="C641" s="12" t="s">
        <v>246</v>
      </c>
      <c r="D641" s="23">
        <v>510.0</v>
      </c>
      <c r="E641" s="12" t="s">
        <v>3019</v>
      </c>
      <c r="F641" s="12" t="s">
        <v>3838</v>
      </c>
      <c r="G641" s="22"/>
      <c r="H641" s="12" t="s">
        <v>3839</v>
      </c>
      <c r="I641" s="23">
        <v>9.789793077215E12</v>
      </c>
      <c r="J641" s="12">
        <v>2008.0</v>
      </c>
      <c r="K641" s="23" t="s">
        <v>3846</v>
      </c>
      <c r="L641" s="24">
        <v>3.0</v>
      </c>
      <c r="M641" s="25" t="s">
        <v>3847</v>
      </c>
      <c r="N641" s="26" t="str">
        <f t="shared" si="2"/>
        <v>510
WAH
p</v>
      </c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0">
        <v>641.0</v>
      </c>
      <c r="B642" s="12" t="s">
        <v>3848</v>
      </c>
      <c r="C642" s="12" t="s">
        <v>246</v>
      </c>
      <c r="D642" s="23">
        <v>500.0</v>
      </c>
      <c r="E642" s="12" t="s">
        <v>2955</v>
      </c>
      <c r="F642" s="12" t="s">
        <v>3849</v>
      </c>
      <c r="G642" s="22"/>
      <c r="H642" s="12" t="s">
        <v>3675</v>
      </c>
      <c r="I642" s="23">
        <v>9.79992627E9</v>
      </c>
      <c r="J642" s="12">
        <v>2017.0</v>
      </c>
      <c r="K642" s="23" t="s">
        <v>3850</v>
      </c>
      <c r="L642" s="24">
        <v>4.0</v>
      </c>
      <c r="M642" s="25" t="s">
        <v>3851</v>
      </c>
      <c r="N642" s="26" t="str">
        <f t="shared" si="2"/>
        <v>500
HEN
e</v>
      </c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0">
        <v>642.0</v>
      </c>
      <c r="B643" s="12" t="s">
        <v>3852</v>
      </c>
      <c r="C643" s="12" t="s">
        <v>246</v>
      </c>
      <c r="D643" s="23">
        <v>500.0</v>
      </c>
      <c r="E643" s="12" t="s">
        <v>2955</v>
      </c>
      <c r="F643" s="12" t="s">
        <v>3849</v>
      </c>
      <c r="G643" s="22"/>
      <c r="H643" s="12" t="s">
        <v>3675</v>
      </c>
      <c r="I643" s="23">
        <v>9.799926289E9</v>
      </c>
      <c r="J643" s="12">
        <v>2017.0</v>
      </c>
      <c r="K643" s="23" t="s">
        <v>3850</v>
      </c>
      <c r="L643" s="24">
        <v>4.0</v>
      </c>
      <c r="M643" s="25" t="s">
        <v>3853</v>
      </c>
      <c r="N643" s="26" t="str">
        <f t="shared" si="2"/>
        <v>500
HEN
e</v>
      </c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0">
        <v>643.0</v>
      </c>
      <c r="B644" s="12" t="s">
        <v>3854</v>
      </c>
      <c r="C644" s="12" t="s">
        <v>246</v>
      </c>
      <c r="D644" s="23" t="s">
        <v>3834</v>
      </c>
      <c r="E644" s="12" t="s">
        <v>2955</v>
      </c>
      <c r="F644" s="12" t="s">
        <v>3849</v>
      </c>
      <c r="G644" s="22"/>
      <c r="H644" s="12" t="s">
        <v>3675</v>
      </c>
      <c r="I644" s="23">
        <v>9.799926297E9</v>
      </c>
      <c r="J644" s="12">
        <v>2017.0</v>
      </c>
      <c r="K644" s="23" t="s">
        <v>3850</v>
      </c>
      <c r="L644" s="24">
        <v>3.0</v>
      </c>
      <c r="M644" s="25" t="s">
        <v>3855</v>
      </c>
      <c r="N644" s="26" t="str">
        <f t="shared" si="2"/>
        <v>500
HEN
e</v>
      </c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0">
        <v>644.0</v>
      </c>
      <c r="B645" s="12" t="s">
        <v>3856</v>
      </c>
      <c r="C645" s="12" t="s">
        <v>246</v>
      </c>
      <c r="D645" s="23">
        <v>500.0</v>
      </c>
      <c r="E645" s="12" t="s">
        <v>2955</v>
      </c>
      <c r="F645" s="12" t="s">
        <v>3849</v>
      </c>
      <c r="G645" s="22"/>
      <c r="H645" s="12" t="s">
        <v>3675</v>
      </c>
      <c r="I645" s="23">
        <v>9.7999263E9</v>
      </c>
      <c r="J645" s="12">
        <v>2017.0</v>
      </c>
      <c r="K645" s="23" t="s">
        <v>3850</v>
      </c>
      <c r="L645" s="24">
        <v>4.0</v>
      </c>
      <c r="M645" s="25" t="s">
        <v>3857</v>
      </c>
      <c r="N645" s="26" t="str">
        <f t="shared" si="2"/>
        <v>500
HEN
e</v>
      </c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0">
        <v>645.0</v>
      </c>
      <c r="B646" s="12" t="s">
        <v>3858</v>
      </c>
      <c r="C646" s="12" t="s">
        <v>246</v>
      </c>
      <c r="D646" s="23">
        <v>510.0</v>
      </c>
      <c r="E646" s="12" t="s">
        <v>3019</v>
      </c>
      <c r="F646" s="12" t="s">
        <v>3859</v>
      </c>
      <c r="G646" s="12" t="s">
        <v>3482</v>
      </c>
      <c r="H646" s="12" t="s">
        <v>3615</v>
      </c>
      <c r="I646" s="23">
        <v>9.786028567541E12</v>
      </c>
      <c r="J646" s="12">
        <v>2017.0</v>
      </c>
      <c r="K646" s="23" t="s">
        <v>3860</v>
      </c>
      <c r="L646" s="24">
        <v>3.0</v>
      </c>
      <c r="M646" s="25" t="s">
        <v>3861</v>
      </c>
      <c r="N646" s="26" t="str">
        <f t="shared" si="2"/>
        <v>510
AHM
m</v>
      </c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0">
        <v>646.0</v>
      </c>
      <c r="B647" s="12" t="s">
        <v>3862</v>
      </c>
      <c r="C647" s="12" t="s">
        <v>246</v>
      </c>
      <c r="D647" s="23">
        <v>510.0</v>
      </c>
      <c r="E647" s="12" t="s">
        <v>3019</v>
      </c>
      <c r="F647" s="12" t="s">
        <v>3863</v>
      </c>
      <c r="G647" s="12" t="s">
        <v>2956</v>
      </c>
      <c r="H647" s="12" t="s">
        <v>57</v>
      </c>
      <c r="I647" s="23">
        <v>9.789794655429E12</v>
      </c>
      <c r="J647" s="12">
        <v>2017.0</v>
      </c>
      <c r="K647" s="23">
        <v>57.0</v>
      </c>
      <c r="L647" s="24">
        <v>4.0</v>
      </c>
      <c r="M647" s="25" t="s">
        <v>3864</v>
      </c>
      <c r="N647" s="26" t="str">
        <f t="shared" si="2"/>
        <v>510
WAH
m</v>
      </c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0">
        <v>647.0</v>
      </c>
      <c r="B648" s="12" t="s">
        <v>3865</v>
      </c>
      <c r="C648" s="12" t="s">
        <v>246</v>
      </c>
      <c r="D648" s="23">
        <v>510.0</v>
      </c>
      <c r="E648" s="12" t="s">
        <v>3019</v>
      </c>
      <c r="F648" s="12" t="s">
        <v>3863</v>
      </c>
      <c r="G648" s="12" t="s">
        <v>2956</v>
      </c>
      <c r="H648" s="12" t="s">
        <v>57</v>
      </c>
      <c r="I648" s="23">
        <v>9.789794655443E12</v>
      </c>
      <c r="J648" s="12">
        <v>2012.0</v>
      </c>
      <c r="K648" s="23">
        <v>56.0</v>
      </c>
      <c r="L648" s="24">
        <v>4.0</v>
      </c>
      <c r="M648" s="25" t="s">
        <v>3866</v>
      </c>
      <c r="N648" s="26" t="str">
        <f t="shared" si="2"/>
        <v>510
WAH
m</v>
      </c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0">
        <v>648.0</v>
      </c>
      <c r="B649" s="12" t="s">
        <v>3867</v>
      </c>
      <c r="C649" s="12" t="s">
        <v>246</v>
      </c>
      <c r="D649" s="23">
        <v>510.0</v>
      </c>
      <c r="E649" s="12" t="s">
        <v>3019</v>
      </c>
      <c r="F649" s="12" t="s">
        <v>3863</v>
      </c>
      <c r="G649" s="12" t="s">
        <v>2956</v>
      </c>
      <c r="H649" s="12" t="s">
        <v>57</v>
      </c>
      <c r="I649" s="23">
        <v>9.789794655412E12</v>
      </c>
      <c r="J649" s="12">
        <v>2016.0</v>
      </c>
      <c r="K649" s="23">
        <v>56.0</v>
      </c>
      <c r="L649" s="24">
        <v>4.0</v>
      </c>
      <c r="M649" s="25" t="s">
        <v>3868</v>
      </c>
      <c r="N649" s="26" t="str">
        <f t="shared" si="2"/>
        <v>510
WAH
m</v>
      </c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0">
        <v>649.0</v>
      </c>
      <c r="B650" s="12" t="s">
        <v>3869</v>
      </c>
      <c r="C650" s="12" t="s">
        <v>246</v>
      </c>
      <c r="D650" s="23">
        <v>510.0</v>
      </c>
      <c r="E650" s="12" t="s">
        <v>3019</v>
      </c>
      <c r="F650" s="12" t="s">
        <v>3863</v>
      </c>
      <c r="G650" s="12" t="s">
        <v>2956</v>
      </c>
      <c r="H650" s="12" t="s">
        <v>57</v>
      </c>
      <c r="I650" s="23">
        <v>9.789794655436E12</v>
      </c>
      <c r="J650" s="12">
        <v>2012.0</v>
      </c>
      <c r="K650" s="23">
        <v>56.0</v>
      </c>
      <c r="L650" s="24">
        <v>4.0</v>
      </c>
      <c r="M650" s="25" t="s">
        <v>3870</v>
      </c>
      <c r="N650" s="26" t="str">
        <f t="shared" si="2"/>
        <v>510
WAH
m</v>
      </c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0">
        <v>650.0</v>
      </c>
      <c r="B651" s="12" t="s">
        <v>3871</v>
      </c>
      <c r="C651" s="12" t="s">
        <v>246</v>
      </c>
      <c r="D651" s="23">
        <v>510.0</v>
      </c>
      <c r="E651" s="12" t="s">
        <v>3019</v>
      </c>
      <c r="F651" s="12" t="s">
        <v>3863</v>
      </c>
      <c r="G651" s="12" t="s">
        <v>2956</v>
      </c>
      <c r="H651" s="12" t="s">
        <v>57</v>
      </c>
      <c r="I651" s="23">
        <v>9.789794655405E12</v>
      </c>
      <c r="J651" s="12">
        <v>2016.0</v>
      </c>
      <c r="K651" s="23">
        <v>56.0</v>
      </c>
      <c r="L651" s="24">
        <v>4.0</v>
      </c>
      <c r="M651" s="25" t="s">
        <v>3872</v>
      </c>
      <c r="N651" s="26" t="str">
        <f t="shared" si="2"/>
        <v>510
WAH
m</v>
      </c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0">
        <v>651.0</v>
      </c>
      <c r="B652" s="12" t="s">
        <v>3873</v>
      </c>
      <c r="C652" s="12" t="s">
        <v>246</v>
      </c>
      <c r="D652" s="23">
        <v>510.0</v>
      </c>
      <c r="E652" s="12" t="s">
        <v>3019</v>
      </c>
      <c r="F652" s="12" t="s">
        <v>3874</v>
      </c>
      <c r="G652" s="12" t="s">
        <v>3875</v>
      </c>
      <c r="H652" s="12" t="s">
        <v>3876</v>
      </c>
      <c r="I652" s="23">
        <v>9.789799926227E12</v>
      </c>
      <c r="J652" s="12">
        <v>2010.0</v>
      </c>
      <c r="K652" s="23" t="s">
        <v>3850</v>
      </c>
      <c r="L652" s="24">
        <v>2.0</v>
      </c>
      <c r="M652" s="25" t="s">
        <v>3877</v>
      </c>
      <c r="N652" s="26" t="str">
        <f t="shared" si="2"/>
        <v>510
NUG
e</v>
      </c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0">
        <v>652.0</v>
      </c>
      <c r="B653" s="12" t="s">
        <v>3878</v>
      </c>
      <c r="C653" s="12" t="s">
        <v>246</v>
      </c>
      <c r="D653" s="23">
        <v>510.0</v>
      </c>
      <c r="E653" s="12" t="s">
        <v>3019</v>
      </c>
      <c r="F653" s="12" t="s">
        <v>3879</v>
      </c>
      <c r="G653" s="12" t="s">
        <v>3875</v>
      </c>
      <c r="H653" s="12" t="s">
        <v>3876</v>
      </c>
      <c r="I653" s="23">
        <v>9.799926246E9</v>
      </c>
      <c r="J653" s="12">
        <v>2010.0</v>
      </c>
      <c r="K653" s="23" t="s">
        <v>3850</v>
      </c>
      <c r="L653" s="24">
        <v>2.0</v>
      </c>
      <c r="M653" s="25" t="s">
        <v>3880</v>
      </c>
      <c r="N653" s="26" t="str">
        <f t="shared" si="2"/>
        <v>510
RET
e</v>
      </c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0">
        <v>653.0</v>
      </c>
      <c r="B654" s="12" t="s">
        <v>3881</v>
      </c>
      <c r="C654" s="12" t="s">
        <v>246</v>
      </c>
      <c r="D654" s="36" t="s">
        <v>3882</v>
      </c>
      <c r="E654" s="12" t="s">
        <v>3883</v>
      </c>
      <c r="F654" s="12" t="s">
        <v>3884</v>
      </c>
      <c r="G654" s="12" t="s">
        <v>2325</v>
      </c>
      <c r="H654" s="12" t="s">
        <v>554</v>
      </c>
      <c r="I654" s="23" t="s">
        <v>3885</v>
      </c>
      <c r="J654" s="12">
        <v>2014.0</v>
      </c>
      <c r="K654" s="23">
        <v>66.0</v>
      </c>
      <c r="L654" s="24">
        <v>1.0</v>
      </c>
      <c r="M654" s="25" t="s">
        <v>3886</v>
      </c>
      <c r="N654" s="26" t="str">
        <f t="shared" si="2"/>
        <v>577.75
DIN
k</v>
      </c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0">
        <v>654.0</v>
      </c>
      <c r="B655" s="12" t="s">
        <v>3887</v>
      </c>
      <c r="C655" s="12" t="s">
        <v>246</v>
      </c>
      <c r="D655" s="23" t="s">
        <v>3262</v>
      </c>
      <c r="E655" s="12" t="s">
        <v>3019</v>
      </c>
      <c r="F655" s="12" t="s">
        <v>3700</v>
      </c>
      <c r="G655" s="12" t="s">
        <v>3701</v>
      </c>
      <c r="H655" s="12" t="s">
        <v>807</v>
      </c>
      <c r="I655" s="23">
        <v>9.7860289225E12</v>
      </c>
      <c r="J655" s="12">
        <v>2010.0</v>
      </c>
      <c r="K655" s="23" t="s">
        <v>3888</v>
      </c>
      <c r="L655" s="24">
        <v>1.0</v>
      </c>
      <c r="M655" s="12" t="s">
        <v>340</v>
      </c>
      <c r="N655" s="26" t="str">
        <f t="shared" si="2"/>
        <v>510
IDE
m</v>
      </c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0">
        <v>655.0</v>
      </c>
      <c r="B656" s="12" t="s">
        <v>3889</v>
      </c>
      <c r="C656" s="12" t="s">
        <v>246</v>
      </c>
      <c r="D656" s="47" t="s">
        <v>3060</v>
      </c>
      <c r="E656" s="12" t="s">
        <v>3061</v>
      </c>
      <c r="F656" s="12" t="s">
        <v>3088</v>
      </c>
      <c r="G656" s="12" t="s">
        <v>2210</v>
      </c>
      <c r="H656" s="12" t="s">
        <v>2890</v>
      </c>
      <c r="I656" s="23" t="s">
        <v>3890</v>
      </c>
      <c r="J656" s="12">
        <v>2006.0</v>
      </c>
      <c r="K656" s="23" t="s">
        <v>3891</v>
      </c>
      <c r="L656" s="24">
        <v>1.0</v>
      </c>
      <c r="M656" s="25" t="s">
        <v>3892</v>
      </c>
      <c r="N656" s="26" t="str">
        <f t="shared" si="2"/>
        <v>551.42
IYA
p</v>
      </c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0">
        <v>656.0</v>
      </c>
      <c r="B657" s="12" t="s">
        <v>3893</v>
      </c>
      <c r="C657" s="12" t="s">
        <v>246</v>
      </c>
      <c r="D657" s="23">
        <v>530.0</v>
      </c>
      <c r="E657" s="12" t="s">
        <v>3144</v>
      </c>
      <c r="F657" s="12" t="s">
        <v>3894</v>
      </c>
      <c r="G657" s="12" t="s">
        <v>3895</v>
      </c>
      <c r="H657" s="12" t="s">
        <v>3896</v>
      </c>
      <c r="I657" s="23" t="s">
        <v>3897</v>
      </c>
      <c r="J657" s="12">
        <v>2006.0</v>
      </c>
      <c r="K657" s="23">
        <v>160.0</v>
      </c>
      <c r="L657" s="24">
        <v>2.0</v>
      </c>
      <c r="M657" s="25" t="s">
        <v>3898</v>
      </c>
      <c r="N657" s="26" t="str">
        <f t="shared" si="2"/>
        <v>530
KIM
b</v>
      </c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0">
        <v>657.0</v>
      </c>
      <c r="B658" s="12" t="s">
        <v>3899</v>
      </c>
      <c r="C658" s="12" t="s">
        <v>246</v>
      </c>
      <c r="D658" s="35"/>
      <c r="E658" s="22"/>
      <c r="F658" s="12" t="s">
        <v>3900</v>
      </c>
      <c r="G658" s="22"/>
      <c r="H658" s="22"/>
      <c r="I658" s="35"/>
      <c r="J658" s="22"/>
      <c r="K658" s="35"/>
      <c r="L658" s="24">
        <v>1.0</v>
      </c>
      <c r="M658" s="12" t="s">
        <v>340</v>
      </c>
      <c r="N658" s="26" t="str">
        <f t="shared" si="2"/>
        <v>
TIM
e</v>
      </c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0">
        <v>658.0</v>
      </c>
      <c r="B659" s="12" t="s">
        <v>3901</v>
      </c>
      <c r="C659" s="12" t="s">
        <v>246</v>
      </c>
      <c r="D659" s="35"/>
      <c r="E659" s="22"/>
      <c r="F659" s="12" t="s">
        <v>3900</v>
      </c>
      <c r="G659" s="22"/>
      <c r="H659" s="22"/>
      <c r="I659" s="35"/>
      <c r="J659" s="22"/>
      <c r="K659" s="35"/>
      <c r="L659" s="24">
        <v>1.0</v>
      </c>
      <c r="M659" s="12" t="s">
        <v>340</v>
      </c>
      <c r="N659" s="26" t="str">
        <f t="shared" si="2"/>
        <v>
TIM
e</v>
      </c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 ht="40.5" customHeight="1">
      <c r="A660" s="20">
        <v>659.0</v>
      </c>
      <c r="B660" s="12" t="s">
        <v>3902</v>
      </c>
      <c r="C660" s="12" t="s">
        <v>246</v>
      </c>
      <c r="D660" s="23" t="s">
        <v>3903</v>
      </c>
      <c r="E660" s="12" t="s">
        <v>3904</v>
      </c>
      <c r="F660" s="12" t="s">
        <v>3905</v>
      </c>
      <c r="G660" s="12" t="s">
        <v>2923</v>
      </c>
      <c r="H660" s="12" t="s">
        <v>3906</v>
      </c>
      <c r="I660" s="23" t="s">
        <v>3907</v>
      </c>
      <c r="J660" s="12">
        <v>2015.0</v>
      </c>
      <c r="K660" s="23" t="s">
        <v>3908</v>
      </c>
      <c r="L660" s="24">
        <v>2.0</v>
      </c>
      <c r="M660" s="12" t="s">
        <v>340</v>
      </c>
      <c r="N660" s="26" t="str">
        <f t="shared" si="2"/>
        <v>507.24
RUL
y</v>
      </c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0">
        <v>660.0</v>
      </c>
      <c r="B661" s="12" t="s">
        <v>3909</v>
      </c>
      <c r="C661" s="12" t="s">
        <v>246</v>
      </c>
      <c r="D661" s="23" t="s">
        <v>3028</v>
      </c>
      <c r="E661" s="12" t="s">
        <v>3029</v>
      </c>
      <c r="F661" s="12" t="s">
        <v>3700</v>
      </c>
      <c r="G661" s="12" t="s">
        <v>3701</v>
      </c>
      <c r="H661" s="12" t="s">
        <v>807</v>
      </c>
      <c r="I661" s="23">
        <v>9.786028922494E12</v>
      </c>
      <c r="J661" s="12">
        <v>2010.0</v>
      </c>
      <c r="K661" s="23" t="s">
        <v>3888</v>
      </c>
      <c r="L661" s="24">
        <v>4.0</v>
      </c>
      <c r="M661" s="25" t="s">
        <v>3910</v>
      </c>
      <c r="N661" s="26" t="str">
        <f t="shared" si="2"/>
        <v>519.5
IDE
b</v>
      </c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0">
        <v>661.0</v>
      </c>
      <c r="B662" s="12" t="s">
        <v>3911</v>
      </c>
      <c r="C662" s="12" t="s">
        <v>31</v>
      </c>
      <c r="D662" s="23" t="s">
        <v>3912</v>
      </c>
      <c r="E662" s="12" t="s">
        <v>3913</v>
      </c>
      <c r="F662" s="12" t="s">
        <v>3482</v>
      </c>
      <c r="G662" s="22"/>
      <c r="H662" s="12" t="s">
        <v>3675</v>
      </c>
      <c r="I662" s="23">
        <v>9.789799926531E12</v>
      </c>
      <c r="J662" s="12">
        <v>2017.0</v>
      </c>
      <c r="K662" s="23" t="s">
        <v>3914</v>
      </c>
      <c r="L662" s="24">
        <v>3.0</v>
      </c>
      <c r="M662" s="25" t="s">
        <v>3915</v>
      </c>
      <c r="N662" s="26" t="str">
        <f t="shared" si="2"/>
        <v>001.43
RET
a</v>
      </c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0">
        <v>662.0</v>
      </c>
      <c r="B663" s="12" t="s">
        <v>3916</v>
      </c>
      <c r="C663" s="12" t="s">
        <v>246</v>
      </c>
      <c r="D663" s="23">
        <v>507.0</v>
      </c>
      <c r="E663" s="12" t="s">
        <v>3917</v>
      </c>
      <c r="F663" s="12" t="s">
        <v>3482</v>
      </c>
      <c r="G663" s="22"/>
      <c r="H663" s="12" t="s">
        <v>3675</v>
      </c>
      <c r="I663" s="23">
        <v>9.789799926548E12</v>
      </c>
      <c r="J663" s="12">
        <v>2017.0</v>
      </c>
      <c r="K663" s="23" t="s">
        <v>2256</v>
      </c>
      <c r="L663" s="24">
        <v>4.0</v>
      </c>
      <c r="M663" s="25" t="s">
        <v>3918</v>
      </c>
      <c r="N663" s="26" t="str">
        <f t="shared" si="2"/>
        <v>507
RET
a</v>
      </c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0">
        <v>663.0</v>
      </c>
      <c r="B664" s="12" t="s">
        <v>3919</v>
      </c>
      <c r="C664" s="12" t="s">
        <v>246</v>
      </c>
      <c r="D664" s="23">
        <v>507.0</v>
      </c>
      <c r="E664" s="12" t="s">
        <v>3917</v>
      </c>
      <c r="F664" s="12" t="s">
        <v>3482</v>
      </c>
      <c r="G664" s="22"/>
      <c r="H664" s="12" t="s">
        <v>3675</v>
      </c>
      <c r="I664" s="23">
        <v>9.789799926555E12</v>
      </c>
      <c r="J664" s="12">
        <v>2017.0</v>
      </c>
      <c r="K664" s="23" t="s">
        <v>2256</v>
      </c>
      <c r="L664" s="24">
        <v>4.0</v>
      </c>
      <c r="M664" s="25" t="s">
        <v>3920</v>
      </c>
      <c r="N664" s="26" t="str">
        <f t="shared" si="2"/>
        <v>507
RET
a</v>
      </c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0">
        <v>664.0</v>
      </c>
      <c r="B665" s="12" t="s">
        <v>3921</v>
      </c>
      <c r="C665" s="12" t="s">
        <v>246</v>
      </c>
      <c r="D665" s="23">
        <v>507.0</v>
      </c>
      <c r="E665" s="12" t="s">
        <v>3917</v>
      </c>
      <c r="F665" s="12" t="s">
        <v>3482</v>
      </c>
      <c r="G665" s="22"/>
      <c r="H665" s="12" t="s">
        <v>3675</v>
      </c>
      <c r="I665" s="23">
        <v>9.789799926562E12</v>
      </c>
      <c r="J665" s="12">
        <v>2017.0</v>
      </c>
      <c r="K665" s="23" t="s">
        <v>2256</v>
      </c>
      <c r="L665" s="24">
        <v>4.0</v>
      </c>
      <c r="M665" s="12" t="s">
        <v>340</v>
      </c>
      <c r="N665" s="26" t="str">
        <f t="shared" si="2"/>
        <v>507
RET
a</v>
      </c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0">
        <v>665.0</v>
      </c>
      <c r="B666" s="12" t="s">
        <v>3922</v>
      </c>
      <c r="C666" s="12" t="s">
        <v>246</v>
      </c>
      <c r="D666" s="23" t="s">
        <v>3028</v>
      </c>
      <c r="E666" s="12" t="s">
        <v>3923</v>
      </c>
      <c r="F666" s="12" t="s">
        <v>3924</v>
      </c>
      <c r="G666" s="12" t="s">
        <v>3660</v>
      </c>
      <c r="H666" s="12" t="s">
        <v>3483</v>
      </c>
      <c r="I666" s="23">
        <v>9.789791490948E12</v>
      </c>
      <c r="J666" s="12">
        <v>2009.0</v>
      </c>
      <c r="K666" s="23" t="s">
        <v>3616</v>
      </c>
      <c r="L666" s="24">
        <v>2.0</v>
      </c>
      <c r="M666" s="25" t="s">
        <v>3925</v>
      </c>
      <c r="N666" s="26" t="str">
        <f t="shared" si="2"/>
        <v>519.5
MAR
s</v>
      </c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0">
        <v>666.0</v>
      </c>
      <c r="B667" s="12" t="s">
        <v>3926</v>
      </c>
      <c r="C667" s="12" t="s">
        <v>229</v>
      </c>
      <c r="D667" s="47">
        <v>362296.0</v>
      </c>
      <c r="E667" s="12" t="s">
        <v>3927</v>
      </c>
      <c r="F667" s="12" t="s">
        <v>1090</v>
      </c>
      <c r="G667" s="12" t="s">
        <v>3928</v>
      </c>
      <c r="H667" s="12" t="s">
        <v>3929</v>
      </c>
      <c r="I667" s="23" t="s">
        <v>3930</v>
      </c>
      <c r="J667" s="12">
        <v>2015.0</v>
      </c>
      <c r="K667" s="23">
        <v>56.0</v>
      </c>
      <c r="L667" s="24">
        <v>1.0</v>
      </c>
      <c r="M667" s="25" t="s">
        <v>3931</v>
      </c>
      <c r="N667" s="26" t="str">
        <f t="shared" si="2"/>
        <v>362296
SEN
b</v>
      </c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0">
        <v>667.0</v>
      </c>
      <c r="B668" s="12" t="s">
        <v>3932</v>
      </c>
      <c r="C668" s="12" t="s">
        <v>38</v>
      </c>
      <c r="D668" s="23">
        <v>813.0</v>
      </c>
      <c r="E668" s="12" t="s">
        <v>3933</v>
      </c>
      <c r="F668" s="12" t="s">
        <v>3934</v>
      </c>
      <c r="G668" s="12" t="s">
        <v>3935</v>
      </c>
      <c r="H668" s="12" t="s">
        <v>3936</v>
      </c>
      <c r="I668" s="23" t="s">
        <v>3937</v>
      </c>
      <c r="J668" s="12">
        <v>2008.0</v>
      </c>
      <c r="K668" s="23">
        <v>79.0</v>
      </c>
      <c r="L668" s="24">
        <v>7.0</v>
      </c>
      <c r="M668" s="25" t="s">
        <v>3938</v>
      </c>
      <c r="N668" s="26" t="str">
        <f t="shared" si="2"/>
        <v>813
TIM
m</v>
      </c>
      <c r="O668" s="26"/>
      <c r="P668" s="73"/>
      <c r="Q668" s="26"/>
      <c r="R668" s="26"/>
      <c r="S668" s="26"/>
      <c r="T668" s="26"/>
      <c r="U668" s="26"/>
      <c r="V668" s="26"/>
      <c r="W668" s="26"/>
      <c r="X668" s="26"/>
    </row>
    <row r="669">
      <c r="A669" s="20">
        <v>668.0</v>
      </c>
      <c r="B669" s="12" t="s">
        <v>3939</v>
      </c>
      <c r="C669" s="12" t="s">
        <v>246</v>
      </c>
      <c r="D669" s="35"/>
      <c r="E669" s="22"/>
      <c r="F669" s="12" t="s">
        <v>3940</v>
      </c>
      <c r="G669" s="22"/>
      <c r="H669" s="12" t="s">
        <v>3941</v>
      </c>
      <c r="I669" s="23" t="s">
        <v>3942</v>
      </c>
      <c r="J669" s="12">
        <v>2009.0</v>
      </c>
      <c r="K669" s="23" t="s">
        <v>2410</v>
      </c>
      <c r="L669" s="24">
        <v>3.0</v>
      </c>
      <c r="M669" s="94" t="s">
        <v>340</v>
      </c>
      <c r="N669" s="26" t="str">
        <f t="shared" si="2"/>
        <v>
EDY
p</v>
      </c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0">
        <v>669.0</v>
      </c>
      <c r="B670" s="12" t="s">
        <v>3943</v>
      </c>
      <c r="C670" s="12" t="s">
        <v>246</v>
      </c>
      <c r="D670" s="35"/>
      <c r="E670" s="22"/>
      <c r="F670" s="12" t="s">
        <v>3944</v>
      </c>
      <c r="G670" s="12" t="s">
        <v>3945</v>
      </c>
      <c r="H670" s="12" t="s">
        <v>433</v>
      </c>
      <c r="I670" s="23" t="s">
        <v>3946</v>
      </c>
      <c r="J670" s="12">
        <v>2015.0</v>
      </c>
      <c r="K670" s="23" t="s">
        <v>3947</v>
      </c>
      <c r="L670" s="24">
        <v>1.0</v>
      </c>
      <c r="M670" s="94" t="s">
        <v>340</v>
      </c>
      <c r="N670" s="26" t="str">
        <f t="shared" si="2"/>
        <v>
BEN
a</v>
      </c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0">
        <v>670.0</v>
      </c>
      <c r="B671" s="12" t="s">
        <v>3948</v>
      </c>
      <c r="C671" s="12" t="s">
        <v>246</v>
      </c>
      <c r="D671" s="23" t="s">
        <v>3949</v>
      </c>
      <c r="E671" s="12" t="s">
        <v>3948</v>
      </c>
      <c r="F671" s="12" t="s">
        <v>3950</v>
      </c>
      <c r="G671" s="12" t="s">
        <v>3566</v>
      </c>
      <c r="H671" s="12" t="s">
        <v>3951</v>
      </c>
      <c r="I671" s="23" t="s">
        <v>3952</v>
      </c>
      <c r="J671" s="12">
        <v>2007.0</v>
      </c>
      <c r="K671" s="23">
        <v>70.0</v>
      </c>
      <c r="L671" s="24">
        <v>1.0</v>
      </c>
      <c r="M671" s="119" t="s">
        <v>3953</v>
      </c>
      <c r="N671" s="26" t="str">
        <f t="shared" si="2"/>
        <v>551.6
SUL
c</v>
      </c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0">
        <v>671.0</v>
      </c>
      <c r="B672" s="12" t="s">
        <v>3954</v>
      </c>
      <c r="C672" s="12" t="s">
        <v>246</v>
      </c>
      <c r="D672" s="23">
        <v>551.0</v>
      </c>
      <c r="E672" s="12" t="s">
        <v>3955</v>
      </c>
      <c r="F672" s="12" t="s">
        <v>3956</v>
      </c>
      <c r="G672" s="12" t="s">
        <v>125</v>
      </c>
      <c r="H672" s="12" t="s">
        <v>3957</v>
      </c>
      <c r="I672" s="23" t="s">
        <v>3958</v>
      </c>
      <c r="J672" s="12">
        <v>2009.0</v>
      </c>
      <c r="K672" s="23">
        <v>60.0</v>
      </c>
      <c r="L672" s="24">
        <v>1.0</v>
      </c>
      <c r="M672" s="119" t="s">
        <v>3959</v>
      </c>
      <c r="N672" s="26" t="str">
        <f t="shared" si="2"/>
        <v>551
P. 
b</v>
      </c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0">
        <v>672.0</v>
      </c>
      <c r="B673" s="12" t="s">
        <v>3960</v>
      </c>
      <c r="C673" s="12" t="s">
        <v>246</v>
      </c>
      <c r="D673" s="35"/>
      <c r="E673" s="22"/>
      <c r="F673" s="12" t="s">
        <v>3944</v>
      </c>
      <c r="G673" s="12" t="s">
        <v>3534</v>
      </c>
      <c r="H673" s="12" t="s">
        <v>1466</v>
      </c>
      <c r="I673" s="23" t="s">
        <v>3961</v>
      </c>
      <c r="J673" s="12">
        <v>2006.0</v>
      </c>
      <c r="K673" s="23">
        <v>88.0</v>
      </c>
      <c r="L673" s="24">
        <v>1.0</v>
      </c>
      <c r="M673" s="94" t="s">
        <v>340</v>
      </c>
      <c r="N673" s="26" t="str">
        <f t="shared" si="2"/>
        <v>
BEN
m</v>
      </c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0">
        <v>673.0</v>
      </c>
      <c r="B674" s="12" t="s">
        <v>3962</v>
      </c>
      <c r="C674" s="12" t="s">
        <v>246</v>
      </c>
      <c r="D674" s="23">
        <v>550.0</v>
      </c>
      <c r="E674" s="12" t="s">
        <v>2359</v>
      </c>
      <c r="F674" s="12" t="s">
        <v>3557</v>
      </c>
      <c r="G674" s="12" t="s">
        <v>3558</v>
      </c>
      <c r="H674" s="12" t="s">
        <v>623</v>
      </c>
      <c r="I674" s="23" t="s">
        <v>3574</v>
      </c>
      <c r="J674" s="12">
        <v>2009.0</v>
      </c>
      <c r="K674" s="35"/>
      <c r="L674" s="24">
        <v>2.0</v>
      </c>
      <c r="M674" s="119" t="s">
        <v>3963</v>
      </c>
      <c r="N674" s="26" t="str">
        <f t="shared" si="2"/>
        <v>550
MUH
b</v>
      </c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0">
        <v>674.0</v>
      </c>
      <c r="B675" s="12" t="s">
        <v>3964</v>
      </c>
      <c r="C675" s="12" t="s">
        <v>246</v>
      </c>
      <c r="D675" s="35"/>
      <c r="E675" s="22"/>
      <c r="F675" s="12" t="s">
        <v>3576</v>
      </c>
      <c r="G675" s="12" t="s">
        <v>3965</v>
      </c>
      <c r="H675" s="12" t="s">
        <v>623</v>
      </c>
      <c r="I675" s="23" t="s">
        <v>3966</v>
      </c>
      <c r="J675" s="12">
        <v>2014.0</v>
      </c>
      <c r="K675" s="35"/>
      <c r="L675" s="24">
        <v>1.0</v>
      </c>
      <c r="M675" s="94" t="s">
        <v>340</v>
      </c>
      <c r="N675" s="26" t="str">
        <f t="shared" si="2"/>
        <v>
ARI
b</v>
      </c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0">
        <v>675.0</v>
      </c>
      <c r="B676" s="12" t="s">
        <v>3967</v>
      </c>
      <c r="C676" s="12" t="s">
        <v>246</v>
      </c>
      <c r="D676" s="35"/>
      <c r="E676" s="22"/>
      <c r="F676" s="12" t="s">
        <v>3968</v>
      </c>
      <c r="G676" s="22"/>
      <c r="H676" s="12" t="s">
        <v>3969</v>
      </c>
      <c r="I676" s="35"/>
      <c r="J676" s="22"/>
      <c r="K676" s="35"/>
      <c r="L676" s="24">
        <v>1.0</v>
      </c>
      <c r="M676" s="94" t="s">
        <v>340</v>
      </c>
      <c r="N676" s="26" t="str">
        <f t="shared" si="2"/>
        <v>
ADE
s</v>
      </c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0">
        <v>676.0</v>
      </c>
      <c r="B677" s="12" t="s">
        <v>3970</v>
      </c>
      <c r="C677" s="12" t="s">
        <v>246</v>
      </c>
      <c r="D677" s="47">
        <v>551552.0</v>
      </c>
      <c r="E677" s="12" t="s">
        <v>3971</v>
      </c>
      <c r="F677" s="12" t="s">
        <v>3968</v>
      </c>
      <c r="G677" s="12" t="s">
        <v>3972</v>
      </c>
      <c r="H677" s="12" t="s">
        <v>3969</v>
      </c>
      <c r="I677" s="23" t="s">
        <v>340</v>
      </c>
      <c r="J677" s="12">
        <v>2005.0</v>
      </c>
      <c r="K677" s="23" t="s">
        <v>3973</v>
      </c>
      <c r="L677" s="24">
        <v>1.0</v>
      </c>
      <c r="M677" s="119" t="s">
        <v>3974</v>
      </c>
      <c r="N677" s="26" t="str">
        <f t="shared" si="2"/>
        <v>551552
ADE
s</v>
      </c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0">
        <v>677.0</v>
      </c>
      <c r="B678" s="12" t="s">
        <v>3975</v>
      </c>
      <c r="C678" s="12" t="s">
        <v>246</v>
      </c>
      <c r="D678" s="23">
        <v>560.0</v>
      </c>
      <c r="E678" s="12" t="s">
        <v>3976</v>
      </c>
      <c r="F678" s="12" t="s">
        <v>3977</v>
      </c>
      <c r="G678" s="22"/>
      <c r="H678" s="12" t="s">
        <v>3978</v>
      </c>
      <c r="I678" s="23">
        <v>9.789799070425E12</v>
      </c>
      <c r="J678" s="12">
        <v>2017.0</v>
      </c>
      <c r="K678" s="23">
        <v>102.0</v>
      </c>
      <c r="L678" s="24">
        <v>4.0</v>
      </c>
      <c r="M678" s="25" t="s">
        <v>3979</v>
      </c>
      <c r="N678" s="26" t="str">
        <f t="shared" si="2"/>
        <v>560
YOY
d</v>
      </c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0">
        <v>678.0</v>
      </c>
      <c r="B679" s="12" t="s">
        <v>3980</v>
      </c>
      <c r="C679" s="12" t="s">
        <v>246</v>
      </c>
      <c r="D679" s="23" t="s">
        <v>3981</v>
      </c>
      <c r="E679" s="12" t="s">
        <v>3982</v>
      </c>
      <c r="F679" s="12" t="s">
        <v>2239</v>
      </c>
      <c r="G679" s="12" t="s">
        <v>3983</v>
      </c>
      <c r="H679" s="12" t="s">
        <v>3984</v>
      </c>
      <c r="I679" s="23">
        <v>9.786029168624E12</v>
      </c>
      <c r="J679" s="12">
        <v>2017.0</v>
      </c>
      <c r="K679" s="23" t="s">
        <v>3985</v>
      </c>
      <c r="L679" s="24">
        <v>3.0</v>
      </c>
      <c r="M679" s="25" t="s">
        <v>3986</v>
      </c>
      <c r="N679" s="26" t="str">
        <f t="shared" si="2"/>
        <v>551.5
AND
m</v>
      </c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0">
        <v>679.0</v>
      </c>
      <c r="B680" s="12" t="s">
        <v>3987</v>
      </c>
      <c r="C680" s="12" t="s">
        <v>246</v>
      </c>
      <c r="D680" s="12">
        <v>560.0</v>
      </c>
      <c r="E680" s="12" t="s">
        <v>3976</v>
      </c>
      <c r="F680" s="12" t="s">
        <v>3557</v>
      </c>
      <c r="G680" s="12" t="s">
        <v>3965</v>
      </c>
      <c r="H680" s="12" t="s">
        <v>623</v>
      </c>
      <c r="I680" s="23">
        <v>9.789796783908E12</v>
      </c>
      <c r="J680" s="12">
        <v>2014.0</v>
      </c>
      <c r="K680" s="23" t="s">
        <v>2227</v>
      </c>
      <c r="L680" s="24">
        <v>1.0</v>
      </c>
      <c r="M680" s="25" t="s">
        <v>3988</v>
      </c>
      <c r="N680" s="26" t="str">
        <f t="shared" si="2"/>
        <v>560
MUH
d</v>
      </c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0">
        <v>680.0</v>
      </c>
      <c r="B681" s="12" t="s">
        <v>3989</v>
      </c>
      <c r="C681" s="12" t="s">
        <v>246</v>
      </c>
      <c r="D681" s="35"/>
      <c r="E681" s="22"/>
      <c r="F681" s="12" t="s">
        <v>3990</v>
      </c>
      <c r="G681" s="12" t="s">
        <v>3991</v>
      </c>
      <c r="H681" s="12" t="s">
        <v>3598</v>
      </c>
      <c r="I681" s="23" t="s">
        <v>3992</v>
      </c>
      <c r="J681" s="12">
        <v>2011.0</v>
      </c>
      <c r="K681" s="23" t="s">
        <v>3993</v>
      </c>
      <c r="L681" s="24">
        <v>1.0</v>
      </c>
      <c r="M681" s="12" t="s">
        <v>340</v>
      </c>
      <c r="N681" s="26" t="str">
        <f t="shared" si="2"/>
        <v>
AND
m</v>
      </c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0">
        <v>681.0</v>
      </c>
      <c r="B682" s="12" t="s">
        <v>3994</v>
      </c>
      <c r="C682" s="12" t="s">
        <v>246</v>
      </c>
      <c r="D682" s="35"/>
      <c r="E682" s="22"/>
      <c r="F682" s="12" t="s">
        <v>3995</v>
      </c>
      <c r="G682" s="22"/>
      <c r="H682" s="12" t="s">
        <v>3598</v>
      </c>
      <c r="I682" s="23">
        <v>9.786028363044E12</v>
      </c>
      <c r="J682" s="12">
        <v>2016.0</v>
      </c>
      <c r="K682" s="23" t="s">
        <v>3996</v>
      </c>
      <c r="L682" s="24">
        <v>1.0</v>
      </c>
      <c r="M682" s="12" t="s">
        <v>340</v>
      </c>
      <c r="N682" s="26" t="str">
        <f t="shared" si="2"/>
        <v>
DEW
m</v>
      </c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0">
        <v>682.0</v>
      </c>
      <c r="B683" s="12" t="s">
        <v>3997</v>
      </c>
      <c r="C683" s="12" t="s">
        <v>246</v>
      </c>
      <c r="D683" s="35"/>
      <c r="E683" s="22"/>
      <c r="F683" s="12" t="s">
        <v>3998</v>
      </c>
      <c r="G683" s="22"/>
      <c r="H683" s="12" t="s">
        <v>3598</v>
      </c>
      <c r="I683" s="23">
        <v>9.786028363006E12</v>
      </c>
      <c r="J683" s="12">
        <v>2016.0</v>
      </c>
      <c r="K683" s="23" t="s">
        <v>3999</v>
      </c>
      <c r="L683" s="24">
        <v>1.0</v>
      </c>
      <c r="M683" s="12" t="s">
        <v>340</v>
      </c>
      <c r="N683" s="26" t="str">
        <f t="shared" si="2"/>
        <v>
REZ
m</v>
      </c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0">
        <v>683.0</v>
      </c>
      <c r="B684" s="12" t="s">
        <v>4000</v>
      </c>
      <c r="C684" s="12" t="s">
        <v>246</v>
      </c>
      <c r="D684" s="35"/>
      <c r="E684" s="22"/>
      <c r="F684" s="12" t="s">
        <v>4001</v>
      </c>
      <c r="G684" s="22"/>
      <c r="H684" s="12" t="s">
        <v>3598</v>
      </c>
      <c r="I684" s="23" t="s">
        <v>4002</v>
      </c>
      <c r="J684" s="12">
        <v>2017.0</v>
      </c>
      <c r="K684" s="23" t="s">
        <v>4003</v>
      </c>
      <c r="L684" s="24">
        <v>1.0</v>
      </c>
      <c r="M684" s="12" t="s">
        <v>340</v>
      </c>
      <c r="N684" s="26" t="str">
        <f t="shared" si="2"/>
        <v>
IMA
m</v>
      </c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0">
        <v>684.0</v>
      </c>
      <c r="B685" s="12" t="s">
        <v>4004</v>
      </c>
      <c r="C685" s="12" t="s">
        <v>246</v>
      </c>
      <c r="D685" s="35"/>
      <c r="E685" s="22"/>
      <c r="F685" s="12" t="s">
        <v>4005</v>
      </c>
      <c r="G685" s="12" t="s">
        <v>4006</v>
      </c>
      <c r="H685" s="12" t="s">
        <v>3598</v>
      </c>
      <c r="I685" s="23">
        <v>9.78602836302E12</v>
      </c>
      <c r="J685" s="12">
        <v>2012.0</v>
      </c>
      <c r="K685" s="23" t="s">
        <v>4007</v>
      </c>
      <c r="L685" s="24">
        <v>1.0</v>
      </c>
      <c r="M685" s="12" t="s">
        <v>340</v>
      </c>
      <c r="N685" s="26" t="str">
        <f t="shared" si="2"/>
        <v>
LAI
m</v>
      </c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0">
        <v>685.0</v>
      </c>
      <c r="B686" s="12" t="s">
        <v>4008</v>
      </c>
      <c r="C686" s="12" t="s">
        <v>246</v>
      </c>
      <c r="D686" s="35"/>
      <c r="E686" s="22"/>
      <c r="F686" s="12" t="s">
        <v>4009</v>
      </c>
      <c r="G686" s="12" t="s">
        <v>4010</v>
      </c>
      <c r="H686" s="12" t="s">
        <v>3598</v>
      </c>
      <c r="I686" s="23" t="s">
        <v>4011</v>
      </c>
      <c r="J686" s="12">
        <v>2009.0</v>
      </c>
      <c r="K686" s="23" t="s">
        <v>4012</v>
      </c>
      <c r="L686" s="24">
        <v>1.0</v>
      </c>
      <c r="M686" s="12" t="s">
        <v>340</v>
      </c>
      <c r="N686" s="26" t="str">
        <f t="shared" si="2"/>
        <v>
SOF
m</v>
      </c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0">
        <v>686.0</v>
      </c>
      <c r="B687" s="12" t="s">
        <v>4013</v>
      </c>
      <c r="C687" s="12" t="s">
        <v>246</v>
      </c>
      <c r="D687" s="23" t="s">
        <v>4014</v>
      </c>
      <c r="E687" s="22" t="s">
        <v>4015</v>
      </c>
      <c r="F687" s="12" t="s">
        <v>4016</v>
      </c>
      <c r="G687" s="12" t="s">
        <v>4017</v>
      </c>
      <c r="H687" s="12" t="s">
        <v>4018</v>
      </c>
      <c r="I687" s="23">
        <v>9.789794655382E12</v>
      </c>
      <c r="J687" s="12">
        <v>2007.0</v>
      </c>
      <c r="K687" s="23">
        <v>156.0</v>
      </c>
      <c r="L687" s="24">
        <v>1.0</v>
      </c>
      <c r="M687" s="12" t="s">
        <v>340</v>
      </c>
      <c r="N687" s="26" t="str">
        <f t="shared" si="2"/>
        <v>580.3
E T
k</v>
      </c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0">
        <v>687.0</v>
      </c>
      <c r="B688" s="12" t="s">
        <v>4019</v>
      </c>
      <c r="C688" s="12" t="s">
        <v>246</v>
      </c>
      <c r="D688" s="23" t="s">
        <v>3834</v>
      </c>
      <c r="E688" s="22" t="s">
        <v>2955</v>
      </c>
      <c r="F688" s="12" t="s">
        <v>4020</v>
      </c>
      <c r="G688" s="12" t="s">
        <v>4021</v>
      </c>
      <c r="H688" s="12" t="s">
        <v>3521</v>
      </c>
      <c r="I688" s="23" t="s">
        <v>4022</v>
      </c>
      <c r="J688" s="12">
        <v>2014.0</v>
      </c>
      <c r="K688" s="23">
        <v>100.0</v>
      </c>
      <c r="L688" s="24">
        <v>1.0</v>
      </c>
      <c r="M688" s="12" t="s">
        <v>340</v>
      </c>
      <c r="N688" s="26" t="str">
        <f t="shared" si="2"/>
        <v>500
JUW
s</v>
      </c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0">
        <v>688.0</v>
      </c>
      <c r="B689" s="12" t="s">
        <v>4023</v>
      </c>
      <c r="C689" s="12" t="s">
        <v>246</v>
      </c>
      <c r="D689" s="23" t="s">
        <v>3262</v>
      </c>
      <c r="E689" s="22" t="s">
        <v>3019</v>
      </c>
      <c r="F689" s="12" t="s">
        <v>504</v>
      </c>
      <c r="G689" s="12" t="s">
        <v>3052</v>
      </c>
      <c r="H689" s="12" t="s">
        <v>554</v>
      </c>
      <c r="I689" s="23" t="s">
        <v>3053</v>
      </c>
      <c r="J689" s="12">
        <v>2015.0</v>
      </c>
      <c r="K689" s="23">
        <v>65.0</v>
      </c>
      <c r="L689" s="24">
        <v>1.0</v>
      </c>
      <c r="M689" s="12" t="s">
        <v>340</v>
      </c>
      <c r="N689" s="26" t="str">
        <f t="shared" si="2"/>
        <v>510
NIA
a</v>
      </c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0">
        <v>689.0</v>
      </c>
      <c r="B690" s="12" t="s">
        <v>4024</v>
      </c>
      <c r="C690" s="12" t="s">
        <v>246</v>
      </c>
      <c r="D690" s="23" t="s">
        <v>4025</v>
      </c>
      <c r="E690" s="12" t="s">
        <v>3010</v>
      </c>
      <c r="F690" s="12" t="s">
        <v>4026</v>
      </c>
      <c r="G690" s="12" t="s">
        <v>4027</v>
      </c>
      <c r="H690" s="12" t="s">
        <v>1934</v>
      </c>
      <c r="I690" s="23" t="s">
        <v>4028</v>
      </c>
      <c r="J690" s="12">
        <v>2015.0</v>
      </c>
      <c r="K690" s="23">
        <v>60.0</v>
      </c>
      <c r="L690" s="24">
        <v>2.0</v>
      </c>
      <c r="M690" s="12" t="s">
        <v>340</v>
      </c>
      <c r="N690" s="26" t="str">
        <f t="shared" si="2"/>
        <v>540
NIS
b</v>
      </c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0">
        <v>690.0</v>
      </c>
      <c r="B691" s="12" t="s">
        <v>4029</v>
      </c>
      <c r="C691" s="12" t="s">
        <v>246</v>
      </c>
      <c r="D691" s="23" t="s">
        <v>4030</v>
      </c>
      <c r="E691" s="22" t="s">
        <v>4031</v>
      </c>
      <c r="F691" s="12" t="s">
        <v>4032</v>
      </c>
      <c r="G691" s="12" t="s">
        <v>4033</v>
      </c>
      <c r="H691" s="12" t="s">
        <v>4034</v>
      </c>
      <c r="I691" s="23">
        <v>9.789790189997E12</v>
      </c>
      <c r="J691" s="12">
        <v>2015.0</v>
      </c>
      <c r="K691" s="23" t="s">
        <v>4035</v>
      </c>
      <c r="L691" s="24">
        <v>1.0</v>
      </c>
      <c r="M691" s="25" t="s">
        <v>4036</v>
      </c>
      <c r="N691" s="26" t="str">
        <f t="shared" si="2"/>
        <v>502
ANI
9</v>
      </c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0">
        <v>691.0</v>
      </c>
      <c r="B692" s="12" t="s">
        <v>4037</v>
      </c>
      <c r="C692" s="12" t="s">
        <v>246</v>
      </c>
      <c r="D692" s="23" t="s">
        <v>4038</v>
      </c>
      <c r="E692" s="12" t="s">
        <v>2359</v>
      </c>
      <c r="F692" s="12" t="s">
        <v>4039</v>
      </c>
      <c r="G692" s="22"/>
      <c r="H692" s="12" t="s">
        <v>2097</v>
      </c>
      <c r="I692" s="23">
        <v>9.789796926947E12</v>
      </c>
      <c r="J692" s="12">
        <v>2015.0</v>
      </c>
      <c r="K692" s="23" t="s">
        <v>2250</v>
      </c>
      <c r="L692" s="24">
        <v>1.0</v>
      </c>
      <c r="M692" s="25" t="s">
        <v>4040</v>
      </c>
      <c r="N692" s="26" t="str">
        <f t="shared" si="2"/>
        <v>550
BAH
u</v>
      </c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0">
        <v>692.0</v>
      </c>
      <c r="B693" s="12" t="s">
        <v>4041</v>
      </c>
      <c r="C693" s="12" t="s">
        <v>249</v>
      </c>
      <c r="D693" s="23">
        <v>664.0</v>
      </c>
      <c r="E693" s="12" t="s">
        <v>4042</v>
      </c>
      <c r="F693" s="12" t="s">
        <v>3011</v>
      </c>
      <c r="G693" s="12" t="s">
        <v>3012</v>
      </c>
      <c r="H693" s="12" t="s">
        <v>57</v>
      </c>
      <c r="I693" s="23">
        <v>9.789794657195E12</v>
      </c>
      <c r="J693" s="12">
        <v>2010.0</v>
      </c>
      <c r="K693" s="23">
        <v>92.0</v>
      </c>
      <c r="L693" s="24">
        <v>2.0</v>
      </c>
      <c r="M693" s="12" t="s">
        <v>340</v>
      </c>
      <c r="N693" s="26" t="str">
        <f t="shared" si="2"/>
        <v>664
ASE
d</v>
      </c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0">
        <v>693.0</v>
      </c>
      <c r="B694" s="12" t="s">
        <v>4043</v>
      </c>
      <c r="C694" s="12" t="s">
        <v>249</v>
      </c>
      <c r="D694" s="23">
        <v>611.0</v>
      </c>
      <c r="E694" s="12" t="s">
        <v>4044</v>
      </c>
      <c r="F694" s="12" t="s">
        <v>3017</v>
      </c>
      <c r="G694" s="12" t="s">
        <v>3012</v>
      </c>
      <c r="H694" s="12" t="s">
        <v>57</v>
      </c>
      <c r="I694" s="23">
        <v>9.789794657256E12</v>
      </c>
      <c r="J694" s="12">
        <v>2010.0</v>
      </c>
      <c r="K694" s="23">
        <v>100.0</v>
      </c>
      <c r="L694" s="24">
        <v>2.0</v>
      </c>
      <c r="M694" s="25" t="s">
        <v>4045</v>
      </c>
      <c r="N694" s="26" t="str">
        <f t="shared" si="2"/>
        <v>611
KOE
k</v>
      </c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0">
        <v>694.0</v>
      </c>
      <c r="B695" s="12" t="s">
        <v>3744</v>
      </c>
      <c r="C695" s="12" t="s">
        <v>249</v>
      </c>
      <c r="D695" s="23" t="s">
        <v>4046</v>
      </c>
      <c r="E695" s="12" t="s">
        <v>4047</v>
      </c>
      <c r="F695" s="12" t="s">
        <v>3011</v>
      </c>
      <c r="G695" s="12" t="s">
        <v>3012</v>
      </c>
      <c r="H695" s="12" t="s">
        <v>57</v>
      </c>
      <c r="I695" s="23">
        <v>9.789794657232E12</v>
      </c>
      <c r="J695" s="12">
        <v>2010.0</v>
      </c>
      <c r="K695" s="23">
        <v>90.0</v>
      </c>
      <c r="L695" s="24">
        <v>2.0</v>
      </c>
      <c r="M695" s="12" t="s">
        <v>340</v>
      </c>
      <c r="N695" s="26" t="str">
        <f t="shared" si="2"/>
        <v>615.9
ASE
z</v>
      </c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0">
        <v>695.0</v>
      </c>
      <c r="B696" s="12" t="s">
        <v>4048</v>
      </c>
      <c r="C696" s="12" t="s">
        <v>249</v>
      </c>
      <c r="D696" s="23">
        <v>610.0</v>
      </c>
      <c r="E696" s="12" t="s">
        <v>4049</v>
      </c>
      <c r="F696" s="12" t="s">
        <v>3017</v>
      </c>
      <c r="G696" s="12" t="s">
        <v>3012</v>
      </c>
      <c r="H696" s="12" t="s">
        <v>57</v>
      </c>
      <c r="I696" s="23">
        <v>9.789794657041E12</v>
      </c>
      <c r="J696" s="12">
        <v>2010.0</v>
      </c>
      <c r="K696" s="23">
        <v>100.0</v>
      </c>
      <c r="L696" s="24">
        <v>2.0</v>
      </c>
      <c r="M696" s="25" t="s">
        <v>4050</v>
      </c>
      <c r="N696" s="26" t="str">
        <f t="shared" si="2"/>
        <v>610
KOE
e</v>
      </c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0">
        <v>696.0</v>
      </c>
      <c r="B697" s="12" t="s">
        <v>4051</v>
      </c>
      <c r="C697" s="12" t="s">
        <v>249</v>
      </c>
      <c r="D697" s="35"/>
      <c r="E697" s="22"/>
      <c r="F697" s="12" t="s">
        <v>3017</v>
      </c>
      <c r="G697" s="12" t="s">
        <v>3012</v>
      </c>
      <c r="H697" s="12" t="s">
        <v>57</v>
      </c>
      <c r="I697" s="23">
        <v>9.789794657058E12</v>
      </c>
      <c r="J697" s="12">
        <v>2010.0</v>
      </c>
      <c r="K697" s="23">
        <v>100.0</v>
      </c>
      <c r="L697" s="24">
        <v>2.0</v>
      </c>
      <c r="M697" s="12" t="s">
        <v>340</v>
      </c>
      <c r="N697" s="26" t="str">
        <f t="shared" si="2"/>
        <v>
KOE
e</v>
      </c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0">
        <v>697.0</v>
      </c>
      <c r="B698" s="12" t="s">
        <v>4052</v>
      </c>
      <c r="C698" s="12" t="s">
        <v>249</v>
      </c>
      <c r="D698" s="35"/>
      <c r="E698" s="22"/>
      <c r="F698" s="12" t="s">
        <v>3017</v>
      </c>
      <c r="G698" s="12" t="s">
        <v>3012</v>
      </c>
      <c r="H698" s="12" t="s">
        <v>57</v>
      </c>
      <c r="I698" s="23">
        <v>9.789794657065E12</v>
      </c>
      <c r="J698" s="12">
        <v>2010.0</v>
      </c>
      <c r="K698" s="23">
        <v>100.0</v>
      </c>
      <c r="L698" s="24">
        <v>2.0</v>
      </c>
      <c r="M698" s="12" t="s">
        <v>340</v>
      </c>
      <c r="N698" s="26" t="str">
        <f t="shared" si="2"/>
        <v>
KOE
e</v>
      </c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0">
        <v>698.0</v>
      </c>
      <c r="B699" s="12" t="s">
        <v>4053</v>
      </c>
      <c r="C699" s="12" t="s">
        <v>249</v>
      </c>
      <c r="D699" s="35"/>
      <c r="E699" s="22"/>
      <c r="F699" s="12" t="s">
        <v>3017</v>
      </c>
      <c r="G699" s="12" t="s">
        <v>3012</v>
      </c>
      <c r="H699" s="12" t="s">
        <v>57</v>
      </c>
      <c r="I699" s="23">
        <v>9.789794657072E12</v>
      </c>
      <c r="J699" s="12">
        <v>2010.0</v>
      </c>
      <c r="K699" s="23">
        <v>100.0</v>
      </c>
      <c r="L699" s="24">
        <v>2.0</v>
      </c>
      <c r="M699" s="12" t="s">
        <v>340</v>
      </c>
      <c r="N699" s="26" t="str">
        <f t="shared" si="2"/>
        <v>
KOE
e</v>
      </c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0">
        <v>699.0</v>
      </c>
      <c r="B700" s="12" t="s">
        <v>4054</v>
      </c>
      <c r="C700" s="12" t="s">
        <v>249</v>
      </c>
      <c r="D700" s="35"/>
      <c r="E700" s="22"/>
      <c r="F700" s="12" t="s">
        <v>3017</v>
      </c>
      <c r="G700" s="12" t="s">
        <v>3012</v>
      </c>
      <c r="H700" s="12" t="s">
        <v>57</v>
      </c>
      <c r="I700" s="23">
        <v>9.789794657348E12</v>
      </c>
      <c r="J700" s="12">
        <v>2010.0</v>
      </c>
      <c r="K700" s="23">
        <v>100.0</v>
      </c>
      <c r="L700" s="24">
        <v>2.0</v>
      </c>
      <c r="M700" s="12" t="s">
        <v>340</v>
      </c>
      <c r="N700" s="26" t="str">
        <f t="shared" si="2"/>
        <v>
KOE
e</v>
      </c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0">
        <v>700.0</v>
      </c>
      <c r="B701" s="12" t="s">
        <v>4055</v>
      </c>
      <c r="C701" s="12" t="s">
        <v>249</v>
      </c>
      <c r="D701" s="35"/>
      <c r="E701" s="22"/>
      <c r="F701" s="12" t="s">
        <v>3017</v>
      </c>
      <c r="G701" s="12" t="s">
        <v>3012</v>
      </c>
      <c r="H701" s="12" t="s">
        <v>57</v>
      </c>
      <c r="I701" s="23">
        <v>9.789794657355E12</v>
      </c>
      <c r="J701" s="12">
        <v>2010.0</v>
      </c>
      <c r="K701" s="23">
        <v>100.0</v>
      </c>
      <c r="L701" s="24">
        <v>2.0</v>
      </c>
      <c r="M701" s="12" t="s">
        <v>340</v>
      </c>
      <c r="N701" s="26" t="str">
        <f t="shared" si="2"/>
        <v>
KOE
e</v>
      </c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0">
        <v>701.0</v>
      </c>
      <c r="B702" s="12" t="s">
        <v>4056</v>
      </c>
      <c r="C702" s="12" t="s">
        <v>249</v>
      </c>
      <c r="D702" s="35"/>
      <c r="E702" s="22"/>
      <c r="F702" s="12" t="s">
        <v>4057</v>
      </c>
      <c r="G702" s="12" t="s">
        <v>4058</v>
      </c>
      <c r="H702" s="12" t="s">
        <v>57</v>
      </c>
      <c r="I702" s="23">
        <v>9.78979465516E12</v>
      </c>
      <c r="J702" s="12">
        <v>2010.0</v>
      </c>
      <c r="K702" s="23">
        <v>52.0</v>
      </c>
      <c r="L702" s="24">
        <v>2.0</v>
      </c>
      <c r="M702" s="12" t="s">
        <v>340</v>
      </c>
      <c r="N702" s="26" t="str">
        <f t="shared" si="2"/>
        <v>
KUS
v</v>
      </c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0">
        <v>702.0</v>
      </c>
      <c r="B703" s="12" t="s">
        <v>4059</v>
      </c>
      <c r="C703" s="12" t="s">
        <v>249</v>
      </c>
      <c r="D703" s="35"/>
      <c r="E703" s="22"/>
      <c r="F703" s="12" t="s">
        <v>4057</v>
      </c>
      <c r="G703" s="12" t="s">
        <v>4058</v>
      </c>
      <c r="H703" s="12" t="s">
        <v>57</v>
      </c>
      <c r="I703" s="23">
        <v>9.789794655177E12</v>
      </c>
      <c r="J703" s="12">
        <v>2010.0</v>
      </c>
      <c r="K703" s="23">
        <v>52.0</v>
      </c>
      <c r="L703" s="24">
        <v>2.0</v>
      </c>
      <c r="M703" s="12" t="s">
        <v>340</v>
      </c>
      <c r="N703" s="26" t="str">
        <f t="shared" si="2"/>
        <v>
KUS
v</v>
      </c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0">
        <v>703.0</v>
      </c>
      <c r="B704" s="12" t="s">
        <v>4060</v>
      </c>
      <c r="C704" s="12" t="s">
        <v>249</v>
      </c>
      <c r="D704" s="35"/>
      <c r="E704" s="22"/>
      <c r="F704" s="12" t="s">
        <v>4057</v>
      </c>
      <c r="G704" s="12" t="s">
        <v>4058</v>
      </c>
      <c r="H704" s="12" t="s">
        <v>57</v>
      </c>
      <c r="I704" s="23">
        <v>9.789794654811E12</v>
      </c>
      <c r="J704" s="12">
        <v>2010.0</v>
      </c>
      <c r="K704" s="23">
        <v>52.0</v>
      </c>
      <c r="L704" s="24">
        <v>2.0</v>
      </c>
      <c r="M704" s="12" t="s">
        <v>340</v>
      </c>
      <c r="N704" s="26" t="str">
        <f t="shared" si="2"/>
        <v>
KUS
a</v>
      </c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0">
        <v>704.0</v>
      </c>
      <c r="B705" s="12" t="s">
        <v>4061</v>
      </c>
      <c r="C705" s="12" t="s">
        <v>249</v>
      </c>
      <c r="D705" s="35"/>
      <c r="E705" s="22"/>
      <c r="F705" s="12" t="s">
        <v>4057</v>
      </c>
      <c r="G705" s="12" t="s">
        <v>4058</v>
      </c>
      <c r="H705" s="12" t="s">
        <v>57</v>
      </c>
      <c r="I705" s="23">
        <v>9.789794654743E12</v>
      </c>
      <c r="J705" s="12">
        <v>2010.0</v>
      </c>
      <c r="K705" s="23">
        <v>50.0</v>
      </c>
      <c r="L705" s="24">
        <v>2.0</v>
      </c>
      <c r="M705" s="12" t="s">
        <v>340</v>
      </c>
      <c r="N705" s="26" t="str">
        <f t="shared" si="2"/>
        <v>
KUS
b</v>
      </c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0">
        <v>705.0</v>
      </c>
      <c r="B706" s="12" t="s">
        <v>4062</v>
      </c>
      <c r="C706" s="12" t="s">
        <v>249</v>
      </c>
      <c r="D706" s="35"/>
      <c r="E706" s="22"/>
      <c r="F706" s="12" t="s">
        <v>4057</v>
      </c>
      <c r="G706" s="12" t="s">
        <v>4058</v>
      </c>
      <c r="H706" s="12" t="s">
        <v>57</v>
      </c>
      <c r="I706" s="23">
        <v>9.789794654989E12</v>
      </c>
      <c r="J706" s="12">
        <v>2010.0</v>
      </c>
      <c r="K706" s="23">
        <v>50.0</v>
      </c>
      <c r="L706" s="24">
        <v>2.0</v>
      </c>
      <c r="M706" s="12" t="s">
        <v>340</v>
      </c>
      <c r="N706" s="26" t="str">
        <f t="shared" si="2"/>
        <v>
KUS
b</v>
      </c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0">
        <v>706.0</v>
      </c>
      <c r="B707" s="12" t="s">
        <v>3750</v>
      </c>
      <c r="C707" s="12" t="s">
        <v>249</v>
      </c>
      <c r="D707" s="35"/>
      <c r="E707" s="22"/>
      <c r="F707" s="12" t="s">
        <v>3011</v>
      </c>
      <c r="G707" s="12" t="s">
        <v>3012</v>
      </c>
      <c r="H707" s="12" t="s">
        <v>57</v>
      </c>
      <c r="I707" s="23">
        <v>9.789794657164E12</v>
      </c>
      <c r="J707" s="12">
        <v>2010.0</v>
      </c>
      <c r="K707" s="23">
        <v>88.0</v>
      </c>
      <c r="L707" s="24">
        <v>2.0</v>
      </c>
      <c r="M707" s="12" t="s">
        <v>340</v>
      </c>
      <c r="N707" s="26" t="str">
        <f t="shared" si="2"/>
        <v>
ASE
m</v>
      </c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0">
        <v>707.0</v>
      </c>
      <c r="B708" s="12" t="s">
        <v>4063</v>
      </c>
      <c r="C708" s="12" t="s">
        <v>249</v>
      </c>
      <c r="D708" s="35"/>
      <c r="E708" s="22"/>
      <c r="F708" s="12" t="s">
        <v>3034</v>
      </c>
      <c r="G708" s="22"/>
      <c r="H708" s="12" t="s">
        <v>57</v>
      </c>
      <c r="I708" s="23">
        <v>9.789794655269E12</v>
      </c>
      <c r="J708" s="12">
        <v>2011.0</v>
      </c>
      <c r="K708" s="23">
        <v>52.0</v>
      </c>
      <c r="L708" s="24">
        <v>2.0</v>
      </c>
      <c r="M708" s="12" t="s">
        <v>340</v>
      </c>
      <c r="N708" s="26" t="str">
        <f t="shared" si="2"/>
        <v>
E. 
m</v>
      </c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0">
        <v>708.0</v>
      </c>
      <c r="B709" s="12" t="s">
        <v>4064</v>
      </c>
      <c r="C709" s="12" t="s">
        <v>249</v>
      </c>
      <c r="D709" s="23" t="s">
        <v>4065</v>
      </c>
      <c r="E709" s="12" t="s">
        <v>4066</v>
      </c>
      <c r="F709" s="12" t="s">
        <v>4067</v>
      </c>
      <c r="G709" s="22"/>
      <c r="H709" s="12" t="s">
        <v>1735</v>
      </c>
      <c r="I709" s="23" t="s">
        <v>4068</v>
      </c>
      <c r="J709" s="12">
        <v>2015.0</v>
      </c>
      <c r="K709" s="23">
        <v>64.0</v>
      </c>
      <c r="L709" s="24">
        <v>3.0</v>
      </c>
      <c r="M709" s="12" t="s">
        <v>340</v>
      </c>
      <c r="N709" s="26" t="str">
        <f t="shared" si="2"/>
        <v>651.3
ANA
e</v>
      </c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0">
        <v>709.0</v>
      </c>
      <c r="B710" s="12" t="s">
        <v>4069</v>
      </c>
      <c r="C710" s="12" t="s">
        <v>249</v>
      </c>
      <c r="D710" s="36" t="s">
        <v>4070</v>
      </c>
      <c r="E710" s="12" t="s">
        <v>4071</v>
      </c>
      <c r="F710" s="12" t="s">
        <v>106</v>
      </c>
      <c r="G710" s="12" t="s">
        <v>4072</v>
      </c>
      <c r="H710" s="12" t="s">
        <v>2909</v>
      </c>
      <c r="I710" s="23">
        <v>9.786028713283E12</v>
      </c>
      <c r="J710" s="12">
        <v>2013.0</v>
      </c>
      <c r="K710" s="23">
        <v>88.0</v>
      </c>
      <c r="L710" s="24">
        <v>4.0</v>
      </c>
      <c r="M710" s="25" t="s">
        <v>4073</v>
      </c>
      <c r="N710" s="26" t="str">
        <f t="shared" si="2"/>
        <v>651.1
FAJ
t</v>
      </c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0">
        <v>710.0</v>
      </c>
      <c r="B711" s="12" t="s">
        <v>4074</v>
      </c>
      <c r="C711" s="12" t="s">
        <v>249</v>
      </c>
      <c r="D711" s="35"/>
      <c r="E711" s="22"/>
      <c r="F711" s="12" t="s">
        <v>3047</v>
      </c>
      <c r="G711" s="12" t="s">
        <v>3048</v>
      </c>
      <c r="H711" s="12" t="s">
        <v>2141</v>
      </c>
      <c r="I711" s="23" t="s">
        <v>4075</v>
      </c>
      <c r="J711" s="12">
        <v>2015.0</v>
      </c>
      <c r="K711" s="23">
        <v>130.0</v>
      </c>
      <c r="L711" s="24">
        <v>1.0</v>
      </c>
      <c r="M711" s="12" t="s">
        <v>340</v>
      </c>
      <c r="N711" s="26" t="str">
        <f t="shared" si="2"/>
        <v>
PUT
p</v>
      </c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0">
        <v>711.0</v>
      </c>
      <c r="B712" s="12" t="s">
        <v>4076</v>
      </c>
      <c r="C712" s="12" t="s">
        <v>249</v>
      </c>
      <c r="D712" s="35"/>
      <c r="E712" s="22"/>
      <c r="F712" s="12" t="s">
        <v>4077</v>
      </c>
      <c r="G712" s="12" t="s">
        <v>518</v>
      </c>
      <c r="H712" s="12" t="s">
        <v>4078</v>
      </c>
      <c r="I712" s="23" t="s">
        <v>4079</v>
      </c>
      <c r="J712" s="12">
        <v>2010.0</v>
      </c>
      <c r="K712" s="23">
        <v>50.0</v>
      </c>
      <c r="L712" s="24">
        <v>1.0</v>
      </c>
      <c r="M712" s="12" t="s">
        <v>340</v>
      </c>
      <c r="N712" s="26" t="str">
        <f t="shared" si="2"/>
        <v>
SUP
k</v>
      </c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0">
        <v>712.0</v>
      </c>
      <c r="B713" s="12" t="s">
        <v>4069</v>
      </c>
      <c r="C713" s="12" t="s">
        <v>249</v>
      </c>
      <c r="D713" s="35"/>
      <c r="E713" s="22"/>
      <c r="F713" s="12" t="s">
        <v>2488</v>
      </c>
      <c r="G713" s="12" t="s">
        <v>4080</v>
      </c>
      <c r="H713" s="12" t="s">
        <v>2077</v>
      </c>
      <c r="I713" s="23" t="s">
        <v>4081</v>
      </c>
      <c r="J713" s="12">
        <v>2015.0</v>
      </c>
      <c r="K713" s="23">
        <v>76.0</v>
      </c>
      <c r="L713" s="24">
        <v>2.0</v>
      </c>
      <c r="M713" s="12" t="s">
        <v>340</v>
      </c>
      <c r="N713" s="26" t="str">
        <f t="shared" si="2"/>
        <v>
JOH
t</v>
      </c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0">
        <v>713.0</v>
      </c>
      <c r="B714" s="12" t="s">
        <v>4082</v>
      </c>
      <c r="C714" s="12" t="s">
        <v>249</v>
      </c>
      <c r="D714" s="35"/>
      <c r="E714" s="22"/>
      <c r="F714" s="12" t="s">
        <v>4083</v>
      </c>
      <c r="G714" s="12" t="s">
        <v>495</v>
      </c>
      <c r="H714" s="12" t="s">
        <v>762</v>
      </c>
      <c r="I714" s="23" t="s">
        <v>4084</v>
      </c>
      <c r="J714" s="12">
        <v>2012.0</v>
      </c>
      <c r="K714" s="23">
        <v>58.0</v>
      </c>
      <c r="L714" s="24">
        <v>2.0</v>
      </c>
      <c r="M714" s="12" t="s">
        <v>340</v>
      </c>
      <c r="N714" s="26" t="str">
        <f t="shared" si="2"/>
        <v>
NUR
w</v>
      </c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0">
        <v>714.0</v>
      </c>
      <c r="B715" s="12" t="s">
        <v>4085</v>
      </c>
      <c r="C715" s="12" t="s">
        <v>249</v>
      </c>
      <c r="D715" s="35"/>
      <c r="E715" s="22"/>
      <c r="F715" s="12" t="s">
        <v>4086</v>
      </c>
      <c r="G715" s="22"/>
      <c r="H715" s="12" t="s">
        <v>1965</v>
      </c>
      <c r="I715" s="23" t="s">
        <v>4087</v>
      </c>
      <c r="J715" s="12">
        <v>2013.0</v>
      </c>
      <c r="K715" s="23">
        <v>187.0</v>
      </c>
      <c r="L715" s="24">
        <v>1.0</v>
      </c>
      <c r="M715" s="12" t="s">
        <v>340</v>
      </c>
      <c r="N715" s="26" t="str">
        <f t="shared" si="2"/>
        <v>
JUB
e</v>
      </c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0">
        <v>715.0</v>
      </c>
      <c r="B716" s="12" t="s">
        <v>4088</v>
      </c>
      <c r="C716" s="12" t="s">
        <v>249</v>
      </c>
      <c r="D716" s="35"/>
      <c r="E716" s="22"/>
      <c r="F716" s="12" t="s">
        <v>4089</v>
      </c>
      <c r="G716" s="12" t="s">
        <v>3283</v>
      </c>
      <c r="H716" s="12" t="s">
        <v>4090</v>
      </c>
      <c r="I716" s="35"/>
      <c r="J716" s="12">
        <v>2015.0</v>
      </c>
      <c r="K716" s="23">
        <v>64.0</v>
      </c>
      <c r="L716" s="24">
        <v>2.0</v>
      </c>
      <c r="M716" s="12" t="s">
        <v>340</v>
      </c>
      <c r="N716" s="26" t="str">
        <f t="shared" si="2"/>
        <v>
ERI
j</v>
      </c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0">
        <v>716.0</v>
      </c>
      <c r="B717" s="12" t="s">
        <v>4091</v>
      </c>
      <c r="C717" s="12" t="s">
        <v>225</v>
      </c>
      <c r="D717" s="23" t="s">
        <v>4092</v>
      </c>
      <c r="E717" s="12" t="s">
        <v>4093</v>
      </c>
      <c r="F717" s="12" t="s">
        <v>4094</v>
      </c>
      <c r="G717" s="12" t="s">
        <v>4095</v>
      </c>
      <c r="H717" s="12" t="s">
        <v>4096</v>
      </c>
      <c r="I717" s="23" t="s">
        <v>4097</v>
      </c>
      <c r="J717" s="12">
        <v>2008.0</v>
      </c>
      <c r="K717" s="23">
        <v>512.0</v>
      </c>
      <c r="L717" s="24">
        <v>1.0</v>
      </c>
      <c r="M717" s="25" t="s">
        <v>4098</v>
      </c>
      <c r="N717" s="26" t="str">
        <f t="shared" si="2"/>
        <v>153.4
RAH
t</v>
      </c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0">
        <v>717.0</v>
      </c>
      <c r="B718" s="12" t="s">
        <v>4099</v>
      </c>
      <c r="C718" s="12" t="s">
        <v>249</v>
      </c>
      <c r="D718" s="35"/>
      <c r="E718" s="22"/>
      <c r="F718" s="12" t="s">
        <v>4100</v>
      </c>
      <c r="G718" s="12" t="s">
        <v>4101</v>
      </c>
      <c r="H718" s="12" t="s">
        <v>4102</v>
      </c>
      <c r="I718" s="35"/>
      <c r="J718" s="22"/>
      <c r="K718" s="23">
        <v>224.0</v>
      </c>
      <c r="L718" s="24">
        <v>1.0</v>
      </c>
      <c r="M718" s="12" t="s">
        <v>340</v>
      </c>
      <c r="N718" s="26" t="str">
        <f t="shared" si="2"/>
        <v>
ABU
t</v>
      </c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0">
        <v>718.0</v>
      </c>
      <c r="B719" s="12" t="s">
        <v>4103</v>
      </c>
      <c r="C719" s="12" t="s">
        <v>249</v>
      </c>
      <c r="D719" s="35"/>
      <c r="E719" s="22"/>
      <c r="F719" s="12" t="s">
        <v>4104</v>
      </c>
      <c r="G719" s="22"/>
      <c r="H719" s="12" t="s">
        <v>4105</v>
      </c>
      <c r="I719" s="23" t="s">
        <v>4106</v>
      </c>
      <c r="J719" s="12">
        <v>2009.0</v>
      </c>
      <c r="K719" s="23">
        <v>142.0</v>
      </c>
      <c r="L719" s="24">
        <v>1.0</v>
      </c>
      <c r="M719" s="12" t="s">
        <v>340</v>
      </c>
      <c r="N719" s="26" t="str">
        <f t="shared" si="2"/>
        <v>
ROB
r</v>
      </c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0">
        <v>719.0</v>
      </c>
      <c r="B720" s="12" t="s">
        <v>4107</v>
      </c>
      <c r="C720" s="12" t="s">
        <v>249</v>
      </c>
      <c r="D720" s="35"/>
      <c r="E720" s="22"/>
      <c r="F720" s="12" t="s">
        <v>4108</v>
      </c>
      <c r="G720" s="12" t="s">
        <v>4109</v>
      </c>
      <c r="H720" s="12" t="s">
        <v>4110</v>
      </c>
      <c r="I720" s="23" t="s">
        <v>4111</v>
      </c>
      <c r="J720" s="12">
        <v>2015.0</v>
      </c>
      <c r="K720" s="23">
        <v>56.0</v>
      </c>
      <c r="L720" s="24">
        <v>1.0</v>
      </c>
      <c r="M720" s="12" t="s">
        <v>340</v>
      </c>
      <c r="N720" s="26" t="str">
        <f t="shared" si="2"/>
        <v>
SEK
i</v>
      </c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0">
        <v>720.0</v>
      </c>
      <c r="B721" s="12" t="s">
        <v>4112</v>
      </c>
      <c r="C721" s="12" t="s">
        <v>249</v>
      </c>
      <c r="D721" s="35"/>
      <c r="E721" s="22"/>
      <c r="F721" s="12" t="s">
        <v>4113</v>
      </c>
      <c r="G721" s="12" t="s">
        <v>4114</v>
      </c>
      <c r="H721" s="12" t="s">
        <v>4115</v>
      </c>
      <c r="I721" s="23" t="s">
        <v>4116</v>
      </c>
      <c r="J721" s="12">
        <v>2015.0</v>
      </c>
      <c r="K721" s="23">
        <v>54.0</v>
      </c>
      <c r="L721" s="24">
        <v>1.0</v>
      </c>
      <c r="M721" s="12" t="s">
        <v>340</v>
      </c>
      <c r="N721" s="26" t="str">
        <f t="shared" si="2"/>
        <v>
SOF
t</v>
      </c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0">
        <v>721.0</v>
      </c>
      <c r="B722" s="12" t="s">
        <v>4069</v>
      </c>
      <c r="C722" s="12" t="s">
        <v>249</v>
      </c>
      <c r="D722" s="36" t="s">
        <v>4070</v>
      </c>
      <c r="E722" s="12" t="s">
        <v>4071</v>
      </c>
      <c r="F722" s="12" t="s">
        <v>4117</v>
      </c>
      <c r="G722" s="12" t="s">
        <v>2889</v>
      </c>
      <c r="H722" s="12" t="s">
        <v>3732</v>
      </c>
      <c r="I722" s="23">
        <v>9.789790272235E12</v>
      </c>
      <c r="J722" s="12">
        <v>2008.0</v>
      </c>
      <c r="K722" s="23">
        <v>89.0</v>
      </c>
      <c r="L722" s="24">
        <v>1.0</v>
      </c>
      <c r="M722" s="25" t="s">
        <v>4073</v>
      </c>
      <c r="N722" s="26" t="str">
        <f t="shared" si="2"/>
        <v>651.1
ATA
t</v>
      </c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0">
        <v>722.0</v>
      </c>
      <c r="B723" s="12" t="s">
        <v>4118</v>
      </c>
      <c r="C723" s="12" t="s">
        <v>249</v>
      </c>
      <c r="D723" s="35"/>
      <c r="E723" s="22"/>
      <c r="F723" s="12" t="s">
        <v>3136</v>
      </c>
      <c r="G723" s="12" t="s">
        <v>875</v>
      </c>
      <c r="H723" s="12" t="s">
        <v>3136</v>
      </c>
      <c r="I723" s="23" t="s">
        <v>4119</v>
      </c>
      <c r="J723" s="12">
        <v>2008.0</v>
      </c>
      <c r="K723" s="23">
        <v>74.0</v>
      </c>
      <c r="L723" s="24">
        <v>1.0</v>
      </c>
      <c r="M723" s="12" t="s">
        <v>340</v>
      </c>
      <c r="N723" s="26" t="str">
        <f t="shared" si="2"/>
        <v>
KOM
p</v>
      </c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0">
        <v>723.0</v>
      </c>
      <c r="B724" s="12" t="s">
        <v>4120</v>
      </c>
      <c r="C724" s="12" t="s">
        <v>262</v>
      </c>
      <c r="D724" s="23">
        <v>950.0</v>
      </c>
      <c r="E724" s="12" t="s">
        <v>4121</v>
      </c>
      <c r="F724" s="12" t="s">
        <v>4122</v>
      </c>
      <c r="G724" s="12" t="s">
        <v>4123</v>
      </c>
      <c r="H724" s="12" t="s">
        <v>4124</v>
      </c>
      <c r="I724" s="35"/>
      <c r="J724" s="12">
        <v>2013.0</v>
      </c>
      <c r="K724" s="23">
        <v>58.0</v>
      </c>
      <c r="L724" s="24">
        <v>1.0</v>
      </c>
      <c r="M724" s="25" t="s">
        <v>4125</v>
      </c>
      <c r="N724" s="26" t="str">
        <f t="shared" si="2"/>
        <v>950
AGU
s</v>
      </c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0">
        <v>724.0</v>
      </c>
      <c r="B725" s="12" t="s">
        <v>4126</v>
      </c>
      <c r="C725" s="12" t="s">
        <v>249</v>
      </c>
      <c r="D725" s="23">
        <v>610.0</v>
      </c>
      <c r="E725" s="12" t="s">
        <v>4127</v>
      </c>
      <c r="F725" s="12" t="s">
        <v>2308</v>
      </c>
      <c r="G725" s="12" t="s">
        <v>715</v>
      </c>
      <c r="H725" s="12" t="s">
        <v>2309</v>
      </c>
      <c r="I725" s="23" t="s">
        <v>4128</v>
      </c>
      <c r="J725" s="12">
        <v>2015.0</v>
      </c>
      <c r="K725" s="23">
        <v>58.0</v>
      </c>
      <c r="L725" s="24">
        <v>2.0</v>
      </c>
      <c r="M725" s="25" t="s">
        <v>4129</v>
      </c>
      <c r="N725" s="26" t="str">
        <f t="shared" si="2"/>
        <v>610
HET
a</v>
      </c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0">
        <v>725.0</v>
      </c>
      <c r="B726" s="12" t="s">
        <v>4130</v>
      </c>
      <c r="C726" s="12" t="s">
        <v>249</v>
      </c>
      <c r="D726" s="23">
        <v>610.0</v>
      </c>
      <c r="E726" s="12" t="s">
        <v>4049</v>
      </c>
      <c r="F726" s="12" t="s">
        <v>4131</v>
      </c>
      <c r="G726" s="12" t="s">
        <v>4132</v>
      </c>
      <c r="H726" s="12" t="s">
        <v>3356</v>
      </c>
      <c r="I726" s="35"/>
      <c r="J726" s="12">
        <v>2010.0</v>
      </c>
      <c r="K726" s="23">
        <v>52.0</v>
      </c>
      <c r="L726" s="24">
        <v>2.0</v>
      </c>
      <c r="M726" s="25" t="s">
        <v>4133</v>
      </c>
      <c r="N726" s="26" t="str">
        <f t="shared" si="2"/>
        <v>610
IND
k</v>
      </c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0">
        <v>726.0</v>
      </c>
      <c r="B727" s="12" t="s">
        <v>4134</v>
      </c>
      <c r="C727" s="12" t="s">
        <v>249</v>
      </c>
      <c r="D727" s="35"/>
      <c r="E727" s="22"/>
      <c r="F727" s="12" t="s">
        <v>4135</v>
      </c>
      <c r="G727" s="12" t="s">
        <v>4136</v>
      </c>
      <c r="H727" s="12" t="s">
        <v>4078</v>
      </c>
      <c r="I727" s="35"/>
      <c r="J727" s="12">
        <v>2006.0</v>
      </c>
      <c r="K727" s="23">
        <v>92.0</v>
      </c>
      <c r="L727" s="24">
        <v>1.0</v>
      </c>
      <c r="M727" s="12" t="s">
        <v>340</v>
      </c>
      <c r="N727" s="26" t="str">
        <f t="shared" si="2"/>
        <v>
ADE
p</v>
      </c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0">
        <v>727.0</v>
      </c>
      <c r="B728" s="12" t="s">
        <v>4137</v>
      </c>
      <c r="C728" s="12" t="s">
        <v>249</v>
      </c>
      <c r="D728" s="23" t="s">
        <v>4138</v>
      </c>
      <c r="E728" s="12" t="s">
        <v>4139</v>
      </c>
      <c r="F728" s="12" t="s">
        <v>4140</v>
      </c>
      <c r="G728" s="12" t="s">
        <v>107</v>
      </c>
      <c r="H728" s="12" t="s">
        <v>253</v>
      </c>
      <c r="I728" s="23" t="s">
        <v>4141</v>
      </c>
      <c r="J728" s="12">
        <v>2015.0</v>
      </c>
      <c r="K728" s="23">
        <v>70.0</v>
      </c>
      <c r="L728" s="24">
        <v>2.0</v>
      </c>
      <c r="M728" s="25" t="s">
        <v>4142</v>
      </c>
      <c r="N728" s="26" t="str">
        <f t="shared" si="2"/>
        <v>612.1
WAH
s</v>
      </c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0">
        <v>728.0</v>
      </c>
      <c r="B729" s="12" t="s">
        <v>4143</v>
      </c>
      <c r="C729" s="12" t="s">
        <v>249</v>
      </c>
      <c r="D729" s="23" t="s">
        <v>4144</v>
      </c>
      <c r="E729" s="12" t="s">
        <v>4145</v>
      </c>
      <c r="F729" s="12" t="s">
        <v>3093</v>
      </c>
      <c r="G729" s="12" t="s">
        <v>107</v>
      </c>
      <c r="H729" s="12" t="s">
        <v>253</v>
      </c>
      <c r="I729" s="23" t="s">
        <v>4146</v>
      </c>
      <c r="J729" s="12">
        <v>2015.0</v>
      </c>
      <c r="K729" s="23">
        <v>70.0</v>
      </c>
      <c r="L729" s="24">
        <v>2.0</v>
      </c>
      <c r="M729" s="25" t="s">
        <v>4147</v>
      </c>
      <c r="N729" s="26" t="str">
        <f t="shared" si="2"/>
        <v>611.2
HET
p</v>
      </c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0">
        <v>729.0</v>
      </c>
      <c r="B730" s="12" t="s">
        <v>4148</v>
      </c>
      <c r="C730" s="12" t="s">
        <v>249</v>
      </c>
      <c r="D730" s="23">
        <v>611.0</v>
      </c>
      <c r="E730" s="12" t="s">
        <v>4044</v>
      </c>
      <c r="F730" s="12" t="s">
        <v>4149</v>
      </c>
      <c r="G730" s="12" t="s">
        <v>107</v>
      </c>
      <c r="H730" s="12" t="s">
        <v>2141</v>
      </c>
      <c r="I730" s="23" t="s">
        <v>4150</v>
      </c>
      <c r="J730" s="12">
        <v>2015.0</v>
      </c>
      <c r="K730" s="23">
        <v>72.0</v>
      </c>
      <c r="L730" s="24">
        <v>2.0</v>
      </c>
      <c r="M730" s="25" t="s">
        <v>4151</v>
      </c>
      <c r="N730" s="26" t="str">
        <f t="shared" si="2"/>
        <v>611
RAH
s</v>
      </c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0">
        <v>730.0</v>
      </c>
      <c r="B731" s="12" t="s">
        <v>4152</v>
      </c>
      <c r="C731" s="12" t="s">
        <v>249</v>
      </c>
      <c r="D731" s="23">
        <v>611.0</v>
      </c>
      <c r="E731" s="12" t="s">
        <v>4044</v>
      </c>
      <c r="F731" s="12" t="s">
        <v>3145</v>
      </c>
      <c r="G731" s="12" t="s">
        <v>107</v>
      </c>
      <c r="H731" s="12" t="s">
        <v>2141</v>
      </c>
      <c r="I731" s="23" t="s">
        <v>4153</v>
      </c>
      <c r="J731" s="12">
        <v>2015.0</v>
      </c>
      <c r="K731" s="23">
        <v>70.0</v>
      </c>
      <c r="L731" s="24">
        <v>2.0</v>
      </c>
      <c r="M731" s="25" t="s">
        <v>4154</v>
      </c>
      <c r="N731" s="26" t="str">
        <f t="shared" si="2"/>
        <v>611
WAH
s</v>
      </c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0">
        <v>731.0</v>
      </c>
      <c r="B732" s="12" t="s">
        <v>4155</v>
      </c>
      <c r="C732" s="12" t="s">
        <v>249</v>
      </c>
      <c r="D732" s="23" t="s">
        <v>3032</v>
      </c>
      <c r="E732" s="12" t="s">
        <v>4156</v>
      </c>
      <c r="F732" s="12" t="s">
        <v>3312</v>
      </c>
      <c r="G732" s="12" t="s">
        <v>107</v>
      </c>
      <c r="H732" s="12" t="s">
        <v>2914</v>
      </c>
      <c r="I732" s="23">
        <v>9.786028712088E12</v>
      </c>
      <c r="J732" s="12">
        <v>2015.0</v>
      </c>
      <c r="K732" s="23">
        <v>72.0</v>
      </c>
      <c r="L732" s="24">
        <v>5.0</v>
      </c>
      <c r="M732" s="25" t="s">
        <v>4157</v>
      </c>
      <c r="N732" s="26" t="str">
        <f t="shared" si="2"/>
        <v>612.6
YEN
s</v>
      </c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0">
        <v>732.0</v>
      </c>
      <c r="B733" s="12" t="s">
        <v>4158</v>
      </c>
      <c r="C733" s="12" t="s">
        <v>249</v>
      </c>
      <c r="D733" s="35"/>
      <c r="E733" s="22"/>
      <c r="F733" s="12" t="s">
        <v>4159</v>
      </c>
      <c r="G733" s="12" t="s">
        <v>4132</v>
      </c>
      <c r="H733" s="12" t="s">
        <v>3521</v>
      </c>
      <c r="I733" s="23" t="s">
        <v>4160</v>
      </c>
      <c r="J733" s="12">
        <v>2007.0</v>
      </c>
      <c r="K733" s="23">
        <v>76.0</v>
      </c>
      <c r="L733" s="24">
        <v>1.0</v>
      </c>
      <c r="M733" s="12" t="s">
        <v>340</v>
      </c>
      <c r="N733" s="26" t="str">
        <f t="shared" si="2"/>
        <v>
TEG
g</v>
      </c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0">
        <v>733.0</v>
      </c>
      <c r="B734" s="12" t="s">
        <v>4161</v>
      </c>
      <c r="C734" s="12" t="s">
        <v>249</v>
      </c>
      <c r="D734" s="23">
        <v>610.0</v>
      </c>
      <c r="E734" s="12" t="s">
        <v>4049</v>
      </c>
      <c r="F734" s="12" t="s">
        <v>4162</v>
      </c>
      <c r="G734" s="12" t="s">
        <v>715</v>
      </c>
      <c r="H734" s="12" t="s">
        <v>2309</v>
      </c>
      <c r="I734" s="23" t="s">
        <v>4163</v>
      </c>
      <c r="J734" s="12">
        <v>2013.0</v>
      </c>
      <c r="K734" s="23">
        <v>58.0</v>
      </c>
      <c r="L734" s="24">
        <v>3.0</v>
      </c>
      <c r="M734" s="25" t="s">
        <v>4164</v>
      </c>
      <c r="N734" s="26" t="str">
        <f t="shared" si="2"/>
        <v>610
KAN
h</v>
      </c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0">
        <v>734.0</v>
      </c>
      <c r="B735" s="12" t="s">
        <v>4165</v>
      </c>
      <c r="C735" s="12" t="s">
        <v>249</v>
      </c>
      <c r="D735" s="35"/>
      <c r="E735" s="22"/>
      <c r="F735" s="12" t="s">
        <v>4166</v>
      </c>
      <c r="G735" s="12" t="s">
        <v>4167</v>
      </c>
      <c r="H735" s="12" t="s">
        <v>2384</v>
      </c>
      <c r="I735" s="23" t="s">
        <v>4168</v>
      </c>
      <c r="J735" s="22"/>
      <c r="K735" s="23">
        <v>50.0</v>
      </c>
      <c r="L735" s="24">
        <v>2.0</v>
      </c>
      <c r="M735" s="12" t="s">
        <v>340</v>
      </c>
      <c r="N735" s="26" t="str">
        <f t="shared" si="2"/>
        <v>
NUR
d</v>
      </c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0">
        <v>735.0</v>
      </c>
      <c r="B736" s="12" t="s">
        <v>4169</v>
      </c>
      <c r="C736" s="12" t="s">
        <v>249</v>
      </c>
      <c r="D736" s="35"/>
      <c r="E736" s="22"/>
      <c r="F736" s="12" t="s">
        <v>4170</v>
      </c>
      <c r="G736" s="12" t="s">
        <v>4171</v>
      </c>
      <c r="H736" s="12" t="s">
        <v>2069</v>
      </c>
      <c r="I736" s="23" t="s">
        <v>4172</v>
      </c>
      <c r="J736" s="12">
        <v>2014.0</v>
      </c>
      <c r="K736" s="23">
        <v>76.0</v>
      </c>
      <c r="L736" s="24">
        <v>3.0</v>
      </c>
      <c r="M736" s="12" t="s">
        <v>340</v>
      </c>
      <c r="N736" s="26" t="str">
        <f t="shared" si="2"/>
        <v>
RIZ
b</v>
      </c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0">
        <v>736.0</v>
      </c>
      <c r="B737" s="12" t="s">
        <v>4173</v>
      </c>
      <c r="C737" s="12" t="s">
        <v>249</v>
      </c>
      <c r="D737" s="23" t="s">
        <v>3168</v>
      </c>
      <c r="E737" s="12" t="s">
        <v>4174</v>
      </c>
      <c r="F737" s="12" t="s">
        <v>4175</v>
      </c>
      <c r="G737" s="12" t="s">
        <v>4176</v>
      </c>
      <c r="H737" s="12" t="s">
        <v>4177</v>
      </c>
      <c r="I737" s="23" t="s">
        <v>4178</v>
      </c>
      <c r="J737" s="12">
        <v>2010.0</v>
      </c>
      <c r="K737" s="23">
        <v>56.0</v>
      </c>
      <c r="L737" s="24">
        <v>1.0</v>
      </c>
      <c r="M737" s="25" t="s">
        <v>4179</v>
      </c>
      <c r="N737" s="26" t="str">
        <f t="shared" si="2"/>
        <v>615.3
SAR
a</v>
      </c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0">
        <v>737.0</v>
      </c>
      <c r="B738" s="12" t="s">
        <v>4180</v>
      </c>
      <c r="C738" s="12" t="s">
        <v>249</v>
      </c>
      <c r="D738" s="23">
        <v>620.0</v>
      </c>
      <c r="E738" s="12" t="s">
        <v>4181</v>
      </c>
      <c r="F738" s="12" t="s">
        <v>4182</v>
      </c>
      <c r="G738" s="12" t="s">
        <v>4183</v>
      </c>
      <c r="H738" s="12" t="s">
        <v>1691</v>
      </c>
      <c r="I738" s="23" t="s">
        <v>4184</v>
      </c>
      <c r="J738" s="12">
        <v>2011.0</v>
      </c>
      <c r="K738" s="35"/>
      <c r="L738" s="24">
        <v>1.0</v>
      </c>
      <c r="M738" s="25" t="s">
        <v>4185</v>
      </c>
      <c r="N738" s="26" t="str">
        <f t="shared" si="2"/>
        <v>620
BAH
m</v>
      </c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0">
        <v>738.0</v>
      </c>
      <c r="B739" s="12" t="s">
        <v>4186</v>
      </c>
      <c r="C739" s="12" t="s">
        <v>249</v>
      </c>
      <c r="D739" s="35"/>
      <c r="E739" s="22"/>
      <c r="F739" s="12" t="s">
        <v>4187</v>
      </c>
      <c r="G739" s="22"/>
      <c r="H739" s="12" t="s">
        <v>3969</v>
      </c>
      <c r="I739" s="35"/>
      <c r="J739" s="22"/>
      <c r="K739" s="35"/>
      <c r="L739" s="24">
        <v>1.0</v>
      </c>
      <c r="M739" s="12" t="s">
        <v>340</v>
      </c>
      <c r="N739" s="26" t="str">
        <f t="shared" si="2"/>
        <v>
M. 
s</v>
      </c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0">
        <v>739.0</v>
      </c>
      <c r="B740" s="12" t="s">
        <v>4188</v>
      </c>
      <c r="C740" s="12" t="s">
        <v>249</v>
      </c>
      <c r="D740" s="23" t="s">
        <v>4189</v>
      </c>
      <c r="E740" s="12" t="s">
        <v>4190</v>
      </c>
      <c r="F740" s="12" t="s">
        <v>2880</v>
      </c>
      <c r="G740" s="12" t="s">
        <v>4191</v>
      </c>
      <c r="H740" s="12" t="s">
        <v>2507</v>
      </c>
      <c r="I740" s="23">
        <v>9.789790040267E12</v>
      </c>
      <c r="J740" s="12">
        <v>2007.0</v>
      </c>
      <c r="K740" s="23">
        <v>52.0</v>
      </c>
      <c r="L740" s="24">
        <v>4.0</v>
      </c>
      <c r="M740" s="25" t="s">
        <v>4192</v>
      </c>
      <c r="N740" s="26" t="str">
        <f t="shared" si="2"/>
        <v>633.7
TAN
s</v>
      </c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0">
        <v>740.0</v>
      </c>
      <c r="B741" s="12" t="s">
        <v>4193</v>
      </c>
      <c r="C741" s="12" t="s">
        <v>249</v>
      </c>
      <c r="D741" s="23">
        <v>631.0</v>
      </c>
      <c r="E741" s="12" t="s">
        <v>4194</v>
      </c>
      <c r="F741" s="12" t="s">
        <v>4195</v>
      </c>
      <c r="G741" s="12" t="s">
        <v>4196</v>
      </c>
      <c r="H741" s="12" t="s">
        <v>3217</v>
      </c>
      <c r="I741" s="23">
        <v>9.789790030282E12</v>
      </c>
      <c r="J741" s="12">
        <v>2009.0</v>
      </c>
      <c r="K741" s="23">
        <v>58.0</v>
      </c>
      <c r="L741" s="24">
        <v>4.0</v>
      </c>
      <c r="M741" s="25" t="s">
        <v>4197</v>
      </c>
      <c r="N741" s="26" t="str">
        <f t="shared" si="2"/>
        <v>631
IND
s</v>
      </c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0">
        <v>741.0</v>
      </c>
      <c r="B742" s="12" t="s">
        <v>4198</v>
      </c>
      <c r="C742" s="12" t="s">
        <v>38</v>
      </c>
      <c r="D742" s="23">
        <v>813.0</v>
      </c>
      <c r="E742" s="12" t="s">
        <v>64</v>
      </c>
      <c r="F742" s="12" t="s">
        <v>4199</v>
      </c>
      <c r="G742" s="12"/>
      <c r="H742" s="12" t="s">
        <v>4200</v>
      </c>
      <c r="I742" s="23" t="s">
        <v>4201</v>
      </c>
      <c r="J742" s="12">
        <v>2014.0</v>
      </c>
      <c r="K742" s="23" t="s">
        <v>4202</v>
      </c>
      <c r="L742" s="24">
        <v>1.0</v>
      </c>
      <c r="M742" s="25" t="s">
        <v>4203</v>
      </c>
      <c r="N742" s="26" t="str">
        <f t="shared" si="2"/>
        <v>813
GHY
g</v>
      </c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0">
        <v>742.0</v>
      </c>
      <c r="B743" s="12" t="s">
        <v>4051</v>
      </c>
      <c r="C743" s="12" t="s">
        <v>249</v>
      </c>
      <c r="D743" s="35"/>
      <c r="E743" s="22"/>
      <c r="F743" s="12" t="s">
        <v>3017</v>
      </c>
      <c r="G743" s="12" t="s">
        <v>3012</v>
      </c>
      <c r="H743" s="12" t="s">
        <v>57</v>
      </c>
      <c r="I743" s="23">
        <v>9.789794657058E12</v>
      </c>
      <c r="J743" s="12">
        <v>2010.0</v>
      </c>
      <c r="K743" s="23">
        <v>100.0</v>
      </c>
      <c r="L743" s="24">
        <v>2.0</v>
      </c>
      <c r="M743" s="12" t="s">
        <v>340</v>
      </c>
      <c r="N743" s="26" t="str">
        <f t="shared" si="2"/>
        <v>
KOE
e</v>
      </c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0">
        <v>743.0</v>
      </c>
      <c r="B744" s="12" t="s">
        <v>4052</v>
      </c>
      <c r="C744" s="12" t="s">
        <v>249</v>
      </c>
      <c r="D744" s="35"/>
      <c r="E744" s="22"/>
      <c r="F744" s="12" t="s">
        <v>3017</v>
      </c>
      <c r="G744" s="12" t="s">
        <v>3012</v>
      </c>
      <c r="H744" s="12" t="s">
        <v>57</v>
      </c>
      <c r="I744" s="23">
        <v>9.789794657065E12</v>
      </c>
      <c r="J744" s="12">
        <v>2010.0</v>
      </c>
      <c r="K744" s="23">
        <v>100.0</v>
      </c>
      <c r="L744" s="24">
        <v>2.0</v>
      </c>
      <c r="M744" s="12" t="s">
        <v>340</v>
      </c>
      <c r="N744" s="26" t="str">
        <f t="shared" si="2"/>
        <v>
KOE
e</v>
      </c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0">
        <v>744.0</v>
      </c>
      <c r="B745" s="12" t="s">
        <v>4053</v>
      </c>
      <c r="C745" s="12" t="s">
        <v>249</v>
      </c>
      <c r="D745" s="35"/>
      <c r="E745" s="22"/>
      <c r="F745" s="12" t="s">
        <v>3017</v>
      </c>
      <c r="G745" s="12" t="s">
        <v>3012</v>
      </c>
      <c r="H745" s="12" t="s">
        <v>57</v>
      </c>
      <c r="I745" s="23">
        <v>9.789794657072E12</v>
      </c>
      <c r="J745" s="12">
        <v>2010.0</v>
      </c>
      <c r="K745" s="23">
        <v>100.0</v>
      </c>
      <c r="L745" s="24">
        <v>2.0</v>
      </c>
      <c r="M745" s="12" t="s">
        <v>340</v>
      </c>
      <c r="N745" s="26" t="str">
        <f t="shared" si="2"/>
        <v>
KOE
e</v>
      </c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0">
        <v>745.0</v>
      </c>
      <c r="B746" s="12" t="s">
        <v>4054</v>
      </c>
      <c r="C746" s="12" t="s">
        <v>249</v>
      </c>
      <c r="D746" s="35"/>
      <c r="E746" s="22"/>
      <c r="F746" s="12" t="s">
        <v>3017</v>
      </c>
      <c r="G746" s="12" t="s">
        <v>3012</v>
      </c>
      <c r="H746" s="12" t="s">
        <v>57</v>
      </c>
      <c r="I746" s="23">
        <v>9.789794657348E12</v>
      </c>
      <c r="J746" s="12">
        <v>2010.0</v>
      </c>
      <c r="K746" s="23">
        <v>100.0</v>
      </c>
      <c r="L746" s="24">
        <v>2.0</v>
      </c>
      <c r="M746" s="12" t="s">
        <v>340</v>
      </c>
      <c r="N746" s="26" t="str">
        <f t="shared" si="2"/>
        <v>
KOE
e</v>
      </c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0">
        <v>746.0</v>
      </c>
      <c r="B747" s="12" t="s">
        <v>4055</v>
      </c>
      <c r="C747" s="12" t="s">
        <v>249</v>
      </c>
      <c r="D747" s="35"/>
      <c r="E747" s="22"/>
      <c r="F747" s="12" t="s">
        <v>3017</v>
      </c>
      <c r="G747" s="12" t="s">
        <v>3012</v>
      </c>
      <c r="H747" s="12" t="s">
        <v>57</v>
      </c>
      <c r="I747" s="23">
        <v>9.789794657355E12</v>
      </c>
      <c r="J747" s="12">
        <v>2010.0</v>
      </c>
      <c r="K747" s="23">
        <v>100.0</v>
      </c>
      <c r="L747" s="24">
        <v>2.0</v>
      </c>
      <c r="M747" s="12" t="s">
        <v>340</v>
      </c>
      <c r="N747" s="26" t="str">
        <f t="shared" si="2"/>
        <v>
KOE
e</v>
      </c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0">
        <v>747.0</v>
      </c>
      <c r="B748" s="12" t="s">
        <v>3035</v>
      </c>
      <c r="C748" s="12" t="s">
        <v>249</v>
      </c>
      <c r="D748" s="35"/>
      <c r="E748" s="22"/>
      <c r="F748" s="12" t="s">
        <v>3034</v>
      </c>
      <c r="G748" s="22"/>
      <c r="H748" s="12" t="s">
        <v>57</v>
      </c>
      <c r="I748" s="23">
        <v>9.789794655283E12</v>
      </c>
      <c r="J748" s="12">
        <v>2011.0</v>
      </c>
      <c r="K748" s="23">
        <v>52.0</v>
      </c>
      <c r="L748" s="24">
        <v>2.0</v>
      </c>
      <c r="M748" s="12" t="s">
        <v>340</v>
      </c>
      <c r="N748" s="26" t="str">
        <f t="shared" si="2"/>
        <v>
E. 
m</v>
      </c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0">
        <v>748.0</v>
      </c>
      <c r="B749" s="12" t="s">
        <v>4204</v>
      </c>
      <c r="C749" s="12" t="s">
        <v>249</v>
      </c>
      <c r="D749" s="23">
        <v>610.0</v>
      </c>
      <c r="E749" s="12" t="s">
        <v>4049</v>
      </c>
      <c r="F749" s="12" t="s">
        <v>4205</v>
      </c>
      <c r="G749" s="22"/>
      <c r="H749" s="12" t="s">
        <v>4206</v>
      </c>
      <c r="I749" s="23">
        <v>9.78602027638E12</v>
      </c>
      <c r="J749" s="12">
        <v>2015.0</v>
      </c>
      <c r="K749" s="23">
        <v>197.0</v>
      </c>
      <c r="L749" s="24">
        <v>1.0</v>
      </c>
      <c r="M749" s="25" t="s">
        <v>4207</v>
      </c>
      <c r="N749" s="26" t="str">
        <f t="shared" si="2"/>
        <v>610
AHN
m</v>
      </c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0">
        <v>749.0</v>
      </c>
      <c r="B750" s="12" t="s">
        <v>4208</v>
      </c>
      <c r="C750" s="12" t="s">
        <v>249</v>
      </c>
      <c r="D750" s="35"/>
      <c r="E750" s="22"/>
      <c r="F750" s="12" t="s">
        <v>4209</v>
      </c>
      <c r="G750" s="12" t="s">
        <v>4210</v>
      </c>
      <c r="H750" s="12" t="s">
        <v>4211</v>
      </c>
      <c r="I750" s="23">
        <v>9.791212082E9</v>
      </c>
      <c r="J750" s="12">
        <v>2006.0</v>
      </c>
      <c r="K750" s="23" t="s">
        <v>4212</v>
      </c>
      <c r="L750" s="24">
        <v>2.0</v>
      </c>
      <c r="M750" s="12" t="s">
        <v>340</v>
      </c>
      <c r="N750" s="26" t="str">
        <f t="shared" si="2"/>
        <v>
HER
b</v>
      </c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0">
        <v>750.0</v>
      </c>
      <c r="B751" s="12" t="s">
        <v>4213</v>
      </c>
      <c r="C751" s="12" t="s">
        <v>249</v>
      </c>
      <c r="D751" s="35"/>
      <c r="E751" s="22"/>
      <c r="F751" s="12" t="s">
        <v>4214</v>
      </c>
      <c r="G751" s="12" t="s">
        <v>340</v>
      </c>
      <c r="H751" s="12" t="s">
        <v>4215</v>
      </c>
      <c r="I751" s="23">
        <v>9.799791043327E12</v>
      </c>
      <c r="J751" s="12">
        <v>2007.0</v>
      </c>
      <c r="K751" s="23" t="s">
        <v>4216</v>
      </c>
      <c r="L751" s="24">
        <v>1.0</v>
      </c>
      <c r="M751" s="12" t="s">
        <v>340</v>
      </c>
      <c r="N751" s="26" t="str">
        <f t="shared" si="2"/>
        <v>
AJE
2</v>
      </c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0">
        <v>751.0</v>
      </c>
      <c r="B752" s="12" t="s">
        <v>4217</v>
      </c>
      <c r="C752" s="12" t="s">
        <v>249</v>
      </c>
      <c r="D752" s="35"/>
      <c r="E752" s="22"/>
      <c r="F752" s="12" t="s">
        <v>4218</v>
      </c>
      <c r="G752" s="12" t="s">
        <v>481</v>
      </c>
      <c r="H752" s="12" t="s">
        <v>2141</v>
      </c>
      <c r="I752" s="23" t="s">
        <v>4219</v>
      </c>
      <c r="J752" s="12">
        <v>2015.0</v>
      </c>
      <c r="K752" s="23" t="s">
        <v>4220</v>
      </c>
      <c r="L752" s="24">
        <v>2.0</v>
      </c>
      <c r="M752" s="12" t="s">
        <v>340</v>
      </c>
      <c r="N752" s="26" t="str">
        <f t="shared" si="2"/>
        <v>
Drs
s</v>
      </c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0">
        <v>752.0</v>
      </c>
      <c r="B753" s="12" t="s">
        <v>4221</v>
      </c>
      <c r="C753" s="12" t="s">
        <v>249</v>
      </c>
      <c r="D753" s="23">
        <v>664.0</v>
      </c>
      <c r="E753" s="12" t="s">
        <v>4222</v>
      </c>
      <c r="F753" s="12" t="s">
        <v>4223</v>
      </c>
      <c r="G753" s="12" t="s">
        <v>4224</v>
      </c>
      <c r="H753" s="12" t="s">
        <v>762</v>
      </c>
      <c r="I753" s="23" t="s">
        <v>4225</v>
      </c>
      <c r="J753" s="12">
        <v>2011.0</v>
      </c>
      <c r="K753" s="23" t="s">
        <v>4226</v>
      </c>
      <c r="L753" s="24">
        <v>2.0</v>
      </c>
      <c r="M753" s="25" t="s">
        <v>4227</v>
      </c>
      <c r="N753" s="26" t="str">
        <f t="shared" si="2"/>
        <v>664
ANI
m</v>
      </c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0">
        <v>753.0</v>
      </c>
      <c r="B754" s="12" t="s">
        <v>4228</v>
      </c>
      <c r="C754" s="12" t="s">
        <v>249</v>
      </c>
      <c r="D754" s="23" t="s">
        <v>4229</v>
      </c>
      <c r="E754" s="12" t="s">
        <v>4230</v>
      </c>
      <c r="F754" s="12" t="s">
        <v>4231</v>
      </c>
      <c r="G754" s="12" t="s">
        <v>481</v>
      </c>
      <c r="H754" s="12" t="s">
        <v>253</v>
      </c>
      <c r="I754" s="23" t="s">
        <v>4232</v>
      </c>
      <c r="J754" s="12">
        <v>2015.0</v>
      </c>
      <c r="K754" s="23" t="s">
        <v>4233</v>
      </c>
      <c r="L754" s="24">
        <v>3.0</v>
      </c>
      <c r="M754" s="25" t="s">
        <v>4234</v>
      </c>
      <c r="N754" s="26" t="str">
        <f t="shared" si="2"/>
        <v>611.3
RIA
p</v>
      </c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0">
        <v>754.0</v>
      </c>
      <c r="B755" s="12" t="s">
        <v>4235</v>
      </c>
      <c r="C755" s="12" t="s">
        <v>249</v>
      </c>
      <c r="D755" s="35"/>
      <c r="E755" s="22"/>
      <c r="F755" s="12" t="s">
        <v>4236</v>
      </c>
      <c r="G755" s="12" t="s">
        <v>2293</v>
      </c>
      <c r="H755" s="12" t="s">
        <v>4237</v>
      </c>
      <c r="I755" s="23" t="s">
        <v>4238</v>
      </c>
      <c r="J755" s="12">
        <v>2010.0</v>
      </c>
      <c r="K755" s="23" t="s">
        <v>4239</v>
      </c>
      <c r="L755" s="24">
        <v>1.0</v>
      </c>
      <c r="M755" s="12" t="s">
        <v>340</v>
      </c>
      <c r="N755" s="26" t="str">
        <f t="shared" si="2"/>
        <v>
REN
b</v>
      </c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0">
        <v>755.0</v>
      </c>
      <c r="B756" s="12" t="s">
        <v>4240</v>
      </c>
      <c r="C756" s="12" t="s">
        <v>246</v>
      </c>
      <c r="D756" s="23">
        <v>540.0</v>
      </c>
      <c r="E756" s="12" t="s">
        <v>3010</v>
      </c>
      <c r="F756" s="12" t="s">
        <v>4241</v>
      </c>
      <c r="G756" s="12" t="s">
        <v>4242</v>
      </c>
      <c r="H756" s="12" t="s">
        <v>4243</v>
      </c>
      <c r="I756" s="23">
        <v>9.789791323475E12</v>
      </c>
      <c r="J756" s="12">
        <v>2009.0</v>
      </c>
      <c r="K756" s="23" t="s">
        <v>4226</v>
      </c>
      <c r="L756" s="24">
        <v>2.0</v>
      </c>
      <c r="M756" s="25" t="s">
        <v>4244</v>
      </c>
      <c r="N756" s="26" t="str">
        <f t="shared" si="2"/>
        <v>540
KUR
w</v>
      </c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0">
        <v>756.0</v>
      </c>
      <c r="B757" s="12" t="s">
        <v>4245</v>
      </c>
      <c r="C757" s="12" t="s">
        <v>249</v>
      </c>
      <c r="D757" s="35"/>
      <c r="E757" s="22"/>
      <c r="F757" s="12" t="s">
        <v>4246</v>
      </c>
      <c r="G757" s="12" t="s">
        <v>4246</v>
      </c>
      <c r="H757" s="12" t="s">
        <v>4247</v>
      </c>
      <c r="I757" s="23" t="s">
        <v>4248</v>
      </c>
      <c r="J757" s="12">
        <v>1999.0</v>
      </c>
      <c r="K757" s="23" t="s">
        <v>4249</v>
      </c>
      <c r="L757" s="24">
        <v>1.0</v>
      </c>
      <c r="M757" s="12" t="s">
        <v>340</v>
      </c>
      <c r="N757" s="26" t="str">
        <f t="shared" si="2"/>
        <v>
ADH
a</v>
      </c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0">
        <v>757.0</v>
      </c>
      <c r="B758" s="12" t="s">
        <v>4250</v>
      </c>
      <c r="C758" s="12" t="s">
        <v>249</v>
      </c>
      <c r="D758" s="35"/>
      <c r="E758" s="22"/>
      <c r="F758" s="12" t="s">
        <v>4251</v>
      </c>
      <c r="G758" s="12" t="s">
        <v>4252</v>
      </c>
      <c r="H758" s="12" t="s">
        <v>3284</v>
      </c>
      <c r="I758" s="23" t="s">
        <v>4253</v>
      </c>
      <c r="J758" s="12">
        <v>2015.0</v>
      </c>
      <c r="K758" s="23" t="s">
        <v>2410</v>
      </c>
      <c r="L758" s="24">
        <v>2.0</v>
      </c>
      <c r="M758" s="12" t="s">
        <v>340</v>
      </c>
      <c r="N758" s="26" t="str">
        <f t="shared" si="2"/>
        <v>
ODI
u</v>
      </c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0">
        <v>758.0</v>
      </c>
      <c r="B759" s="12" t="s">
        <v>4254</v>
      </c>
      <c r="C759" s="12" t="s">
        <v>249</v>
      </c>
      <c r="D759" s="23">
        <v>641.0</v>
      </c>
      <c r="E759" s="12" t="s">
        <v>4255</v>
      </c>
      <c r="F759" s="12" t="s">
        <v>4256</v>
      </c>
      <c r="G759" s="12" t="s">
        <v>4257</v>
      </c>
      <c r="H759" s="12" t="s">
        <v>1735</v>
      </c>
      <c r="I759" s="23" t="s">
        <v>4258</v>
      </c>
      <c r="J759" s="12">
        <v>2015.0</v>
      </c>
      <c r="K759" s="23" t="s">
        <v>2410</v>
      </c>
      <c r="L759" s="24">
        <v>3.0</v>
      </c>
      <c r="M759" s="25" t="s">
        <v>4259</v>
      </c>
      <c r="N759" s="26" t="str">
        <f t="shared" si="2"/>
        <v>641
ANA
e</v>
      </c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0">
        <v>759.0</v>
      </c>
      <c r="B760" s="12" t="s">
        <v>4260</v>
      </c>
      <c r="C760" s="12" t="s">
        <v>246</v>
      </c>
      <c r="D760" s="23">
        <v>500.0</v>
      </c>
      <c r="E760" s="12" t="s">
        <v>4261</v>
      </c>
      <c r="F760" s="12" t="s">
        <v>4262</v>
      </c>
      <c r="G760" s="12" t="s">
        <v>3283</v>
      </c>
      <c r="H760" s="12" t="s">
        <v>4090</v>
      </c>
      <c r="I760" s="23" t="s">
        <v>4263</v>
      </c>
      <c r="J760" s="12">
        <v>2015.0</v>
      </c>
      <c r="K760" s="23" t="s">
        <v>4264</v>
      </c>
      <c r="L760" s="24">
        <v>3.0</v>
      </c>
      <c r="M760" s="25" t="s">
        <v>4265</v>
      </c>
      <c r="N760" s="26" t="str">
        <f t="shared" si="2"/>
        <v>500
ODI
s</v>
      </c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0">
        <v>760.0</v>
      </c>
      <c r="B761" s="12" t="s">
        <v>4266</v>
      </c>
      <c r="C761" s="12" t="s">
        <v>249</v>
      </c>
      <c r="D761" s="23" t="s">
        <v>4267</v>
      </c>
      <c r="E761" s="12" t="s">
        <v>4266</v>
      </c>
      <c r="F761" s="12" t="s">
        <v>4268</v>
      </c>
      <c r="G761" s="12" t="s">
        <v>3332</v>
      </c>
      <c r="H761" s="12" t="s">
        <v>4269</v>
      </c>
      <c r="I761" s="35"/>
      <c r="J761" s="12">
        <v>2008.0</v>
      </c>
      <c r="K761" s="23">
        <v>78.0</v>
      </c>
      <c r="L761" s="24">
        <v>2.0</v>
      </c>
      <c r="M761" s="25" t="s">
        <v>4270</v>
      </c>
      <c r="N761" s="26" t="str">
        <f t="shared" si="2"/>
        <v>660.6
SUS
b</v>
      </c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0">
        <v>761.0</v>
      </c>
      <c r="B762" s="12" t="s">
        <v>4271</v>
      </c>
      <c r="C762" s="12" t="s">
        <v>84</v>
      </c>
      <c r="D762" s="23">
        <v>738.0</v>
      </c>
      <c r="E762" s="12" t="s">
        <v>4272</v>
      </c>
      <c r="F762" s="12" t="s">
        <v>4273</v>
      </c>
      <c r="G762" s="12" t="s">
        <v>3066</v>
      </c>
      <c r="H762" s="12" t="s">
        <v>2141</v>
      </c>
      <c r="I762" s="23" t="s">
        <v>4274</v>
      </c>
      <c r="J762" s="12">
        <v>2015.0</v>
      </c>
      <c r="K762" s="23">
        <v>68.0</v>
      </c>
      <c r="L762" s="24">
        <v>3.0</v>
      </c>
      <c r="M762" s="25" t="s">
        <v>4275</v>
      </c>
      <c r="N762" s="26" t="str">
        <f t="shared" si="2"/>
        <v>738
YON
k</v>
      </c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0">
        <v>762.0</v>
      </c>
      <c r="B763" s="12" t="s">
        <v>4276</v>
      </c>
      <c r="C763" s="12" t="s">
        <v>229</v>
      </c>
      <c r="D763" s="23" t="s">
        <v>4277</v>
      </c>
      <c r="E763" s="12" t="s">
        <v>4278</v>
      </c>
      <c r="F763" s="12" t="s">
        <v>107</v>
      </c>
      <c r="G763" s="12" t="s">
        <v>544</v>
      </c>
      <c r="H763" s="12" t="s">
        <v>534</v>
      </c>
      <c r="I763" s="23" t="s">
        <v>4279</v>
      </c>
      <c r="J763" s="12">
        <v>2015.0</v>
      </c>
      <c r="K763" s="23">
        <v>82.0</v>
      </c>
      <c r="L763" s="24">
        <v>3.0</v>
      </c>
      <c r="M763" s="25" t="s">
        <v>4280</v>
      </c>
      <c r="N763" s="26" t="str">
        <f t="shared" si="2"/>
        <v>338.04
EDI
p</v>
      </c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0">
        <v>763.0</v>
      </c>
      <c r="B764" s="12" t="s">
        <v>4281</v>
      </c>
      <c r="C764" s="12" t="s">
        <v>249</v>
      </c>
      <c r="D764" s="23">
        <v>630.0</v>
      </c>
      <c r="E764" s="12" t="s">
        <v>4282</v>
      </c>
      <c r="F764" s="12" t="s">
        <v>4283</v>
      </c>
      <c r="G764" s="22"/>
      <c r="H764" s="12" t="s">
        <v>3969</v>
      </c>
      <c r="I764" s="35"/>
      <c r="J764" s="12">
        <v>2006.0</v>
      </c>
      <c r="K764" s="23">
        <v>90.0</v>
      </c>
      <c r="L764" s="24">
        <v>1.0</v>
      </c>
      <c r="M764" s="25" t="s">
        <v>4284</v>
      </c>
      <c r="N764" s="26" t="str">
        <f t="shared" si="2"/>
        <v>630
WIS
m</v>
      </c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0">
        <v>764.0</v>
      </c>
      <c r="B765" s="12" t="s">
        <v>4285</v>
      </c>
      <c r="C765" s="12" t="s">
        <v>249</v>
      </c>
      <c r="D765" s="23" t="s">
        <v>2739</v>
      </c>
      <c r="E765" s="12" t="s">
        <v>4286</v>
      </c>
      <c r="F765" s="12" t="s">
        <v>4287</v>
      </c>
      <c r="G765" s="12" t="s">
        <v>4288</v>
      </c>
      <c r="H765" s="12" t="s">
        <v>4078</v>
      </c>
      <c r="I765" s="23" t="s">
        <v>4289</v>
      </c>
      <c r="J765" s="12">
        <v>2006.0</v>
      </c>
      <c r="K765" s="23">
        <v>145.0</v>
      </c>
      <c r="L765" s="24">
        <v>1.0</v>
      </c>
      <c r="M765" s="25" t="s">
        <v>4290</v>
      </c>
      <c r="N765" s="26" t="str">
        <f t="shared" si="2"/>
        <v>641.5
HAN
a</v>
      </c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0">
        <v>765.0</v>
      </c>
      <c r="B766" s="12" t="s">
        <v>4291</v>
      </c>
      <c r="C766" s="12" t="s">
        <v>249</v>
      </c>
      <c r="D766" s="35"/>
      <c r="E766" s="22"/>
      <c r="F766" s="12" t="s">
        <v>4077</v>
      </c>
      <c r="G766" s="12" t="s">
        <v>3165</v>
      </c>
      <c r="H766" s="12" t="s">
        <v>2314</v>
      </c>
      <c r="I766" s="35"/>
      <c r="J766" s="12">
        <v>2006.0</v>
      </c>
      <c r="K766" s="23">
        <v>74.0</v>
      </c>
      <c r="L766" s="24">
        <v>1.0</v>
      </c>
      <c r="M766" s="12" t="s">
        <v>340</v>
      </c>
      <c r="N766" s="26" t="str">
        <f t="shared" si="2"/>
        <v>
SUP
b</v>
      </c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0">
        <v>766.0</v>
      </c>
      <c r="B767" s="12" t="s">
        <v>4292</v>
      </c>
      <c r="C767" s="12" t="s">
        <v>249</v>
      </c>
      <c r="D767" s="35"/>
      <c r="E767" s="22"/>
      <c r="F767" s="12" t="s">
        <v>4293</v>
      </c>
      <c r="G767" s="22"/>
      <c r="H767" s="12" t="s">
        <v>4294</v>
      </c>
      <c r="I767" s="23" t="s">
        <v>4295</v>
      </c>
      <c r="J767" s="12">
        <v>2010.0</v>
      </c>
      <c r="K767" s="23">
        <v>45.0</v>
      </c>
      <c r="L767" s="24">
        <v>1.0</v>
      </c>
      <c r="M767" s="12" t="s">
        <v>340</v>
      </c>
      <c r="N767" s="26" t="str">
        <f t="shared" si="2"/>
        <v>
SLA
b</v>
      </c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0">
        <v>767.0</v>
      </c>
      <c r="B768" s="12" t="s">
        <v>4296</v>
      </c>
      <c r="C768" s="12" t="s">
        <v>249</v>
      </c>
      <c r="D768" s="35"/>
      <c r="E768" s="22"/>
      <c r="F768" s="12" t="s">
        <v>4297</v>
      </c>
      <c r="G768" s="12" t="s">
        <v>4298</v>
      </c>
      <c r="H768" s="12" t="s">
        <v>4299</v>
      </c>
      <c r="I768" s="23">
        <v>9.789790026643E12</v>
      </c>
      <c r="J768" s="12">
        <v>2015.0</v>
      </c>
      <c r="K768" s="23" t="s">
        <v>4300</v>
      </c>
      <c r="L768" s="24">
        <v>1.0</v>
      </c>
      <c r="M768" s="12" t="s">
        <v>340</v>
      </c>
      <c r="N768" s="26" t="str">
        <f t="shared" si="2"/>
        <v>
WIW
b</v>
      </c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0">
        <v>768.0</v>
      </c>
      <c r="B769" s="12" t="s">
        <v>4301</v>
      </c>
      <c r="C769" s="12" t="s">
        <v>249</v>
      </c>
      <c r="D769" s="23" t="s">
        <v>4302</v>
      </c>
      <c r="E769" s="12" t="s">
        <v>4303</v>
      </c>
      <c r="F769" s="12" t="s">
        <v>4304</v>
      </c>
      <c r="G769" s="22"/>
      <c r="H769" s="12" t="s">
        <v>3969</v>
      </c>
      <c r="I769" s="35"/>
      <c r="J769" s="12">
        <v>2006.0</v>
      </c>
      <c r="K769" s="23">
        <v>40.0</v>
      </c>
      <c r="L769" s="24">
        <v>1.0</v>
      </c>
      <c r="M769" s="25" t="s">
        <v>4305</v>
      </c>
      <c r="N769" s="26" t="str">
        <f t="shared" si="2"/>
        <v>635.6
ISK
b</v>
      </c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0">
        <v>769.0</v>
      </c>
      <c r="B770" s="12" t="s">
        <v>4306</v>
      </c>
      <c r="C770" s="12" t="s">
        <v>249</v>
      </c>
      <c r="D770" s="23">
        <v>630.0</v>
      </c>
      <c r="E770" s="12" t="s">
        <v>4307</v>
      </c>
      <c r="F770" s="12" t="s">
        <v>173</v>
      </c>
      <c r="G770" s="12" t="s">
        <v>107</v>
      </c>
      <c r="H770" s="12" t="s">
        <v>2141</v>
      </c>
      <c r="I770" s="23" t="s">
        <v>4308</v>
      </c>
      <c r="J770" s="12">
        <v>2015.0</v>
      </c>
      <c r="K770" s="23">
        <v>106.0</v>
      </c>
      <c r="L770" s="24">
        <v>1.0</v>
      </c>
      <c r="M770" s="25" t="s">
        <v>4309</v>
      </c>
      <c r="N770" s="26" t="str">
        <f t="shared" si="2"/>
        <v>630
AMI
b</v>
      </c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0">
        <v>770.0</v>
      </c>
      <c r="B771" s="12" t="s">
        <v>4310</v>
      </c>
      <c r="C771" s="12" t="s">
        <v>249</v>
      </c>
      <c r="D771" s="23" t="s">
        <v>4311</v>
      </c>
      <c r="E771" s="12" t="s">
        <v>4312</v>
      </c>
      <c r="F771" s="12" t="s">
        <v>4313</v>
      </c>
      <c r="G771" s="12" t="s">
        <v>4314</v>
      </c>
      <c r="H771" s="12" t="s">
        <v>4078</v>
      </c>
      <c r="I771" s="35"/>
      <c r="J771" s="12">
        <v>2006.0</v>
      </c>
      <c r="K771" s="23">
        <v>52.0</v>
      </c>
      <c r="L771" s="24">
        <v>1.0</v>
      </c>
      <c r="M771" s="12" t="s">
        <v>340</v>
      </c>
      <c r="N771" s="26" t="str">
        <f t="shared" si="2"/>
        <v>639.3
SIT
b</v>
      </c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0">
        <v>771.0</v>
      </c>
      <c r="B772" s="12" t="s">
        <v>4315</v>
      </c>
      <c r="C772" s="12" t="s">
        <v>249</v>
      </c>
      <c r="D772" s="23" t="s">
        <v>4316</v>
      </c>
      <c r="E772" s="12" t="s">
        <v>4312</v>
      </c>
      <c r="F772" s="12" t="s">
        <v>4317</v>
      </c>
      <c r="G772" s="12" t="s">
        <v>4318</v>
      </c>
      <c r="H772" s="12" t="s">
        <v>4078</v>
      </c>
      <c r="I772" s="35"/>
      <c r="J772" s="12">
        <v>2006.0</v>
      </c>
      <c r="K772" s="23">
        <v>60.0</v>
      </c>
      <c r="L772" s="24">
        <v>1.0</v>
      </c>
      <c r="M772" s="12" t="s">
        <v>340</v>
      </c>
      <c r="N772" s="26" t="str">
        <f t="shared" si="2"/>
        <v>639.34
SOE
b</v>
      </c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0">
        <v>772.0</v>
      </c>
      <c r="B773" s="12" t="s">
        <v>4319</v>
      </c>
      <c r="C773" s="12" t="s">
        <v>249</v>
      </c>
      <c r="D773" s="23">
        <v>640.0</v>
      </c>
      <c r="E773" s="12" t="s">
        <v>4320</v>
      </c>
      <c r="F773" s="12" t="s">
        <v>4321</v>
      </c>
      <c r="G773" s="22"/>
      <c r="H773" s="12" t="s">
        <v>1618</v>
      </c>
      <c r="I773" s="35"/>
      <c r="J773" s="12">
        <v>2000.0</v>
      </c>
      <c r="K773" s="23">
        <v>33.0</v>
      </c>
      <c r="L773" s="24">
        <v>1.0</v>
      </c>
      <c r="M773" s="25" t="s">
        <v>4322</v>
      </c>
      <c r="N773" s="26" t="str">
        <f t="shared" si="2"/>
        <v>640
DIA
c</v>
      </c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0">
        <v>773.0</v>
      </c>
      <c r="B774" s="12" t="s">
        <v>4323</v>
      </c>
      <c r="C774" s="12" t="s">
        <v>249</v>
      </c>
      <c r="D774" s="35"/>
      <c r="E774" s="22"/>
      <c r="F774" s="12" t="s">
        <v>4324</v>
      </c>
      <c r="G774" s="12" t="s">
        <v>4325</v>
      </c>
      <c r="H774" s="12" t="s">
        <v>4326</v>
      </c>
      <c r="I774" s="23" t="s">
        <v>4327</v>
      </c>
      <c r="J774" s="12">
        <v>2015.0</v>
      </c>
      <c r="K774" s="23">
        <v>56.0</v>
      </c>
      <c r="L774" s="24">
        <v>1.0</v>
      </c>
      <c r="M774" s="12" t="s">
        <v>340</v>
      </c>
      <c r="N774" s="26" t="str">
        <f t="shared" si="2"/>
        <v>
FAR
d</v>
      </c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0">
        <v>774.0</v>
      </c>
      <c r="B775" s="12" t="s">
        <v>4328</v>
      </c>
      <c r="C775" s="12" t="s">
        <v>229</v>
      </c>
      <c r="D775" s="23" t="s">
        <v>2320</v>
      </c>
      <c r="E775" s="12" t="s">
        <v>3366</v>
      </c>
      <c r="F775" s="12" t="s">
        <v>2308</v>
      </c>
      <c r="G775" s="12" t="s">
        <v>715</v>
      </c>
      <c r="H775" s="12" t="s">
        <v>2309</v>
      </c>
      <c r="I775" s="23" t="s">
        <v>4329</v>
      </c>
      <c r="J775" s="12">
        <v>2013.0</v>
      </c>
      <c r="K775" s="23">
        <v>56.0</v>
      </c>
      <c r="L775" s="24">
        <v>1.0</v>
      </c>
      <c r="M775" s="25" t="s">
        <v>4330</v>
      </c>
      <c r="N775" s="26" t="str">
        <f t="shared" si="2"/>
        <v>363.7
HET
d</v>
      </c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0">
        <v>775.0</v>
      </c>
      <c r="B776" s="12" t="s">
        <v>4331</v>
      </c>
      <c r="C776" s="12" t="s">
        <v>249</v>
      </c>
      <c r="D776" s="35"/>
      <c r="E776" s="22"/>
      <c r="F776" s="12" t="s">
        <v>4332</v>
      </c>
      <c r="G776" s="12" t="s">
        <v>4333</v>
      </c>
      <c r="H776" s="12" t="s">
        <v>4334</v>
      </c>
      <c r="I776" s="23">
        <v>9.797394441E9</v>
      </c>
      <c r="J776" s="12">
        <v>2007.0</v>
      </c>
      <c r="K776" s="23">
        <v>58.0</v>
      </c>
      <c r="L776" s="24">
        <v>2.0</v>
      </c>
      <c r="M776" s="12" t="s">
        <v>340</v>
      </c>
      <c r="N776" s="26" t="str">
        <f t="shared" si="2"/>
        <v>
POE
i</v>
      </c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0">
        <v>776.0</v>
      </c>
      <c r="B777" s="12" t="s">
        <v>4335</v>
      </c>
      <c r="C777" s="12" t="s">
        <v>249</v>
      </c>
      <c r="D777" s="23">
        <v>610.0</v>
      </c>
      <c r="E777" s="12" t="s">
        <v>4127</v>
      </c>
      <c r="F777" s="12" t="s">
        <v>107</v>
      </c>
      <c r="G777" s="12" t="s">
        <v>4336</v>
      </c>
      <c r="H777" s="12" t="s">
        <v>4337</v>
      </c>
      <c r="I777" s="23" t="s">
        <v>4338</v>
      </c>
      <c r="J777" s="12">
        <v>2015.0</v>
      </c>
      <c r="K777" s="23">
        <v>170.0</v>
      </c>
      <c r="L777" s="24">
        <v>5.0</v>
      </c>
      <c r="M777" s="25" t="s">
        <v>4339</v>
      </c>
      <c r="N777" s="26" t="str">
        <f t="shared" si="2"/>
        <v>610
EDI
i</v>
      </c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0">
        <v>777.0</v>
      </c>
      <c r="B778" s="12" t="s">
        <v>4340</v>
      </c>
      <c r="C778" s="12" t="s">
        <v>249</v>
      </c>
      <c r="D778" s="35"/>
      <c r="E778" s="22"/>
      <c r="F778" s="12" t="s">
        <v>4341</v>
      </c>
      <c r="G778" s="12" t="s">
        <v>2293</v>
      </c>
      <c r="H778" s="12" t="s">
        <v>2294</v>
      </c>
      <c r="I778" s="23" t="s">
        <v>4342</v>
      </c>
      <c r="J778" s="12">
        <v>2010.0</v>
      </c>
      <c r="K778" s="23">
        <v>54.0</v>
      </c>
      <c r="L778" s="24">
        <v>1.0</v>
      </c>
      <c r="M778" s="12" t="s">
        <v>340</v>
      </c>
      <c r="N778" s="26" t="str">
        <f t="shared" si="2"/>
        <v>
AGE
r</v>
      </c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0">
        <v>778.0</v>
      </c>
      <c r="B779" s="12" t="s">
        <v>4343</v>
      </c>
      <c r="C779" s="12" t="s">
        <v>249</v>
      </c>
      <c r="D779" s="23" t="s">
        <v>4344</v>
      </c>
      <c r="E779" s="12" t="s">
        <v>4345</v>
      </c>
      <c r="F779" s="12" t="s">
        <v>4346</v>
      </c>
      <c r="G779" s="12" t="s">
        <v>4347</v>
      </c>
      <c r="H779" s="12" t="s">
        <v>4078</v>
      </c>
      <c r="I779" s="35"/>
      <c r="J779" s="12">
        <v>2006.0</v>
      </c>
      <c r="K779" s="23">
        <v>60.0</v>
      </c>
      <c r="L779" s="24">
        <v>1.0</v>
      </c>
      <c r="M779" s="12" t="s">
        <v>340</v>
      </c>
      <c r="N779" s="26" t="str">
        <f t="shared" si="2"/>
        <v>641.3
EKO
k</v>
      </c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0">
        <v>779.0</v>
      </c>
      <c r="B780" s="12" t="s">
        <v>4348</v>
      </c>
      <c r="C780" s="12" t="s">
        <v>249</v>
      </c>
      <c r="D780" s="23">
        <v>610.0</v>
      </c>
      <c r="E780" s="12" t="s">
        <v>4049</v>
      </c>
      <c r="F780" s="12" t="s">
        <v>4349</v>
      </c>
      <c r="G780" s="12" t="s">
        <v>4350</v>
      </c>
      <c r="H780" s="12" t="s">
        <v>144</v>
      </c>
      <c r="I780" s="23" t="s">
        <v>4351</v>
      </c>
      <c r="J780" s="22"/>
      <c r="K780" s="23">
        <v>58.0</v>
      </c>
      <c r="L780" s="24">
        <v>1.0</v>
      </c>
      <c r="M780" s="25" t="s">
        <v>4352</v>
      </c>
      <c r="N780" s="26" t="str">
        <f t="shared" si="2"/>
        <v>610
DAD
t</v>
      </c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0">
        <v>780.0</v>
      </c>
      <c r="B781" s="12" t="s">
        <v>4353</v>
      </c>
      <c r="C781" s="12" t="s">
        <v>249</v>
      </c>
      <c r="D781" s="23" t="s">
        <v>4354</v>
      </c>
      <c r="E781" s="12" t="s">
        <v>4355</v>
      </c>
      <c r="F781" s="12" t="s">
        <v>4356</v>
      </c>
      <c r="G781" s="12" t="s">
        <v>4357</v>
      </c>
      <c r="H781" s="12" t="s">
        <v>716</v>
      </c>
      <c r="I781" s="23" t="s">
        <v>4358</v>
      </c>
      <c r="J781" s="12">
        <v>2015.0</v>
      </c>
      <c r="K781" s="23">
        <v>66.0</v>
      </c>
      <c r="L781" s="24">
        <v>4.0</v>
      </c>
      <c r="M781" s="25" t="s">
        <v>4359</v>
      </c>
      <c r="N781" s="26" t="str">
        <f t="shared" si="2"/>
        <v>628.44
THA
m</v>
      </c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0">
        <v>781.0</v>
      </c>
      <c r="B782" s="12" t="s">
        <v>4360</v>
      </c>
      <c r="C782" s="12" t="s">
        <v>249</v>
      </c>
      <c r="D782" s="35"/>
      <c r="E782" s="22"/>
      <c r="F782" s="12" t="s">
        <v>4361</v>
      </c>
      <c r="G782" s="22"/>
      <c r="H782" s="12" t="s">
        <v>4362</v>
      </c>
      <c r="I782" s="23" t="s">
        <v>4363</v>
      </c>
      <c r="J782" s="12">
        <v>1999.0</v>
      </c>
      <c r="K782" s="23">
        <v>163.0</v>
      </c>
      <c r="L782" s="24">
        <v>1.0</v>
      </c>
      <c r="M782" s="12" t="s">
        <v>340</v>
      </c>
      <c r="N782" s="26" t="str">
        <f t="shared" si="2"/>
        <v>
Ir.
m</v>
      </c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0">
        <v>782.0</v>
      </c>
      <c r="B783" s="12" t="s">
        <v>4364</v>
      </c>
      <c r="C783" s="12" t="s">
        <v>249</v>
      </c>
      <c r="D783" s="23">
        <v>610.0</v>
      </c>
      <c r="E783" s="12" t="s">
        <v>4049</v>
      </c>
      <c r="F783" s="12" t="s">
        <v>4365</v>
      </c>
      <c r="G783" s="12" t="s">
        <v>3110</v>
      </c>
      <c r="H783" s="12" t="s">
        <v>3111</v>
      </c>
      <c r="I783" s="23" t="s">
        <v>4366</v>
      </c>
      <c r="J783" s="12">
        <v>2008.0</v>
      </c>
      <c r="K783" s="23">
        <v>58.0</v>
      </c>
      <c r="L783" s="24">
        <v>1.0</v>
      </c>
      <c r="M783" s="25" t="s">
        <v>4367</v>
      </c>
      <c r="N783" s="26" t="str">
        <f t="shared" si="2"/>
        <v>610
TIT
m</v>
      </c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0">
        <v>783.0</v>
      </c>
      <c r="B784" s="12" t="s">
        <v>4368</v>
      </c>
      <c r="C784" s="12" t="s">
        <v>249</v>
      </c>
      <c r="D784" s="35"/>
      <c r="E784" s="22"/>
      <c r="F784" s="12" t="s">
        <v>4369</v>
      </c>
      <c r="G784" s="12" t="s">
        <v>4370</v>
      </c>
      <c r="H784" s="12" t="s">
        <v>4078</v>
      </c>
      <c r="I784" s="23">
        <v>9.797444511E9</v>
      </c>
      <c r="J784" s="12">
        <v>2006.0</v>
      </c>
      <c r="K784" s="23" t="s">
        <v>4371</v>
      </c>
      <c r="L784" s="24">
        <v>1.0</v>
      </c>
      <c r="M784" s="12" t="s">
        <v>340</v>
      </c>
      <c r="N784" s="26" t="str">
        <f t="shared" si="2"/>
        <v>
DEN
p</v>
      </c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0">
        <v>784.0</v>
      </c>
      <c r="B785" s="12" t="s">
        <v>4372</v>
      </c>
      <c r="C785" s="12" t="s">
        <v>249</v>
      </c>
      <c r="D785" s="23" t="s">
        <v>4373</v>
      </c>
      <c r="E785" s="12" t="s">
        <v>4374</v>
      </c>
      <c r="F785" s="12" t="s">
        <v>4375</v>
      </c>
      <c r="G785" s="12" t="s">
        <v>4376</v>
      </c>
      <c r="H785" s="12" t="s">
        <v>4078</v>
      </c>
      <c r="I785" s="35"/>
      <c r="J785" s="12">
        <v>2006.0</v>
      </c>
      <c r="K785" s="23">
        <v>57.0</v>
      </c>
      <c r="L785" s="24">
        <v>1.0</v>
      </c>
      <c r="M785" s="12" t="s">
        <v>340</v>
      </c>
      <c r="N785" s="26" t="str">
        <f t="shared" si="2"/>
        <v>681.2
EKA
m</v>
      </c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0">
        <v>785.0</v>
      </c>
      <c r="B786" s="12" t="s">
        <v>4377</v>
      </c>
      <c r="C786" s="12" t="s">
        <v>249</v>
      </c>
      <c r="D786" s="35"/>
      <c r="E786" s="22"/>
      <c r="F786" s="12" t="s">
        <v>4378</v>
      </c>
      <c r="G786" s="12" t="s">
        <v>2293</v>
      </c>
      <c r="H786" s="12" t="s">
        <v>2294</v>
      </c>
      <c r="I786" s="23" t="s">
        <v>4379</v>
      </c>
      <c r="J786" s="12">
        <v>2010.0</v>
      </c>
      <c r="K786" s="23">
        <v>58.0</v>
      </c>
      <c r="L786" s="24">
        <v>1.0</v>
      </c>
      <c r="M786" s="12" t="s">
        <v>340</v>
      </c>
      <c r="N786" s="26" t="str">
        <f t="shared" si="2"/>
        <v>
BAH
m</v>
      </c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0">
        <v>786.0</v>
      </c>
      <c r="B787" s="12" t="s">
        <v>4380</v>
      </c>
      <c r="C787" s="12" t="s">
        <v>249</v>
      </c>
      <c r="D787" s="35"/>
      <c r="E787" s="22"/>
      <c r="F787" s="12" t="s">
        <v>4381</v>
      </c>
      <c r="G787" s="12" t="s">
        <v>4382</v>
      </c>
      <c r="H787" s="12" t="s">
        <v>4314</v>
      </c>
      <c r="I787" s="35"/>
      <c r="J787" s="12">
        <v>2007.0</v>
      </c>
      <c r="K787" s="23">
        <v>92.0</v>
      </c>
      <c r="L787" s="24">
        <v>1.0</v>
      </c>
      <c r="M787" s="12" t="s">
        <v>340</v>
      </c>
      <c r="N787" s="26" t="str">
        <f t="shared" si="2"/>
        <v>
AHM
m</v>
      </c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0">
        <v>787.0</v>
      </c>
      <c r="B788" s="12" t="s">
        <v>4383</v>
      </c>
      <c r="C788" s="12" t="s">
        <v>249</v>
      </c>
      <c r="D788" s="23">
        <v>610.0</v>
      </c>
      <c r="E788" s="12" t="s">
        <v>4049</v>
      </c>
      <c r="F788" s="12" t="s">
        <v>4384</v>
      </c>
      <c r="G788" s="12" t="s">
        <v>107</v>
      </c>
      <c r="H788" s="12" t="s">
        <v>253</v>
      </c>
      <c r="I788" s="23" t="s">
        <v>4385</v>
      </c>
      <c r="J788" s="12">
        <v>2013.0</v>
      </c>
      <c r="K788" s="23">
        <v>116.0</v>
      </c>
      <c r="L788" s="24">
        <v>1.0</v>
      </c>
      <c r="M788" s="25" t="s">
        <v>4386</v>
      </c>
      <c r="N788" s="26" t="str">
        <f t="shared" si="2"/>
        <v>610
ADD
p</v>
      </c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0">
        <v>788.0</v>
      </c>
      <c r="B789" s="12" t="s">
        <v>4387</v>
      </c>
      <c r="C789" s="12" t="s">
        <v>249</v>
      </c>
      <c r="D789" s="23">
        <v>630.0</v>
      </c>
      <c r="E789" s="12" t="s">
        <v>4194</v>
      </c>
      <c r="F789" s="12" t="s">
        <v>4388</v>
      </c>
      <c r="G789" s="12" t="s">
        <v>3283</v>
      </c>
      <c r="H789" s="12" t="s">
        <v>4090</v>
      </c>
      <c r="I789" s="23">
        <v>9.786027659711E12</v>
      </c>
      <c r="J789" s="12">
        <v>2015.0</v>
      </c>
      <c r="K789" s="23">
        <v>64.0</v>
      </c>
      <c r="L789" s="24">
        <v>3.0</v>
      </c>
      <c r="M789" s="25" t="s">
        <v>4389</v>
      </c>
      <c r="N789" s="26" t="str">
        <f t="shared" si="2"/>
        <v>630
SET
o</v>
      </c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0">
        <v>789.0</v>
      </c>
      <c r="B790" s="12" t="s">
        <v>4390</v>
      </c>
      <c r="C790" s="12" t="s">
        <v>249</v>
      </c>
      <c r="D790" s="23" t="s">
        <v>4391</v>
      </c>
      <c r="E790" s="12" t="s">
        <v>4392</v>
      </c>
      <c r="F790" s="12" t="s">
        <v>4393</v>
      </c>
      <c r="G790" s="22"/>
      <c r="H790" s="12" t="s">
        <v>4247</v>
      </c>
      <c r="I790" s="23" t="s">
        <v>4394</v>
      </c>
      <c r="J790" s="12">
        <v>2000.0</v>
      </c>
      <c r="K790" s="23">
        <v>118.0</v>
      </c>
      <c r="L790" s="24">
        <v>1.0</v>
      </c>
      <c r="M790" s="25" t="s">
        <v>4395</v>
      </c>
      <c r="N790" s="26" t="str">
        <f t="shared" si="2"/>
        <v>635.98
HER
p</v>
      </c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0">
        <v>790.0</v>
      </c>
      <c r="B791" s="12" t="s">
        <v>4396</v>
      </c>
      <c r="C791" s="12" t="s">
        <v>249</v>
      </c>
      <c r="D791" s="23">
        <v>600.0</v>
      </c>
      <c r="E791" s="12" t="s">
        <v>4397</v>
      </c>
      <c r="F791" s="12" t="s">
        <v>4398</v>
      </c>
      <c r="G791" s="12" t="s">
        <v>3048</v>
      </c>
      <c r="H791" s="12" t="s">
        <v>496</v>
      </c>
      <c r="I791" s="23" t="s">
        <v>4399</v>
      </c>
      <c r="J791" s="12">
        <v>2013.0</v>
      </c>
      <c r="K791" s="23">
        <v>74.0</v>
      </c>
      <c r="L791" s="24">
        <v>3.0</v>
      </c>
      <c r="M791" s="25" t="s">
        <v>4400</v>
      </c>
      <c r="N791" s="26" t="str">
        <f t="shared" si="2"/>
        <v>600
SHI
p</v>
      </c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0">
        <v>791.0</v>
      </c>
      <c r="B792" s="12" t="s">
        <v>4401</v>
      </c>
      <c r="C792" s="12" t="s">
        <v>229</v>
      </c>
      <c r="D792" s="23" t="s">
        <v>2320</v>
      </c>
      <c r="E792" s="12" t="s">
        <v>4402</v>
      </c>
      <c r="F792" s="12" t="s">
        <v>3047</v>
      </c>
      <c r="G792" s="12" t="s">
        <v>3048</v>
      </c>
      <c r="H792" s="12" t="s">
        <v>496</v>
      </c>
      <c r="I792" s="23" t="s">
        <v>4403</v>
      </c>
      <c r="J792" s="12">
        <v>2015.0</v>
      </c>
      <c r="K792" s="23">
        <v>60.0</v>
      </c>
      <c r="L792" s="24">
        <v>2.0</v>
      </c>
      <c r="M792" s="25" t="s">
        <v>4404</v>
      </c>
      <c r="N792" s="26" t="str">
        <f t="shared" si="2"/>
        <v>363.7
PUT
p</v>
      </c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0">
        <v>792.0</v>
      </c>
      <c r="B793" s="12" t="s">
        <v>4405</v>
      </c>
      <c r="C793" s="12" t="s">
        <v>249</v>
      </c>
      <c r="D793" s="35"/>
      <c r="E793" s="22"/>
      <c r="F793" s="12" t="s">
        <v>4406</v>
      </c>
      <c r="G793" s="12" t="s">
        <v>4407</v>
      </c>
      <c r="H793" s="12" t="s">
        <v>4362</v>
      </c>
      <c r="I793" s="23" t="s">
        <v>4408</v>
      </c>
      <c r="J793" s="12">
        <v>2001.0</v>
      </c>
      <c r="K793" s="23">
        <v>117.0</v>
      </c>
      <c r="L793" s="24">
        <v>1.0</v>
      </c>
      <c r="M793" s="12" t="s">
        <v>340</v>
      </c>
      <c r="N793" s="26" t="str">
        <f t="shared" si="2"/>
        <v>
EKO
s</v>
      </c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0">
        <v>793.0</v>
      </c>
      <c r="B794" s="12" t="s">
        <v>4409</v>
      </c>
      <c r="C794" s="12" t="s">
        <v>249</v>
      </c>
      <c r="D794" s="23" t="s">
        <v>4410</v>
      </c>
      <c r="E794" s="12" t="s">
        <v>4411</v>
      </c>
      <c r="F794" s="12" t="s">
        <v>4412</v>
      </c>
      <c r="G794" s="12" t="s">
        <v>4325</v>
      </c>
      <c r="H794" s="12" t="s">
        <v>4413</v>
      </c>
      <c r="I794" s="23" t="s">
        <v>4414</v>
      </c>
      <c r="J794" s="12">
        <v>2015.0</v>
      </c>
      <c r="K794" s="23">
        <v>104.0</v>
      </c>
      <c r="L794" s="24">
        <v>2.0</v>
      </c>
      <c r="M794" s="12" t="s">
        <v>340</v>
      </c>
      <c r="N794" s="26" t="str">
        <f t="shared" si="2"/>
        <v>621.3
ADO
s</v>
      </c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0">
        <v>794.0</v>
      </c>
      <c r="B795" s="12" t="s">
        <v>4415</v>
      </c>
      <c r="C795" s="12" t="s">
        <v>249</v>
      </c>
      <c r="D795" s="35"/>
      <c r="E795" s="22"/>
      <c r="F795" s="12" t="s">
        <v>4416</v>
      </c>
      <c r="G795" s="12" t="s">
        <v>4417</v>
      </c>
      <c r="H795" s="12" t="s">
        <v>4418</v>
      </c>
      <c r="I795" s="23" t="s">
        <v>4419</v>
      </c>
      <c r="J795" s="12">
        <v>2006.0</v>
      </c>
      <c r="K795" s="23">
        <v>82.0</v>
      </c>
      <c r="L795" s="24">
        <v>1.0</v>
      </c>
      <c r="M795" s="12" t="s">
        <v>340</v>
      </c>
      <c r="N795" s="26" t="str">
        <f t="shared" si="2"/>
        <v>
TIT
s</v>
      </c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0">
        <v>795.0</v>
      </c>
      <c r="B796" s="12" t="s">
        <v>4420</v>
      </c>
      <c r="C796" s="12" t="s">
        <v>249</v>
      </c>
      <c r="D796" s="35"/>
      <c r="E796" s="22"/>
      <c r="F796" s="12" t="s">
        <v>3041</v>
      </c>
      <c r="G796" s="12" t="s">
        <v>4421</v>
      </c>
      <c r="H796" s="12" t="s">
        <v>534</v>
      </c>
      <c r="I796" s="23" t="s">
        <v>4422</v>
      </c>
      <c r="J796" s="12">
        <v>2015.0</v>
      </c>
      <c r="K796" s="23">
        <v>48.0</v>
      </c>
      <c r="L796" s="24">
        <v>3.0</v>
      </c>
      <c r="M796" s="12" t="s">
        <v>340</v>
      </c>
      <c r="N796" s="26" t="str">
        <f t="shared" si="2"/>
        <v>
NAS
t</v>
      </c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0">
        <v>796.0</v>
      </c>
      <c r="B797" s="12" t="s">
        <v>4423</v>
      </c>
      <c r="C797" s="12" t="s">
        <v>249</v>
      </c>
      <c r="D797" s="35"/>
      <c r="E797" s="22"/>
      <c r="F797" s="12" t="s">
        <v>2264</v>
      </c>
      <c r="G797" s="12" t="s">
        <v>4424</v>
      </c>
      <c r="H797" s="12" t="s">
        <v>4425</v>
      </c>
      <c r="I797" s="23" t="s">
        <v>4426</v>
      </c>
      <c r="J797" s="12">
        <v>2009.0</v>
      </c>
      <c r="K797" s="23">
        <v>52.0</v>
      </c>
      <c r="L797" s="24">
        <v>2.0</v>
      </c>
      <c r="M797" s="12" t="s">
        <v>340</v>
      </c>
      <c r="N797" s="26" t="str">
        <f t="shared" si="2"/>
        <v>
YUD
m</v>
      </c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0">
        <v>797.0</v>
      </c>
      <c r="B798" s="12" t="s">
        <v>4427</v>
      </c>
      <c r="C798" s="12" t="s">
        <v>249</v>
      </c>
      <c r="D798" s="35"/>
      <c r="E798" s="22"/>
      <c r="F798" s="12" t="s">
        <v>4428</v>
      </c>
      <c r="G798" s="12" t="s">
        <v>4429</v>
      </c>
      <c r="H798" s="12" t="s">
        <v>4430</v>
      </c>
      <c r="I798" s="23" t="s">
        <v>4431</v>
      </c>
      <c r="J798" s="12">
        <v>2015.0</v>
      </c>
      <c r="K798" s="23">
        <v>48.0</v>
      </c>
      <c r="L798" s="24">
        <v>1.0</v>
      </c>
      <c r="M798" s="12" t="s">
        <v>340</v>
      </c>
      <c r="N798" s="26" t="str">
        <f t="shared" si="2"/>
        <v>
TJ.
c</v>
      </c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0">
        <v>798.0</v>
      </c>
      <c r="B799" s="12" t="s">
        <v>4432</v>
      </c>
      <c r="C799" s="12" t="s">
        <v>249</v>
      </c>
      <c r="D799" s="23">
        <v>630.0</v>
      </c>
      <c r="E799" s="12" t="s">
        <v>4282</v>
      </c>
      <c r="F799" s="12" t="s">
        <v>4433</v>
      </c>
      <c r="G799" s="12" t="s">
        <v>4434</v>
      </c>
      <c r="H799" s="12" t="s">
        <v>4078</v>
      </c>
      <c r="I799" s="35"/>
      <c r="J799" s="12">
        <v>2006.0</v>
      </c>
      <c r="K799" s="23">
        <v>56.0</v>
      </c>
      <c r="L799" s="24">
        <v>1.0</v>
      </c>
      <c r="M799" s="25" t="s">
        <v>4435</v>
      </c>
      <c r="N799" s="26" t="str">
        <f t="shared" si="2"/>
        <v>630
SUT
b</v>
      </c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0">
        <v>799.0</v>
      </c>
      <c r="B800" s="12" t="s">
        <v>4436</v>
      </c>
      <c r="C800" s="12" t="s">
        <v>249</v>
      </c>
      <c r="D800" s="23" t="s">
        <v>4437</v>
      </c>
      <c r="E800" s="12" t="s">
        <v>4438</v>
      </c>
      <c r="F800" s="12" t="s">
        <v>4439</v>
      </c>
      <c r="G800" s="12" t="s">
        <v>4440</v>
      </c>
      <c r="H800" s="12" t="s">
        <v>4078</v>
      </c>
      <c r="I800" s="35"/>
      <c r="J800" s="12">
        <v>2006.0</v>
      </c>
      <c r="K800" s="23">
        <v>60.0</v>
      </c>
      <c r="L800" s="24">
        <v>1.0</v>
      </c>
      <c r="M800" s="25" t="s">
        <v>4441</v>
      </c>
      <c r="N800" s="26" t="str">
        <f t="shared" si="2"/>
        <v>635.9
SIT
b</v>
      </c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0">
        <v>800.0</v>
      </c>
      <c r="B801" s="12" t="s">
        <v>4442</v>
      </c>
      <c r="C801" s="12" t="s">
        <v>249</v>
      </c>
      <c r="D801" s="35"/>
      <c r="E801" s="22"/>
      <c r="F801" s="12" t="s">
        <v>1947</v>
      </c>
      <c r="G801" s="22"/>
      <c r="H801" s="12" t="s">
        <v>1949</v>
      </c>
      <c r="I801" s="23" t="s">
        <v>4443</v>
      </c>
      <c r="J801" s="12">
        <v>2015.0</v>
      </c>
      <c r="K801" s="23">
        <v>60.0</v>
      </c>
      <c r="L801" s="24">
        <v>2.0</v>
      </c>
      <c r="M801" s="12" t="s">
        <v>340</v>
      </c>
      <c r="N801" s="26" t="str">
        <f t="shared" si="2"/>
        <v>
IMA
b</v>
      </c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0">
        <v>801.0</v>
      </c>
      <c r="B802" s="12" t="s">
        <v>4444</v>
      </c>
      <c r="C802" s="12" t="s">
        <v>249</v>
      </c>
      <c r="D802" s="23">
        <v>630.0</v>
      </c>
      <c r="E802" s="12" t="s">
        <v>4445</v>
      </c>
      <c r="F802" s="12" t="s">
        <v>4057</v>
      </c>
      <c r="G802" s="12" t="s">
        <v>4446</v>
      </c>
      <c r="H802" s="12" t="s">
        <v>57</v>
      </c>
      <c r="I802" s="23" t="s">
        <v>4447</v>
      </c>
      <c r="J802" s="12">
        <v>2008.0</v>
      </c>
      <c r="K802" s="23">
        <v>50.0</v>
      </c>
      <c r="L802" s="24">
        <v>1.0</v>
      </c>
      <c r="M802" s="25" t="s">
        <v>4448</v>
      </c>
      <c r="N802" s="26" t="str">
        <f t="shared" si="2"/>
        <v>630
KUS
b</v>
      </c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0">
        <v>802.0</v>
      </c>
      <c r="B803" s="12" t="s">
        <v>4449</v>
      </c>
      <c r="C803" s="12" t="s">
        <v>249</v>
      </c>
      <c r="D803" s="35"/>
      <c r="E803" s="22"/>
      <c r="F803" s="12" t="s">
        <v>4450</v>
      </c>
      <c r="G803" s="12" t="s">
        <v>4451</v>
      </c>
      <c r="H803" s="12" t="s">
        <v>1949</v>
      </c>
      <c r="I803" s="23" t="s">
        <v>4452</v>
      </c>
      <c r="J803" s="12">
        <v>2015.0</v>
      </c>
      <c r="K803" s="23">
        <v>60.0</v>
      </c>
      <c r="L803" s="24">
        <v>2.0</v>
      </c>
      <c r="M803" s="12" t="s">
        <v>340</v>
      </c>
      <c r="N803" s="26" t="str">
        <f t="shared" si="2"/>
        <v>
W. 
m</v>
      </c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0">
        <v>803.0</v>
      </c>
      <c r="B804" s="12" t="s">
        <v>4453</v>
      </c>
      <c r="C804" s="12" t="s">
        <v>249</v>
      </c>
      <c r="D804" s="35"/>
      <c r="E804" s="22"/>
      <c r="F804" s="12" t="s">
        <v>4454</v>
      </c>
      <c r="G804" s="12" t="s">
        <v>4455</v>
      </c>
      <c r="H804" s="12" t="s">
        <v>1955</v>
      </c>
      <c r="I804" s="23" t="s">
        <v>4456</v>
      </c>
      <c r="J804" s="12">
        <v>2015.0</v>
      </c>
      <c r="K804" s="23">
        <v>76.0</v>
      </c>
      <c r="L804" s="24">
        <v>2.0</v>
      </c>
      <c r="M804" s="12" t="s">
        <v>340</v>
      </c>
      <c r="N804" s="26" t="str">
        <f t="shared" si="2"/>
        <v>
A. 
p</v>
      </c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0">
        <v>804.0</v>
      </c>
      <c r="B805" s="12" t="s">
        <v>4457</v>
      </c>
      <c r="C805" s="12" t="s">
        <v>249</v>
      </c>
      <c r="D805" s="35"/>
      <c r="E805" s="22"/>
      <c r="F805" s="12" t="s">
        <v>4458</v>
      </c>
      <c r="G805" s="12" t="s">
        <v>4459</v>
      </c>
      <c r="H805" s="12" t="s">
        <v>4460</v>
      </c>
      <c r="I805" s="23" t="s">
        <v>4461</v>
      </c>
      <c r="J805" s="12">
        <v>2015.0</v>
      </c>
      <c r="K805" s="23">
        <v>92.0</v>
      </c>
      <c r="L805" s="24">
        <v>2.0</v>
      </c>
      <c r="M805" s="12" t="s">
        <v>340</v>
      </c>
      <c r="N805" s="26" t="str">
        <f t="shared" si="2"/>
        <v>
IR.
b</v>
      </c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0">
        <v>805.0</v>
      </c>
      <c r="B806" s="12" t="s">
        <v>4462</v>
      </c>
      <c r="C806" s="12" t="s">
        <v>249</v>
      </c>
      <c r="D806" s="35"/>
      <c r="E806" s="22"/>
      <c r="F806" s="12" t="s">
        <v>4463</v>
      </c>
      <c r="G806" s="12" t="s">
        <v>4464</v>
      </c>
      <c r="H806" s="12" t="s">
        <v>4465</v>
      </c>
      <c r="I806" s="23" t="s">
        <v>4466</v>
      </c>
      <c r="J806" s="12">
        <v>2010.0</v>
      </c>
      <c r="K806" s="23">
        <v>50.0</v>
      </c>
      <c r="L806" s="24">
        <v>1.0</v>
      </c>
      <c r="M806" s="12" t="s">
        <v>340</v>
      </c>
      <c r="N806" s="26" t="str">
        <f t="shared" si="2"/>
        <v>
AJA
m</v>
      </c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0">
        <v>806.0</v>
      </c>
      <c r="B807" s="12" t="s">
        <v>4467</v>
      </c>
      <c r="C807" s="12" t="s">
        <v>249</v>
      </c>
      <c r="D807" s="35"/>
      <c r="E807" s="22"/>
      <c r="F807" s="12" t="s">
        <v>4468</v>
      </c>
      <c r="G807" s="12" t="s">
        <v>4469</v>
      </c>
      <c r="H807" s="12" t="s">
        <v>4465</v>
      </c>
      <c r="I807" s="23" t="s">
        <v>4470</v>
      </c>
      <c r="J807" s="12">
        <v>2010.0</v>
      </c>
      <c r="K807" s="23">
        <v>64.0</v>
      </c>
      <c r="L807" s="24">
        <v>1.0</v>
      </c>
      <c r="M807" s="12" t="s">
        <v>340</v>
      </c>
      <c r="N807" s="26" t="str">
        <f t="shared" si="2"/>
        <v>
EDD
m</v>
      </c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0">
        <v>807.0</v>
      </c>
      <c r="B808" s="12" t="s">
        <v>4471</v>
      </c>
      <c r="C808" s="12" t="s">
        <v>249</v>
      </c>
      <c r="D808" s="35"/>
      <c r="E808" s="22"/>
      <c r="F808" s="12" t="s">
        <v>4463</v>
      </c>
      <c r="G808" s="12" t="s">
        <v>4472</v>
      </c>
      <c r="H808" s="12" t="s">
        <v>4465</v>
      </c>
      <c r="I808" s="23" t="s">
        <v>4473</v>
      </c>
      <c r="J808" s="12">
        <v>2010.0</v>
      </c>
      <c r="K808" s="23">
        <v>56.0</v>
      </c>
      <c r="L808" s="24">
        <v>1.0</v>
      </c>
      <c r="M808" s="12" t="s">
        <v>340</v>
      </c>
      <c r="N808" s="26" t="str">
        <f t="shared" si="2"/>
        <v>
AJA
m</v>
      </c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0">
        <v>808.0</v>
      </c>
      <c r="B809" s="12" t="s">
        <v>4474</v>
      </c>
      <c r="C809" s="12" t="s">
        <v>249</v>
      </c>
      <c r="D809" s="35"/>
      <c r="E809" s="22"/>
      <c r="F809" s="12" t="s">
        <v>4450</v>
      </c>
      <c r="G809" s="12" t="s">
        <v>4475</v>
      </c>
      <c r="H809" s="12" t="s">
        <v>1949</v>
      </c>
      <c r="I809" s="23" t="s">
        <v>4476</v>
      </c>
      <c r="J809" s="12">
        <v>2015.0</v>
      </c>
      <c r="K809" s="23">
        <v>60.0</v>
      </c>
      <c r="L809" s="24">
        <v>3.0</v>
      </c>
      <c r="M809" s="12" t="s">
        <v>340</v>
      </c>
      <c r="N809" s="26" t="str">
        <f t="shared" si="2"/>
        <v>
W. 
p</v>
      </c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0">
        <v>809.0</v>
      </c>
      <c r="B810" s="12" t="s">
        <v>4477</v>
      </c>
      <c r="C810" s="12" t="s">
        <v>249</v>
      </c>
      <c r="D810" s="23">
        <v>610.0</v>
      </c>
      <c r="E810" s="12" t="s">
        <v>4049</v>
      </c>
      <c r="F810" s="12" t="s">
        <v>2308</v>
      </c>
      <c r="G810" s="12" t="s">
        <v>1941</v>
      </c>
      <c r="H810" s="12" t="s">
        <v>2141</v>
      </c>
      <c r="I810" s="23" t="s">
        <v>4478</v>
      </c>
      <c r="J810" s="12">
        <v>2015.0</v>
      </c>
      <c r="K810" s="23">
        <v>66.0</v>
      </c>
      <c r="L810" s="24">
        <v>2.0</v>
      </c>
      <c r="M810" s="25" t="s">
        <v>4479</v>
      </c>
      <c r="N810" s="26" t="str">
        <f t="shared" si="2"/>
        <v>610
HET
k</v>
      </c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0">
        <v>810.0</v>
      </c>
      <c r="B811" s="12" t="s">
        <v>4480</v>
      </c>
      <c r="C811" s="12" t="s">
        <v>249</v>
      </c>
      <c r="D811" s="23">
        <v>610.0</v>
      </c>
      <c r="E811" s="12" t="s">
        <v>4049</v>
      </c>
      <c r="F811" s="12" t="s">
        <v>4481</v>
      </c>
      <c r="G811" s="22"/>
      <c r="H811" s="12" t="s">
        <v>4482</v>
      </c>
      <c r="I811" s="23" t="s">
        <v>4483</v>
      </c>
      <c r="J811" s="12">
        <v>2012.0</v>
      </c>
      <c r="K811" s="23">
        <v>174.0</v>
      </c>
      <c r="L811" s="24">
        <v>1.0</v>
      </c>
      <c r="M811" s="25" t="s">
        <v>4484</v>
      </c>
      <c r="N811" s="26" t="str">
        <f t="shared" si="2"/>
        <v>610
PAN
h</v>
      </c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0">
        <v>811.0</v>
      </c>
      <c r="B812" s="12" t="s">
        <v>4485</v>
      </c>
      <c r="C812" s="12" t="s">
        <v>249</v>
      </c>
      <c r="D812" s="35"/>
      <c r="E812" s="22"/>
      <c r="F812" s="12" t="s">
        <v>4486</v>
      </c>
      <c r="G812" s="22"/>
      <c r="H812" s="12" t="s">
        <v>4487</v>
      </c>
      <c r="I812" s="35"/>
      <c r="J812" s="12">
        <v>200.0</v>
      </c>
      <c r="K812" s="23">
        <v>22.0</v>
      </c>
      <c r="L812" s="24">
        <v>1.0</v>
      </c>
      <c r="M812" s="12" t="s">
        <v>340</v>
      </c>
      <c r="N812" s="26" t="str">
        <f t="shared" si="2"/>
        <v>
IR.
c</v>
      </c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0">
        <v>812.0</v>
      </c>
      <c r="B813" s="12" t="s">
        <v>4488</v>
      </c>
      <c r="C813" s="12" t="s">
        <v>249</v>
      </c>
      <c r="D813" s="35"/>
      <c r="E813" s="22"/>
      <c r="F813" s="12" t="s">
        <v>4057</v>
      </c>
      <c r="G813" s="12" t="s">
        <v>4446</v>
      </c>
      <c r="H813" s="12" t="s">
        <v>57</v>
      </c>
      <c r="I813" s="23" t="s">
        <v>4489</v>
      </c>
      <c r="J813" s="12">
        <v>2010.0</v>
      </c>
      <c r="K813" s="23">
        <v>50.0</v>
      </c>
      <c r="L813" s="24">
        <v>1.0</v>
      </c>
      <c r="M813" s="12" t="s">
        <v>340</v>
      </c>
      <c r="N813" s="26" t="str">
        <f t="shared" si="2"/>
        <v>
KUS
b</v>
      </c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0">
        <v>813.0</v>
      </c>
      <c r="B814" s="12" t="s">
        <v>4490</v>
      </c>
      <c r="C814" s="12" t="s">
        <v>249</v>
      </c>
      <c r="D814" s="23" t="s">
        <v>4491</v>
      </c>
      <c r="E814" s="12" t="s">
        <v>4492</v>
      </c>
      <c r="F814" s="12" t="s">
        <v>4493</v>
      </c>
      <c r="G814" s="22"/>
      <c r="H814" s="12" t="s">
        <v>4465</v>
      </c>
      <c r="I814" s="23" t="s">
        <v>4494</v>
      </c>
      <c r="J814" s="12">
        <v>2010.0</v>
      </c>
      <c r="K814" s="23">
        <v>56.0</v>
      </c>
      <c r="L814" s="24">
        <v>1.0</v>
      </c>
      <c r="M814" s="25" t="s">
        <v>4495</v>
      </c>
      <c r="N814" s="26" t="str">
        <f t="shared" si="2"/>
        <v>688.7
ANY
m</v>
      </c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0">
        <v>814.0</v>
      </c>
      <c r="B815" s="12" t="s">
        <v>4496</v>
      </c>
      <c r="C815" s="12" t="s">
        <v>249</v>
      </c>
      <c r="D815" s="35"/>
      <c r="E815" s="22"/>
      <c r="F815" s="12" t="s">
        <v>4497</v>
      </c>
      <c r="G815" s="12" t="s">
        <v>4498</v>
      </c>
      <c r="H815" s="12" t="s">
        <v>1879</v>
      </c>
      <c r="I815" s="23" t="s">
        <v>4499</v>
      </c>
      <c r="J815" s="12">
        <v>2009.0</v>
      </c>
      <c r="K815" s="23">
        <v>58.0</v>
      </c>
      <c r="L815" s="24">
        <v>1.0</v>
      </c>
      <c r="M815" s="12" t="s">
        <v>340</v>
      </c>
      <c r="N815" s="26" t="str">
        <f t="shared" si="2"/>
        <v>
NUR
m</v>
      </c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0">
        <v>815.0</v>
      </c>
      <c r="B816" s="12" t="s">
        <v>4500</v>
      </c>
      <c r="C816" s="12" t="s">
        <v>249</v>
      </c>
      <c r="D816" s="35"/>
      <c r="E816" s="22"/>
      <c r="F816" s="12" t="s">
        <v>4501</v>
      </c>
      <c r="G816" s="12" t="s">
        <v>4502</v>
      </c>
      <c r="H816" s="12" t="s">
        <v>1879</v>
      </c>
      <c r="I816" s="23" t="s">
        <v>4503</v>
      </c>
      <c r="J816" s="12">
        <v>2009.0</v>
      </c>
      <c r="K816" s="23">
        <v>50.0</v>
      </c>
      <c r="L816" s="24">
        <v>1.0</v>
      </c>
      <c r="M816" s="12" t="s">
        <v>340</v>
      </c>
      <c r="N816" s="26" t="str">
        <f t="shared" si="2"/>
        <v>
S. 
s</v>
      </c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0">
        <v>816.0</v>
      </c>
      <c r="B817" s="12" t="s">
        <v>4504</v>
      </c>
      <c r="C817" s="12" t="s">
        <v>249</v>
      </c>
      <c r="D817" s="35"/>
      <c r="E817" s="22"/>
      <c r="F817" s="12" t="s">
        <v>4505</v>
      </c>
      <c r="G817" s="12" t="s">
        <v>4506</v>
      </c>
      <c r="H817" s="12" t="s">
        <v>4507</v>
      </c>
      <c r="I817" s="23" t="s">
        <v>4508</v>
      </c>
      <c r="J817" s="12">
        <v>2007.0</v>
      </c>
      <c r="K817" s="23">
        <v>58.0</v>
      </c>
      <c r="L817" s="24">
        <v>1.0</v>
      </c>
      <c r="M817" s="12" t="s">
        <v>340</v>
      </c>
      <c r="N817" s="26" t="str">
        <f t="shared" si="2"/>
        <v>
SRI
m</v>
      </c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0">
        <v>817.0</v>
      </c>
      <c r="B818" s="12" t="s">
        <v>4509</v>
      </c>
      <c r="C818" s="12" t="s">
        <v>249</v>
      </c>
      <c r="D818" s="35"/>
      <c r="E818" s="22"/>
      <c r="F818" s="12" t="s">
        <v>4510</v>
      </c>
      <c r="G818" s="12" t="s">
        <v>4511</v>
      </c>
      <c r="H818" s="12" t="s">
        <v>646</v>
      </c>
      <c r="I818" s="23">
        <v>9.79245691E8</v>
      </c>
      <c r="J818" s="12">
        <v>2016.0</v>
      </c>
      <c r="K818" s="23">
        <v>60.0</v>
      </c>
      <c r="L818" s="24">
        <v>1.0</v>
      </c>
      <c r="M818" s="12" t="s">
        <v>340</v>
      </c>
      <c r="N818" s="26" t="str">
        <f t="shared" si="2"/>
        <v>
ETI
p</v>
      </c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0">
        <v>818.0</v>
      </c>
      <c r="B819" s="12" t="s">
        <v>4512</v>
      </c>
      <c r="C819" s="12" t="s">
        <v>249</v>
      </c>
      <c r="D819" s="35"/>
      <c r="E819" s="22"/>
      <c r="F819" s="12" t="s">
        <v>4513</v>
      </c>
      <c r="G819" s="22"/>
      <c r="H819" s="12" t="s">
        <v>4514</v>
      </c>
      <c r="I819" s="23" t="s">
        <v>4515</v>
      </c>
      <c r="J819" s="12">
        <v>2008.0</v>
      </c>
      <c r="K819" s="23">
        <v>81.0</v>
      </c>
      <c r="L819" s="24">
        <v>1.0</v>
      </c>
      <c r="M819" s="12" t="s">
        <v>340</v>
      </c>
      <c r="N819" s="26" t="str">
        <f t="shared" si="2"/>
        <v>
OMA
b</v>
      </c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0">
        <v>819.0</v>
      </c>
      <c r="B820" s="12" t="s">
        <v>4516</v>
      </c>
      <c r="C820" s="12" t="s">
        <v>249</v>
      </c>
      <c r="D820" s="35"/>
      <c r="E820" s="22"/>
      <c r="F820" s="12" t="s">
        <v>4517</v>
      </c>
      <c r="G820" s="12" t="s">
        <v>4518</v>
      </c>
      <c r="H820" s="12" t="s">
        <v>4078</v>
      </c>
      <c r="I820" s="35"/>
      <c r="J820" s="12">
        <v>2006.0</v>
      </c>
      <c r="K820" s="23">
        <v>76.0</v>
      </c>
      <c r="L820" s="24">
        <v>1.0</v>
      </c>
      <c r="M820" s="12" t="s">
        <v>340</v>
      </c>
      <c r="N820" s="26" t="str">
        <f t="shared" si="2"/>
        <v>
SUP
t</v>
      </c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0">
        <v>820.0</v>
      </c>
      <c r="B821" s="12" t="s">
        <v>4519</v>
      </c>
      <c r="C821" s="12" t="s">
        <v>249</v>
      </c>
      <c r="D821" s="35"/>
      <c r="E821" s="22"/>
      <c r="F821" s="12" t="s">
        <v>4346</v>
      </c>
      <c r="G821" s="12" t="s">
        <v>4520</v>
      </c>
      <c r="H821" s="12" t="s">
        <v>4078</v>
      </c>
      <c r="I821" s="35"/>
      <c r="J821" s="22"/>
      <c r="K821" s="23">
        <v>56.0</v>
      </c>
      <c r="L821" s="24">
        <v>1.0</v>
      </c>
      <c r="M821" s="12" t="s">
        <v>340</v>
      </c>
      <c r="N821" s="26" t="str">
        <f t="shared" si="2"/>
        <v>
EKO
b</v>
      </c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0">
        <v>821.0</v>
      </c>
      <c r="B822" s="12" t="s">
        <v>4521</v>
      </c>
      <c r="C822" s="12" t="s">
        <v>249</v>
      </c>
      <c r="D822" s="35"/>
      <c r="E822" s="22"/>
      <c r="F822" s="12" t="s">
        <v>4522</v>
      </c>
      <c r="G822" s="12" t="s">
        <v>3240</v>
      </c>
      <c r="H822" s="12" t="s">
        <v>2141</v>
      </c>
      <c r="I822" s="23" t="s">
        <v>4523</v>
      </c>
      <c r="J822" s="12">
        <v>2015.0</v>
      </c>
      <c r="K822" s="23">
        <v>136.0</v>
      </c>
      <c r="L822" s="24">
        <v>2.0</v>
      </c>
      <c r="M822" s="12" t="s">
        <v>340</v>
      </c>
      <c r="N822" s="26" t="str">
        <f t="shared" si="2"/>
        <v>
DRS
p</v>
      </c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0">
        <v>822.0</v>
      </c>
      <c r="B823" s="12" t="s">
        <v>4524</v>
      </c>
      <c r="C823" s="12" t="s">
        <v>249</v>
      </c>
      <c r="D823" s="23">
        <v>610.0</v>
      </c>
      <c r="E823" s="12" t="s">
        <v>4049</v>
      </c>
      <c r="F823" s="12" t="s">
        <v>3065</v>
      </c>
      <c r="G823" s="12" t="s">
        <v>3240</v>
      </c>
      <c r="H823" s="12" t="s">
        <v>2141</v>
      </c>
      <c r="I823" s="23" t="s">
        <v>4525</v>
      </c>
      <c r="J823" s="12">
        <v>2015.0</v>
      </c>
      <c r="K823" s="23">
        <v>124.0</v>
      </c>
      <c r="L823" s="24">
        <v>2.0</v>
      </c>
      <c r="M823" s="25" t="s">
        <v>4526</v>
      </c>
      <c r="N823" s="26" t="str">
        <f t="shared" si="2"/>
        <v>610
TIM
m</v>
      </c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0">
        <v>823.0</v>
      </c>
      <c r="B824" s="12" t="s">
        <v>4527</v>
      </c>
      <c r="C824" s="12" t="s">
        <v>249</v>
      </c>
      <c r="D824" s="23">
        <v>610.0</v>
      </c>
      <c r="E824" s="12" t="s">
        <v>4049</v>
      </c>
      <c r="F824" s="12" t="s">
        <v>173</v>
      </c>
      <c r="G824" s="12" t="s">
        <v>107</v>
      </c>
      <c r="H824" s="12" t="s">
        <v>158</v>
      </c>
      <c r="I824" s="23" t="s">
        <v>4528</v>
      </c>
      <c r="J824" s="12">
        <v>2015.0</v>
      </c>
      <c r="K824" s="23">
        <v>90.0</v>
      </c>
      <c r="L824" s="24">
        <v>3.0</v>
      </c>
      <c r="M824" s="25" t="s">
        <v>4529</v>
      </c>
      <c r="N824" s="26" t="str">
        <f t="shared" si="2"/>
        <v>610
AMI
t</v>
      </c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0">
        <v>824.0</v>
      </c>
      <c r="B825" s="12" t="s">
        <v>4530</v>
      </c>
      <c r="C825" s="12" t="s">
        <v>249</v>
      </c>
      <c r="D825" s="35"/>
      <c r="E825" s="22"/>
      <c r="F825" s="12" t="s">
        <v>4531</v>
      </c>
      <c r="G825" s="12" t="s">
        <v>4532</v>
      </c>
      <c r="H825" s="12" t="s">
        <v>4533</v>
      </c>
      <c r="I825" s="35"/>
      <c r="J825" s="12">
        <v>1996.0</v>
      </c>
      <c r="K825" s="23">
        <v>160.0</v>
      </c>
      <c r="L825" s="24">
        <v>1.0</v>
      </c>
      <c r="M825" s="12" t="s">
        <v>340</v>
      </c>
      <c r="N825" s="26" t="str">
        <f t="shared" si="2"/>
        <v>
Drs
b</v>
      </c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0">
        <v>825.0</v>
      </c>
      <c r="B826" s="12" t="s">
        <v>4534</v>
      </c>
      <c r="C826" s="12" t="s">
        <v>249</v>
      </c>
      <c r="D826" s="23" t="s">
        <v>4535</v>
      </c>
      <c r="E826" s="12" t="s">
        <v>4536</v>
      </c>
      <c r="F826" s="12" t="s">
        <v>4537</v>
      </c>
      <c r="G826" s="12" t="s">
        <v>4538</v>
      </c>
      <c r="H826" s="12" t="s">
        <v>716</v>
      </c>
      <c r="I826" s="23" t="s">
        <v>4539</v>
      </c>
      <c r="J826" s="12">
        <v>2015.0</v>
      </c>
      <c r="K826" s="23">
        <v>58.0</v>
      </c>
      <c r="L826" s="24">
        <v>4.0</v>
      </c>
      <c r="M826" s="25" t="s">
        <v>4540</v>
      </c>
      <c r="N826" s="26" t="str">
        <f t="shared" si="2"/>
        <v>658.81
OPI
m</v>
      </c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0">
        <v>826.0</v>
      </c>
      <c r="B827" s="12" t="s">
        <v>4541</v>
      </c>
      <c r="C827" s="12" t="s">
        <v>249</v>
      </c>
      <c r="D827" s="35"/>
      <c r="E827" s="22"/>
      <c r="F827" s="12" t="s">
        <v>4542</v>
      </c>
      <c r="G827" s="12" t="s">
        <v>4543</v>
      </c>
      <c r="H827" s="12" t="s">
        <v>4299</v>
      </c>
      <c r="I827" s="23" t="s">
        <v>4544</v>
      </c>
      <c r="J827" s="12">
        <v>2015.0</v>
      </c>
      <c r="K827" s="23">
        <v>100.0</v>
      </c>
      <c r="L827" s="24">
        <v>1.0</v>
      </c>
      <c r="M827" s="12" t="s">
        <v>340</v>
      </c>
      <c r="N827" s="26" t="str">
        <f t="shared" si="2"/>
        <v>
PRO
b</v>
      </c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0">
        <v>827.0</v>
      </c>
      <c r="B828" s="12" t="s">
        <v>4545</v>
      </c>
      <c r="C828" s="12" t="s">
        <v>249</v>
      </c>
      <c r="D828" s="23" t="s">
        <v>4546</v>
      </c>
      <c r="E828" s="22" t="s">
        <v>4547</v>
      </c>
      <c r="F828" s="12" t="s">
        <v>4548</v>
      </c>
      <c r="G828" s="12" t="s">
        <v>4549</v>
      </c>
      <c r="H828" s="12" t="s">
        <v>646</v>
      </c>
      <c r="I828" s="23" t="s">
        <v>4550</v>
      </c>
      <c r="J828" s="12">
        <v>2013.0</v>
      </c>
      <c r="K828" s="23">
        <v>92.0</v>
      </c>
      <c r="L828" s="24">
        <v>3.0</v>
      </c>
      <c r="M828" s="25" t="s">
        <v>4551</v>
      </c>
      <c r="N828" s="26" t="str">
        <f t="shared" si="2"/>
        <v>646.48
FAU
a</v>
      </c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0">
        <v>828.0</v>
      </c>
      <c r="B829" s="12" t="s">
        <v>4552</v>
      </c>
      <c r="C829" s="12" t="s">
        <v>249</v>
      </c>
      <c r="D829" s="23" t="s">
        <v>4553</v>
      </c>
      <c r="E829" s="12" t="s">
        <v>4554</v>
      </c>
      <c r="F829" s="12" t="s">
        <v>4555</v>
      </c>
      <c r="G829" s="12" t="s">
        <v>4543</v>
      </c>
      <c r="H829" s="12" t="s">
        <v>4299</v>
      </c>
      <c r="I829" s="23" t="s">
        <v>4556</v>
      </c>
      <c r="J829" s="12">
        <v>2012.0</v>
      </c>
      <c r="K829" s="23">
        <v>68.0</v>
      </c>
      <c r="L829" s="24">
        <v>1.0</v>
      </c>
      <c r="M829" s="12" t="s">
        <v>340</v>
      </c>
      <c r="N829" s="26" t="str">
        <f t="shared" si="2"/>
        <v>636.5
DRS
m</v>
      </c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0">
        <v>829.0</v>
      </c>
      <c r="B830" s="12" t="s">
        <v>4557</v>
      </c>
      <c r="C830" s="12" t="s">
        <v>249</v>
      </c>
      <c r="D830" s="35"/>
      <c r="E830" s="22"/>
      <c r="F830" s="12" t="s">
        <v>4517</v>
      </c>
      <c r="G830" s="12" t="s">
        <v>4558</v>
      </c>
      <c r="H830" s="12" t="s">
        <v>4078</v>
      </c>
      <c r="I830" s="35"/>
      <c r="J830" s="12">
        <v>2006.0</v>
      </c>
      <c r="K830" s="23">
        <v>58.0</v>
      </c>
      <c r="L830" s="24">
        <v>1.0</v>
      </c>
      <c r="M830" s="12" t="s">
        <v>340</v>
      </c>
      <c r="N830" s="26" t="str">
        <f t="shared" si="2"/>
        <v>
SUP
s</v>
      </c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0">
        <v>830.0</v>
      </c>
      <c r="B831" s="12" t="s">
        <v>4559</v>
      </c>
      <c r="C831" s="12" t="s">
        <v>249</v>
      </c>
      <c r="D831" s="35"/>
      <c r="E831" s="22"/>
      <c r="F831" s="12" t="s">
        <v>4560</v>
      </c>
      <c r="G831" s="12" t="s">
        <v>4561</v>
      </c>
      <c r="H831" s="12" t="s">
        <v>2314</v>
      </c>
      <c r="I831" s="35"/>
      <c r="J831" s="12">
        <v>2007.0</v>
      </c>
      <c r="K831" s="23">
        <v>92.0</v>
      </c>
      <c r="L831" s="24">
        <v>1.0</v>
      </c>
      <c r="M831" s="12" t="s">
        <v>340</v>
      </c>
      <c r="N831" s="26" t="str">
        <f t="shared" si="2"/>
        <v>
SIN
p</v>
      </c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0">
        <v>831.0</v>
      </c>
      <c r="B832" s="12" t="s">
        <v>4562</v>
      </c>
      <c r="C832" s="12" t="s">
        <v>249</v>
      </c>
      <c r="D832" s="35"/>
      <c r="E832" s="22"/>
      <c r="F832" s="12" t="s">
        <v>4341</v>
      </c>
      <c r="G832" s="12" t="s">
        <v>2293</v>
      </c>
      <c r="H832" s="12" t="s">
        <v>3593</v>
      </c>
      <c r="I832" s="23" t="s">
        <v>4563</v>
      </c>
      <c r="J832" s="12">
        <v>2010.0</v>
      </c>
      <c r="K832" s="23">
        <v>50.0</v>
      </c>
      <c r="L832" s="24">
        <v>1.0</v>
      </c>
      <c r="M832" s="12" t="s">
        <v>340</v>
      </c>
      <c r="N832" s="26" t="str">
        <f t="shared" si="2"/>
        <v>
AGE
a</v>
      </c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0">
        <v>832.0</v>
      </c>
      <c r="B833" s="12" t="s">
        <v>4564</v>
      </c>
      <c r="C833" s="12" t="s">
        <v>249</v>
      </c>
      <c r="D833" s="23">
        <v>630.0</v>
      </c>
      <c r="E833" s="12" t="s">
        <v>4282</v>
      </c>
      <c r="F833" s="12" t="s">
        <v>4565</v>
      </c>
      <c r="G833" s="12" t="s">
        <v>4566</v>
      </c>
      <c r="H833" s="12" t="s">
        <v>4299</v>
      </c>
      <c r="I833" s="23" t="s">
        <v>4567</v>
      </c>
      <c r="J833" s="12">
        <v>2015.0</v>
      </c>
      <c r="K833" s="23">
        <v>212.0</v>
      </c>
      <c r="L833" s="24">
        <v>1.0</v>
      </c>
      <c r="M833" s="25" t="s">
        <v>4568</v>
      </c>
      <c r="N833" s="26" t="str">
        <f t="shared" si="2"/>
        <v>630
SUG
b</v>
      </c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0">
        <v>833.0</v>
      </c>
      <c r="B834" s="12" t="s">
        <v>4569</v>
      </c>
      <c r="C834" s="12" t="s">
        <v>249</v>
      </c>
      <c r="D834" s="23">
        <v>650.0</v>
      </c>
      <c r="E834" s="12" t="s">
        <v>4570</v>
      </c>
      <c r="F834" s="12" t="s">
        <v>4571</v>
      </c>
      <c r="G834" s="12" t="s">
        <v>4572</v>
      </c>
      <c r="H834" s="12" t="s">
        <v>4573</v>
      </c>
      <c r="I834" s="23">
        <v>9.789790062818E12</v>
      </c>
      <c r="J834" s="12">
        <v>2010.0</v>
      </c>
      <c r="K834" s="23" t="s">
        <v>4574</v>
      </c>
      <c r="L834" s="24">
        <v>1.0</v>
      </c>
      <c r="M834" s="25" t="s">
        <v>4575</v>
      </c>
      <c r="N834" s="26" t="str">
        <f t="shared" si="2"/>
        <v>650
AGU
d</v>
      </c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0">
        <v>834.0</v>
      </c>
      <c r="B835" s="12" t="s">
        <v>4576</v>
      </c>
      <c r="C835" s="12" t="s">
        <v>249</v>
      </c>
      <c r="D835" s="23">
        <v>670.0</v>
      </c>
      <c r="E835" s="12" t="s">
        <v>4577</v>
      </c>
      <c r="F835" s="12" t="s">
        <v>4578</v>
      </c>
      <c r="G835" s="12" t="s">
        <v>4579</v>
      </c>
      <c r="H835" s="12" t="s">
        <v>4299</v>
      </c>
      <c r="I835" s="23" t="s">
        <v>4580</v>
      </c>
      <c r="J835" s="12">
        <v>2008.0</v>
      </c>
      <c r="K835" s="23">
        <v>124.0</v>
      </c>
      <c r="L835" s="24">
        <v>1.0</v>
      </c>
      <c r="M835" s="25" t="s">
        <v>4581</v>
      </c>
      <c r="N835" s="26" t="str">
        <f t="shared" si="2"/>
        <v>670
TIM
m</v>
      </c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0">
        <v>835.0</v>
      </c>
      <c r="B836" s="12" t="s">
        <v>4582</v>
      </c>
      <c r="C836" s="12" t="s">
        <v>249</v>
      </c>
      <c r="D836" s="35"/>
      <c r="E836" s="22"/>
      <c r="F836" s="12" t="s">
        <v>4583</v>
      </c>
      <c r="G836" s="12" t="s">
        <v>205</v>
      </c>
      <c r="H836" s="12" t="s">
        <v>206</v>
      </c>
      <c r="I836" s="23" t="s">
        <v>4584</v>
      </c>
      <c r="J836" s="12">
        <v>2009.0</v>
      </c>
      <c r="K836" s="23">
        <v>93.0</v>
      </c>
      <c r="L836" s="24">
        <v>1.0</v>
      </c>
      <c r="M836" s="12" t="s">
        <v>340</v>
      </c>
      <c r="N836" s="26" t="str">
        <f t="shared" si="2"/>
        <v>
WID
b</v>
      </c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0">
        <v>836.0</v>
      </c>
      <c r="B837" s="12" t="s">
        <v>4585</v>
      </c>
      <c r="C837" s="12" t="s">
        <v>249</v>
      </c>
      <c r="D837" s="23">
        <v>610.0</v>
      </c>
      <c r="E837" s="12" t="s">
        <v>4049</v>
      </c>
      <c r="F837" s="12" t="s">
        <v>4586</v>
      </c>
      <c r="G837" s="12" t="s">
        <v>3048</v>
      </c>
      <c r="H837" s="12" t="s">
        <v>253</v>
      </c>
      <c r="I837" s="23" t="s">
        <v>4587</v>
      </c>
      <c r="J837" s="12">
        <v>2015.0</v>
      </c>
      <c r="K837" s="23">
        <v>94.0</v>
      </c>
      <c r="L837" s="24">
        <v>1.0</v>
      </c>
      <c r="M837" s="25" t="s">
        <v>4588</v>
      </c>
      <c r="N837" s="26" t="str">
        <f t="shared" si="2"/>
        <v>610
KOE
s</v>
      </c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0">
        <v>837.0</v>
      </c>
      <c r="B838" s="12" t="s">
        <v>4589</v>
      </c>
      <c r="C838" s="12" t="s">
        <v>249</v>
      </c>
      <c r="D838" s="35"/>
      <c r="E838" s="22"/>
      <c r="F838" s="12" t="s">
        <v>4590</v>
      </c>
      <c r="G838" s="12" t="s">
        <v>4591</v>
      </c>
      <c r="H838" s="12" t="s">
        <v>4592</v>
      </c>
      <c r="I838" s="23" t="s">
        <v>4593</v>
      </c>
      <c r="J838" s="12">
        <v>2015.0</v>
      </c>
      <c r="K838" s="23">
        <v>48.0</v>
      </c>
      <c r="L838" s="24">
        <v>2.0</v>
      </c>
      <c r="M838" s="12" t="s">
        <v>340</v>
      </c>
      <c r="N838" s="26" t="str">
        <f t="shared" si="2"/>
        <v>
WAD
a</v>
      </c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0">
        <v>838.0</v>
      </c>
      <c r="B839" s="12" t="s">
        <v>4594</v>
      </c>
      <c r="C839" s="12" t="s">
        <v>249</v>
      </c>
      <c r="D839" s="35"/>
      <c r="E839" s="22"/>
      <c r="F839" s="22"/>
      <c r="G839" s="22"/>
      <c r="H839" s="12" t="s">
        <v>2721</v>
      </c>
      <c r="I839" s="23" t="s">
        <v>4595</v>
      </c>
      <c r="J839" s="12">
        <v>2009.0</v>
      </c>
      <c r="K839" s="23">
        <v>57.0</v>
      </c>
      <c r="L839" s="24">
        <v>1.0</v>
      </c>
      <c r="M839" s="12" t="s">
        <v>340</v>
      </c>
      <c r="N839" s="26" t="str">
        <f t="shared" si="2"/>
        <v>
h</v>
      </c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0">
        <v>839.0</v>
      </c>
      <c r="B840" s="12" t="s">
        <v>4596</v>
      </c>
      <c r="C840" s="12" t="s">
        <v>249</v>
      </c>
      <c r="D840" s="23">
        <v>628.0</v>
      </c>
      <c r="E840" s="12" t="s">
        <v>4355</v>
      </c>
      <c r="F840" s="12" t="s">
        <v>1412</v>
      </c>
      <c r="G840" s="12" t="s">
        <v>1414</v>
      </c>
      <c r="H840" s="12" t="s">
        <v>1415</v>
      </c>
      <c r="I840" s="23" t="s">
        <v>4597</v>
      </c>
      <c r="J840" s="12">
        <v>2015.0</v>
      </c>
      <c r="K840" s="23">
        <v>58.0</v>
      </c>
      <c r="L840" s="24">
        <v>4.0</v>
      </c>
      <c r="M840" s="25" t="s">
        <v>4598</v>
      </c>
      <c r="N840" s="26" t="str">
        <f t="shared" si="2"/>
        <v>628
THA
s</v>
      </c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0">
        <v>840.0</v>
      </c>
      <c r="B841" s="12" t="s">
        <v>4599</v>
      </c>
      <c r="C841" s="12" t="s">
        <v>84</v>
      </c>
      <c r="D841" s="23" t="s">
        <v>4600</v>
      </c>
      <c r="E841" s="12" t="s">
        <v>4601</v>
      </c>
      <c r="F841" s="12" t="s">
        <v>413</v>
      </c>
      <c r="G841" s="12" t="s">
        <v>518</v>
      </c>
      <c r="H841" s="12" t="s">
        <v>1439</v>
      </c>
      <c r="I841" s="23" t="s">
        <v>4602</v>
      </c>
      <c r="J841" s="12">
        <v>2009.0</v>
      </c>
      <c r="K841" s="23">
        <v>52.0</v>
      </c>
      <c r="L841" s="24">
        <v>1.0</v>
      </c>
      <c r="M841" s="25" t="s">
        <v>4603</v>
      </c>
      <c r="N841" s="26" t="str">
        <f t="shared" si="2"/>
        <v>745.1
BAG
a</v>
      </c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0">
        <v>841.0</v>
      </c>
      <c r="B842" s="12" t="s">
        <v>4604</v>
      </c>
      <c r="C842" s="12" t="s">
        <v>249</v>
      </c>
      <c r="D842" s="35"/>
      <c r="E842" s="22"/>
      <c r="F842" s="12" t="s">
        <v>4605</v>
      </c>
      <c r="G842" s="12" t="s">
        <v>518</v>
      </c>
      <c r="H842" s="12" t="s">
        <v>4606</v>
      </c>
      <c r="I842" s="23" t="s">
        <v>4607</v>
      </c>
      <c r="J842" s="12">
        <v>2015.0</v>
      </c>
      <c r="K842" s="23">
        <v>70.0</v>
      </c>
      <c r="L842" s="24">
        <v>1.0</v>
      </c>
      <c r="M842" s="12" t="s">
        <v>340</v>
      </c>
      <c r="N842" s="26" t="str">
        <f t="shared" si="2"/>
        <v>
ERM
k</v>
      </c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0">
        <v>842.0</v>
      </c>
      <c r="B843" s="12" t="s">
        <v>4608</v>
      </c>
      <c r="C843" s="12" t="s">
        <v>249</v>
      </c>
      <c r="D843" s="23">
        <v>614.0</v>
      </c>
      <c r="E843" s="12" t="s">
        <v>4609</v>
      </c>
      <c r="F843" s="12" t="s">
        <v>4610</v>
      </c>
      <c r="G843" s="12" t="s">
        <v>3048</v>
      </c>
      <c r="H843" s="12" t="s">
        <v>2141</v>
      </c>
      <c r="I843" s="23" t="s">
        <v>4611</v>
      </c>
      <c r="J843" s="12">
        <v>2015.0</v>
      </c>
      <c r="K843" s="23">
        <v>82.0</v>
      </c>
      <c r="L843" s="24">
        <v>4.0</v>
      </c>
      <c r="M843" s="25" t="s">
        <v>4612</v>
      </c>
      <c r="N843" s="26" t="str">
        <f t="shared" si="2"/>
        <v>614
Dr 
s</v>
      </c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0">
        <v>843.0</v>
      </c>
      <c r="B844" s="12" t="s">
        <v>4613</v>
      </c>
      <c r="C844" s="12" t="s">
        <v>249</v>
      </c>
      <c r="D844" s="23" t="s">
        <v>4614</v>
      </c>
      <c r="E844" s="12" t="s">
        <v>4615</v>
      </c>
      <c r="F844" s="12" t="s">
        <v>4616</v>
      </c>
      <c r="G844" s="12" t="s">
        <v>3048</v>
      </c>
      <c r="H844" s="12" t="s">
        <v>253</v>
      </c>
      <c r="I844" s="23" t="s">
        <v>4617</v>
      </c>
      <c r="J844" s="12">
        <v>2015.0</v>
      </c>
      <c r="K844" s="23">
        <v>102.0</v>
      </c>
      <c r="L844" s="24">
        <v>1.0</v>
      </c>
      <c r="M844" s="25" t="s">
        <v>4618</v>
      </c>
      <c r="N844" s="26" t="str">
        <f t="shared" si="2"/>
        <v>613.2
PUT
p</v>
      </c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0">
        <v>844.0</v>
      </c>
      <c r="B845" s="12" t="s">
        <v>4619</v>
      </c>
      <c r="C845" s="12" t="s">
        <v>249</v>
      </c>
      <c r="D845" s="23">
        <v>650.0</v>
      </c>
      <c r="E845" s="12" t="s">
        <v>4570</v>
      </c>
      <c r="F845" s="12" t="s">
        <v>714</v>
      </c>
      <c r="G845" s="12" t="s">
        <v>761</v>
      </c>
      <c r="H845" s="12" t="s">
        <v>496</v>
      </c>
      <c r="I845" s="23" t="s">
        <v>4620</v>
      </c>
      <c r="J845" s="12">
        <v>2015.0</v>
      </c>
      <c r="K845" s="23">
        <v>57.0</v>
      </c>
      <c r="L845" s="24">
        <v>1.0</v>
      </c>
      <c r="M845" s="25" t="s">
        <v>4621</v>
      </c>
      <c r="N845" s="26" t="str">
        <f t="shared" si="2"/>
        <v>650
TUT
b</v>
      </c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0">
        <v>845.0</v>
      </c>
      <c r="B846" s="12" t="s">
        <v>4622</v>
      </c>
      <c r="C846" s="12" t="s">
        <v>84</v>
      </c>
      <c r="D846" s="23" t="s">
        <v>4623</v>
      </c>
      <c r="E846" s="12" t="s">
        <v>4624</v>
      </c>
      <c r="F846" s="12" t="s">
        <v>413</v>
      </c>
      <c r="G846" s="12" t="s">
        <v>897</v>
      </c>
      <c r="H846" s="12" t="s">
        <v>2195</v>
      </c>
      <c r="I846" s="23" t="s">
        <v>4625</v>
      </c>
      <c r="J846" s="12">
        <v>2010.0</v>
      </c>
      <c r="K846" s="23">
        <v>52.0</v>
      </c>
      <c r="L846" s="24">
        <v>2.0</v>
      </c>
      <c r="M846" s="25" t="s">
        <v>4626</v>
      </c>
      <c r="N846" s="26" t="str">
        <f t="shared" si="2"/>
        <v>745.5
BAG
s</v>
      </c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0">
        <v>846.0</v>
      </c>
      <c r="B847" s="12" t="s">
        <v>4627</v>
      </c>
      <c r="C847" s="12" t="s">
        <v>84</v>
      </c>
      <c r="D847" s="23" t="s">
        <v>4623</v>
      </c>
      <c r="E847" s="12" t="s">
        <v>4628</v>
      </c>
      <c r="F847" s="12" t="s">
        <v>4629</v>
      </c>
      <c r="G847" s="12" t="s">
        <v>4630</v>
      </c>
      <c r="H847" s="12" t="s">
        <v>4631</v>
      </c>
      <c r="I847" s="23" t="s">
        <v>4632</v>
      </c>
      <c r="J847" s="12">
        <v>2014.0</v>
      </c>
      <c r="K847" s="23">
        <v>84.0</v>
      </c>
      <c r="L847" s="24">
        <v>1.0</v>
      </c>
      <c r="M847" s="25" t="s">
        <v>4633</v>
      </c>
      <c r="N847" s="26" t="str">
        <f t="shared" si="2"/>
        <v>745.5
HAR
k</v>
      </c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0">
        <v>847.0</v>
      </c>
      <c r="B848" s="12" t="s">
        <v>4634</v>
      </c>
      <c r="C848" s="12" t="s">
        <v>249</v>
      </c>
      <c r="D848" s="47" t="s">
        <v>4635</v>
      </c>
      <c r="E848" s="12" t="s">
        <v>4636</v>
      </c>
      <c r="F848" s="12" t="s">
        <v>4416</v>
      </c>
      <c r="G848" s="12" t="s">
        <v>4637</v>
      </c>
      <c r="H848" s="12" t="s">
        <v>1473</v>
      </c>
      <c r="I848" s="23" t="s">
        <v>4638</v>
      </c>
      <c r="J848" s="12">
        <v>2009.0</v>
      </c>
      <c r="K848" s="23">
        <v>66.0</v>
      </c>
      <c r="L848" s="24">
        <v>1.0</v>
      </c>
      <c r="M848" s="25" t="s">
        <v>4639</v>
      </c>
      <c r="N848" s="26" t="str">
        <f t="shared" si="2"/>
        <v>617.7
TIT
m</v>
      </c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0">
        <v>848.0</v>
      </c>
      <c r="B849" s="12" t="s">
        <v>4640</v>
      </c>
      <c r="C849" s="12" t="s">
        <v>249</v>
      </c>
      <c r="D849" s="35"/>
      <c r="E849" s="22"/>
      <c r="F849" s="12" t="s">
        <v>4641</v>
      </c>
      <c r="G849" s="12" t="s">
        <v>4642</v>
      </c>
      <c r="H849" s="12" t="s">
        <v>4592</v>
      </c>
      <c r="I849" s="23" t="s">
        <v>4643</v>
      </c>
      <c r="J849" s="12">
        <v>2015.0</v>
      </c>
      <c r="K849" s="23">
        <v>52.0</v>
      </c>
      <c r="L849" s="24">
        <v>1.0</v>
      </c>
      <c r="M849" s="12" t="s">
        <v>340</v>
      </c>
      <c r="N849" s="26" t="str">
        <f t="shared" si="2"/>
        <v>
WID
m</v>
      </c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0">
        <v>849.0</v>
      </c>
      <c r="B850" s="12" t="s">
        <v>4644</v>
      </c>
      <c r="C850" s="12" t="s">
        <v>249</v>
      </c>
      <c r="D850" s="35"/>
      <c r="E850" s="22"/>
      <c r="F850" s="12" t="s">
        <v>4645</v>
      </c>
      <c r="G850" s="12" t="s">
        <v>850</v>
      </c>
      <c r="H850" s="12" t="s">
        <v>2945</v>
      </c>
      <c r="I850" s="23" t="s">
        <v>4646</v>
      </c>
      <c r="J850" s="12">
        <v>2010.0</v>
      </c>
      <c r="K850" s="23">
        <v>54.0</v>
      </c>
      <c r="L850" s="24">
        <v>1.0</v>
      </c>
      <c r="M850" s="12" t="s">
        <v>340</v>
      </c>
      <c r="N850" s="26" t="str">
        <f t="shared" si="2"/>
        <v>
Drs
m</v>
      </c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0">
        <v>850.0</v>
      </c>
      <c r="B851" s="12" t="s">
        <v>4647</v>
      </c>
      <c r="C851" s="12" t="s">
        <v>249</v>
      </c>
      <c r="D851" s="35"/>
      <c r="E851" s="22"/>
      <c r="F851" s="12" t="s">
        <v>4648</v>
      </c>
      <c r="G851" s="12" t="s">
        <v>4649</v>
      </c>
      <c r="H851" s="12" t="s">
        <v>4650</v>
      </c>
      <c r="I851" s="23" t="s">
        <v>4651</v>
      </c>
      <c r="J851" s="12">
        <v>2009.0</v>
      </c>
      <c r="K851" s="23">
        <v>176.0</v>
      </c>
      <c r="L851" s="24">
        <v>1.0</v>
      </c>
      <c r="M851" s="12" t="s">
        <v>340</v>
      </c>
      <c r="N851" s="26" t="str">
        <f t="shared" si="2"/>
        <v>
MIR
d</v>
      </c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0">
        <v>851.0</v>
      </c>
      <c r="B852" s="12" t="s">
        <v>4652</v>
      </c>
      <c r="C852" s="12" t="s">
        <v>249</v>
      </c>
      <c r="D852" s="35"/>
      <c r="E852" s="22"/>
      <c r="F852" s="12" t="s">
        <v>4653</v>
      </c>
      <c r="G852" s="12" t="s">
        <v>234</v>
      </c>
      <c r="H852" s="12" t="s">
        <v>2036</v>
      </c>
      <c r="I852" s="23" t="s">
        <v>4654</v>
      </c>
      <c r="J852" s="12">
        <v>2014.0</v>
      </c>
      <c r="K852" s="23">
        <v>79.0</v>
      </c>
      <c r="L852" s="24">
        <v>1.0</v>
      </c>
      <c r="M852" s="12" t="s">
        <v>340</v>
      </c>
      <c r="N852" s="26" t="str">
        <f t="shared" si="2"/>
        <v>
DIA
a</v>
      </c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0">
        <v>852.0</v>
      </c>
      <c r="B853" s="12" t="s">
        <v>4655</v>
      </c>
      <c r="C853" s="12" t="s">
        <v>249</v>
      </c>
      <c r="D853" s="35"/>
      <c r="E853" s="22"/>
      <c r="F853" s="12" t="s">
        <v>4656</v>
      </c>
      <c r="G853" s="22"/>
      <c r="H853" s="12" t="s">
        <v>3969</v>
      </c>
      <c r="I853" s="35"/>
      <c r="J853" s="12">
        <v>2006.0</v>
      </c>
      <c r="K853" s="23">
        <v>65.0</v>
      </c>
      <c r="L853" s="24">
        <v>1.0</v>
      </c>
      <c r="M853" s="12" t="s">
        <v>340</v>
      </c>
      <c r="N853" s="26" t="str">
        <f t="shared" si="2"/>
        <v>
Ir.
s</v>
      </c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0">
        <v>853.0</v>
      </c>
      <c r="B854" s="12" t="s">
        <v>4657</v>
      </c>
      <c r="C854" s="12" t="s">
        <v>249</v>
      </c>
      <c r="D854" s="23">
        <v>630.0</v>
      </c>
      <c r="E854" s="12" t="s">
        <v>4307</v>
      </c>
      <c r="F854" s="12" t="s">
        <v>4658</v>
      </c>
      <c r="G854" s="22"/>
      <c r="H854" s="12" t="s">
        <v>3969</v>
      </c>
      <c r="I854" s="35"/>
      <c r="J854" s="12">
        <v>2004.0</v>
      </c>
      <c r="K854" s="23">
        <v>40.0</v>
      </c>
      <c r="L854" s="24">
        <v>1.0</v>
      </c>
      <c r="M854" s="25" t="s">
        <v>4659</v>
      </c>
      <c r="N854" s="26" t="str">
        <f t="shared" si="2"/>
        <v>630
RIK
s</v>
      </c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0">
        <v>854.0</v>
      </c>
      <c r="B855" s="12" t="s">
        <v>4660</v>
      </c>
      <c r="C855" s="12" t="s">
        <v>249</v>
      </c>
      <c r="D855" s="35"/>
      <c r="E855" s="22"/>
      <c r="F855" s="12" t="s">
        <v>4661</v>
      </c>
      <c r="G855" s="22"/>
      <c r="H855" s="12" t="s">
        <v>3969</v>
      </c>
      <c r="I855" s="35"/>
      <c r="J855" s="12">
        <v>2004.0</v>
      </c>
      <c r="K855" s="23">
        <v>56.0</v>
      </c>
      <c r="L855" s="24">
        <v>1.0</v>
      </c>
      <c r="M855" s="12" t="s">
        <v>340</v>
      </c>
      <c r="N855" s="26" t="str">
        <f t="shared" si="2"/>
        <v>
NEN
s</v>
      </c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0">
        <v>855.0</v>
      </c>
      <c r="B856" s="12" t="s">
        <v>4662</v>
      </c>
      <c r="C856" s="12" t="s">
        <v>249</v>
      </c>
      <c r="D856" s="23" t="s">
        <v>2739</v>
      </c>
      <c r="E856" s="12" t="s">
        <v>4663</v>
      </c>
      <c r="F856" s="12" t="s">
        <v>2741</v>
      </c>
      <c r="G856" s="12" t="s">
        <v>897</v>
      </c>
      <c r="H856" s="12" t="s">
        <v>2742</v>
      </c>
      <c r="I856" s="23">
        <v>9.786028181198E12</v>
      </c>
      <c r="J856" s="12">
        <v>2012.0</v>
      </c>
      <c r="K856" s="23" t="s">
        <v>4664</v>
      </c>
      <c r="L856" s="24">
        <v>3.0</v>
      </c>
      <c r="M856" s="25" t="s">
        <v>4665</v>
      </c>
      <c r="N856" s="26" t="str">
        <f t="shared" si="2"/>
        <v>641.5
PRA
b</v>
      </c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0">
        <v>856.0</v>
      </c>
      <c r="B857" s="12" t="s">
        <v>4666</v>
      </c>
      <c r="C857" s="12" t="s">
        <v>229</v>
      </c>
      <c r="D857" s="23" t="s">
        <v>4277</v>
      </c>
      <c r="E857" s="12" t="s">
        <v>4667</v>
      </c>
      <c r="F857" s="12" t="s">
        <v>4668</v>
      </c>
      <c r="G857" s="22"/>
      <c r="H857" s="12" t="s">
        <v>4669</v>
      </c>
      <c r="I857" s="23">
        <v>9.789791013369E12</v>
      </c>
      <c r="J857" s="12">
        <v>2018.0</v>
      </c>
      <c r="K857" s="23" t="s">
        <v>4670</v>
      </c>
      <c r="L857" s="24">
        <v>1.0</v>
      </c>
      <c r="M857" s="25" t="s">
        <v>4671</v>
      </c>
      <c r="N857" s="26" t="str">
        <f t="shared" si="2"/>
        <v>338.04
A. 
m</v>
      </c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0">
        <v>857.0</v>
      </c>
      <c r="B858" s="12" t="s">
        <v>4672</v>
      </c>
      <c r="C858" s="12" t="s">
        <v>249</v>
      </c>
      <c r="D858" s="47">
        <v>621385.0</v>
      </c>
      <c r="E858" s="12" t="s">
        <v>4673</v>
      </c>
      <c r="F858" s="12" t="s">
        <v>4674</v>
      </c>
      <c r="G858" s="22"/>
      <c r="H858" s="12" t="s">
        <v>390</v>
      </c>
      <c r="I858" s="23">
        <v>9.786028131018E12</v>
      </c>
      <c r="J858" s="12">
        <v>2016.0</v>
      </c>
      <c r="K858" s="23" t="s">
        <v>4675</v>
      </c>
      <c r="L858" s="24">
        <v>1.0</v>
      </c>
      <c r="M858" s="25" t="s">
        <v>4676</v>
      </c>
      <c r="N858" s="26" t="str">
        <f t="shared" si="2"/>
        <v>621385
PRI
r</v>
      </c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0">
        <v>858.0</v>
      </c>
      <c r="B859" s="12" t="s">
        <v>4677</v>
      </c>
      <c r="C859" s="12" t="s">
        <v>249</v>
      </c>
      <c r="D859" s="35"/>
      <c r="E859" s="22"/>
      <c r="F859" s="12" t="s">
        <v>4678</v>
      </c>
      <c r="G859" s="12" t="s">
        <v>4679</v>
      </c>
      <c r="H859" s="12" t="s">
        <v>4680</v>
      </c>
      <c r="I859" s="23">
        <v>9.786028505277E12</v>
      </c>
      <c r="J859" s="12">
        <v>2014.0</v>
      </c>
      <c r="K859" s="23">
        <v>62.0</v>
      </c>
      <c r="L859" s="24">
        <v>1.0</v>
      </c>
      <c r="M859" s="12" t="s">
        <v>340</v>
      </c>
      <c r="N859" s="26" t="str">
        <f t="shared" si="2"/>
        <v>
SAT
s</v>
      </c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0">
        <v>859.0</v>
      </c>
      <c r="B860" s="12" t="s">
        <v>4681</v>
      </c>
      <c r="C860" s="12" t="s">
        <v>249</v>
      </c>
      <c r="D860" s="23" t="s">
        <v>4682</v>
      </c>
      <c r="E860" s="12" t="s">
        <v>4683</v>
      </c>
      <c r="F860" s="12" t="s">
        <v>4684</v>
      </c>
      <c r="G860" s="22"/>
      <c r="H860" s="12" t="s">
        <v>4685</v>
      </c>
      <c r="I860" s="23">
        <v>9.799791013092E12</v>
      </c>
      <c r="J860" s="12">
        <v>2015.0</v>
      </c>
      <c r="K860" s="23" t="s">
        <v>4686</v>
      </c>
      <c r="L860" s="24">
        <v>4.0</v>
      </c>
      <c r="M860" s="25" t="s">
        <v>4687</v>
      </c>
      <c r="N860" s="26" t="str">
        <f t="shared" si="2"/>
        <v>665.3
AND
m</v>
      </c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0">
        <v>860.0</v>
      </c>
      <c r="B861" s="12" t="s">
        <v>4688</v>
      </c>
      <c r="C861" s="12" t="s">
        <v>249</v>
      </c>
      <c r="D861" s="35"/>
      <c r="E861" s="22"/>
      <c r="F861" s="12" t="s">
        <v>4689</v>
      </c>
      <c r="G861" s="12" t="s">
        <v>4674</v>
      </c>
      <c r="H861" s="12" t="s">
        <v>4685</v>
      </c>
      <c r="I861" s="23">
        <v>9.791013187E9</v>
      </c>
      <c r="J861" s="12">
        <v>2018.0</v>
      </c>
      <c r="K861" s="23" t="s">
        <v>4690</v>
      </c>
      <c r="L861" s="24">
        <v>4.0</v>
      </c>
      <c r="M861" s="12" t="s">
        <v>340</v>
      </c>
      <c r="N861" s="26" t="str">
        <f t="shared" si="2"/>
        <v>
MAR
m</v>
      </c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0">
        <v>861.0</v>
      </c>
      <c r="B862" s="12" t="s">
        <v>4691</v>
      </c>
      <c r="C862" s="12" t="s">
        <v>249</v>
      </c>
      <c r="D862" s="23" t="s">
        <v>4692</v>
      </c>
      <c r="E862" s="12" t="s">
        <v>4693</v>
      </c>
      <c r="F862" s="12" t="s">
        <v>4057</v>
      </c>
      <c r="G862" s="12" t="s">
        <v>4694</v>
      </c>
      <c r="H862" s="12" t="s">
        <v>4018</v>
      </c>
      <c r="I862" s="23">
        <v>9.789794655078E12</v>
      </c>
      <c r="J862" s="12">
        <v>2014.0</v>
      </c>
      <c r="K862" s="23">
        <v>52.0</v>
      </c>
      <c r="L862" s="24">
        <v>4.0</v>
      </c>
      <c r="M862" s="38" t="s">
        <v>4695</v>
      </c>
      <c r="N862" s="26" t="str">
        <f t="shared" si="2"/>
        <v>639.31
KUS
b</v>
      </c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0">
        <v>862.0</v>
      </c>
      <c r="B863" s="12" t="s">
        <v>4696</v>
      </c>
      <c r="C863" s="12" t="s">
        <v>249</v>
      </c>
      <c r="D863" s="23">
        <v>634.0</v>
      </c>
      <c r="E863" s="12" t="s">
        <v>4697</v>
      </c>
      <c r="F863" s="12" t="s">
        <v>4057</v>
      </c>
      <c r="G863" s="12" t="s">
        <v>4694</v>
      </c>
      <c r="H863" s="12" t="s">
        <v>4018</v>
      </c>
      <c r="I863" s="23">
        <v>9.789794654682E12</v>
      </c>
      <c r="J863" s="12">
        <v>2010.0</v>
      </c>
      <c r="K863" s="23">
        <v>50.0</v>
      </c>
      <c r="L863" s="24">
        <v>4.0</v>
      </c>
      <c r="M863" s="25" t="s">
        <v>4698</v>
      </c>
      <c r="N863" s="26" t="str">
        <f t="shared" si="2"/>
        <v>634
KUS
b</v>
      </c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0">
        <v>863.0</v>
      </c>
      <c r="B864" s="12" t="s">
        <v>4699</v>
      </c>
      <c r="C864" s="12" t="s">
        <v>249</v>
      </c>
      <c r="D864" s="23">
        <v>633.0</v>
      </c>
      <c r="E864" s="12" t="s">
        <v>4700</v>
      </c>
      <c r="F864" s="12" t="s">
        <v>4057</v>
      </c>
      <c r="G864" s="12" t="s">
        <v>4694</v>
      </c>
      <c r="H864" s="12" t="s">
        <v>4018</v>
      </c>
      <c r="I864" s="23">
        <v>9.789794654958E12</v>
      </c>
      <c r="J864" s="12">
        <v>2014.0</v>
      </c>
      <c r="K864" s="23">
        <v>50.0</v>
      </c>
      <c r="L864" s="24">
        <v>3.0</v>
      </c>
      <c r="M864" s="25" t="s">
        <v>4701</v>
      </c>
      <c r="N864" s="26" t="str">
        <f t="shared" si="2"/>
        <v>633
KUS
b</v>
      </c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0">
        <v>864.0</v>
      </c>
      <c r="B865" s="12" t="s">
        <v>4702</v>
      </c>
      <c r="C865" s="12" t="s">
        <v>249</v>
      </c>
      <c r="D865" s="23">
        <v>629.0</v>
      </c>
      <c r="E865" s="12" t="s">
        <v>4703</v>
      </c>
      <c r="F865" s="12" t="s">
        <v>4704</v>
      </c>
      <c r="G865" s="12" t="s">
        <v>4705</v>
      </c>
      <c r="H865" s="12" t="s">
        <v>390</v>
      </c>
      <c r="I865" s="23">
        <v>9.786028131032E12</v>
      </c>
      <c r="J865" s="12">
        <v>2017.0</v>
      </c>
      <c r="K865" s="23" t="s">
        <v>4706</v>
      </c>
      <c r="L865" s="24">
        <v>4.0</v>
      </c>
      <c r="M865" s="25" t="s">
        <v>4707</v>
      </c>
      <c r="N865" s="26" t="str">
        <f t="shared" si="2"/>
        <v>629
AND
m</v>
      </c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0">
        <v>865.0</v>
      </c>
      <c r="B866" s="12" t="s">
        <v>4708</v>
      </c>
      <c r="C866" s="12" t="s">
        <v>249</v>
      </c>
      <c r="D866" s="23" t="s">
        <v>4692</v>
      </c>
      <c r="E866" s="12" t="s">
        <v>4709</v>
      </c>
      <c r="F866" s="12" t="s">
        <v>4057</v>
      </c>
      <c r="G866" s="12" t="s">
        <v>4694</v>
      </c>
      <c r="H866" s="12" t="s">
        <v>4018</v>
      </c>
      <c r="I866" s="23">
        <v>9.789794655054E12</v>
      </c>
      <c r="J866" s="12">
        <v>2010.0</v>
      </c>
      <c r="K866" s="23">
        <v>50.0</v>
      </c>
      <c r="L866" s="24">
        <v>3.0</v>
      </c>
      <c r="M866" s="25" t="s">
        <v>4710</v>
      </c>
      <c r="N866" s="26" t="str">
        <f t="shared" si="2"/>
        <v>639.31
KUS
b</v>
      </c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0">
        <v>866.0</v>
      </c>
      <c r="B867" s="12" t="s">
        <v>4711</v>
      </c>
      <c r="C867" s="12" t="s">
        <v>249</v>
      </c>
      <c r="D867" s="47">
        <v>620004.0</v>
      </c>
      <c r="E867" s="12" t="s">
        <v>4712</v>
      </c>
      <c r="F867" s="12" t="s">
        <v>4713</v>
      </c>
      <c r="G867" s="12" t="s">
        <v>4714</v>
      </c>
      <c r="H867" s="12" t="s">
        <v>3646</v>
      </c>
      <c r="I867" s="23">
        <v>9.786028913102E12</v>
      </c>
      <c r="J867" s="12">
        <v>2011.0</v>
      </c>
      <c r="K867" s="23" t="s">
        <v>3665</v>
      </c>
      <c r="L867" s="24">
        <v>4.0</v>
      </c>
      <c r="M867" s="25" t="s">
        <v>4715</v>
      </c>
      <c r="N867" s="26" t="str">
        <f t="shared" si="2"/>
        <v>620004
ENN
t</v>
      </c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0">
        <v>867.0</v>
      </c>
      <c r="B868" s="12" t="s">
        <v>4716</v>
      </c>
      <c r="C868" s="12" t="s">
        <v>249</v>
      </c>
      <c r="D868" s="23" t="s">
        <v>4717</v>
      </c>
      <c r="E868" s="12" t="s">
        <v>4718</v>
      </c>
      <c r="F868" s="12" t="s">
        <v>4719</v>
      </c>
      <c r="G868" s="12" t="s">
        <v>4720</v>
      </c>
      <c r="H868" s="12" t="s">
        <v>4721</v>
      </c>
      <c r="I868" s="23">
        <v>9.78602872504E12</v>
      </c>
      <c r="J868" s="12">
        <v>2015.0</v>
      </c>
      <c r="K868" s="23" t="s">
        <v>3665</v>
      </c>
      <c r="L868" s="24">
        <v>4.0</v>
      </c>
      <c r="M868" s="25" t="s">
        <v>4722</v>
      </c>
      <c r="N868" s="26" t="str">
        <f t="shared" si="2"/>
        <v>616.5
RET
p</v>
      </c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0">
        <v>868.0</v>
      </c>
      <c r="B869" s="12" t="s">
        <v>4723</v>
      </c>
      <c r="C869" s="12" t="s">
        <v>249</v>
      </c>
      <c r="D869" s="23">
        <v>636.0</v>
      </c>
      <c r="E869" s="12" t="s">
        <v>4724</v>
      </c>
      <c r="F869" s="12" t="s">
        <v>4725</v>
      </c>
      <c r="G869" s="12" t="s">
        <v>897</v>
      </c>
      <c r="H869" s="12" t="s">
        <v>2742</v>
      </c>
      <c r="I869" s="23">
        <v>9.786028181242E12</v>
      </c>
      <c r="J869" s="12">
        <v>2012.0</v>
      </c>
      <c r="K869" s="23" t="s">
        <v>2235</v>
      </c>
      <c r="L869" s="24">
        <v>3.0</v>
      </c>
      <c r="M869" s="25" t="s">
        <v>4726</v>
      </c>
      <c r="N869" s="26" t="str">
        <f t="shared" si="2"/>
        <v>636
ERN
b</v>
      </c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0">
        <v>869.0</v>
      </c>
      <c r="B870" s="12" t="s">
        <v>4727</v>
      </c>
      <c r="C870" s="12" t="s">
        <v>249</v>
      </c>
      <c r="D870" s="23" t="s">
        <v>4302</v>
      </c>
      <c r="E870" s="12" t="s">
        <v>4728</v>
      </c>
      <c r="F870" s="12" t="s">
        <v>4725</v>
      </c>
      <c r="G870" s="12" t="s">
        <v>897</v>
      </c>
      <c r="H870" s="12" t="s">
        <v>2742</v>
      </c>
      <c r="I870" s="23">
        <v>9.786028181228E12</v>
      </c>
      <c r="J870" s="12">
        <v>2012.0</v>
      </c>
      <c r="K870" s="23" t="s">
        <v>2250</v>
      </c>
      <c r="L870" s="24">
        <v>4.0</v>
      </c>
      <c r="M870" s="25" t="s">
        <v>4729</v>
      </c>
      <c r="N870" s="26" t="str">
        <f t="shared" si="2"/>
        <v>635.6
ERN
b</v>
      </c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0">
        <v>870.0</v>
      </c>
      <c r="B871" s="12" t="s">
        <v>4730</v>
      </c>
      <c r="C871" s="12" t="s">
        <v>249</v>
      </c>
      <c r="D871" s="23" t="s">
        <v>4731</v>
      </c>
      <c r="E871" s="12" t="s">
        <v>4732</v>
      </c>
      <c r="F871" s="12" t="s">
        <v>4733</v>
      </c>
      <c r="G871" s="12" t="s">
        <v>897</v>
      </c>
      <c r="H871" s="12" t="s">
        <v>2742</v>
      </c>
      <c r="I871" s="23">
        <v>9.786028181204E12</v>
      </c>
      <c r="J871" s="12">
        <v>2012.0</v>
      </c>
      <c r="K871" s="23" t="s">
        <v>4664</v>
      </c>
      <c r="L871" s="24">
        <v>4.0</v>
      </c>
      <c r="M871" s="25" t="s">
        <v>4734</v>
      </c>
      <c r="N871" s="26" t="str">
        <f t="shared" si="2"/>
        <v>633.8
AME
a</v>
      </c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0">
        <v>871.0</v>
      </c>
      <c r="B872" s="12" t="s">
        <v>4735</v>
      </c>
      <c r="C872" s="12" t="s">
        <v>249</v>
      </c>
      <c r="D872" s="23">
        <v>640.0</v>
      </c>
      <c r="E872" s="12" t="s">
        <v>4736</v>
      </c>
      <c r="F872" s="12" t="s">
        <v>4737</v>
      </c>
      <c r="G872" s="12" t="s">
        <v>4738</v>
      </c>
      <c r="H872" s="12" t="s">
        <v>1879</v>
      </c>
      <c r="I872" s="23">
        <v>9.799281946E9</v>
      </c>
      <c r="J872" s="12">
        <v>2009.0</v>
      </c>
      <c r="K872" s="23">
        <v>58.0</v>
      </c>
      <c r="L872" s="24">
        <v>4.0</v>
      </c>
      <c r="M872" s="25" t="s">
        <v>4739</v>
      </c>
      <c r="N872" s="26" t="str">
        <f t="shared" si="2"/>
        <v>640
RAT
b</v>
      </c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0">
        <v>872.0</v>
      </c>
      <c r="B873" s="12" t="s">
        <v>4740</v>
      </c>
      <c r="C873" s="12" t="s">
        <v>249</v>
      </c>
      <c r="D873" s="23" t="s">
        <v>4741</v>
      </c>
      <c r="E873" s="12" t="s">
        <v>4742</v>
      </c>
      <c r="F873" s="12" t="s">
        <v>4743</v>
      </c>
      <c r="G873" s="12" t="s">
        <v>4744</v>
      </c>
      <c r="H873" s="12" t="s">
        <v>1466</v>
      </c>
      <c r="I873" s="23">
        <v>9.786020012605E12</v>
      </c>
      <c r="J873" s="12">
        <v>2012.0</v>
      </c>
      <c r="K873" s="23" t="s">
        <v>4745</v>
      </c>
      <c r="L873" s="24">
        <v>4.0</v>
      </c>
      <c r="M873" s="25" t="s">
        <v>4746</v>
      </c>
      <c r="N873" s="26" t="str">
        <f t="shared" si="2"/>
        <v>650
SHE
s</v>
      </c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0">
        <v>873.0</v>
      </c>
      <c r="B874" s="12" t="s">
        <v>4747</v>
      </c>
      <c r="C874" s="12" t="s">
        <v>249</v>
      </c>
      <c r="D874" s="23">
        <v>650.0</v>
      </c>
      <c r="E874" s="12" t="s">
        <v>4748</v>
      </c>
      <c r="F874" s="12" t="s">
        <v>4749</v>
      </c>
      <c r="G874" s="12" t="s">
        <v>4750</v>
      </c>
      <c r="H874" s="12" t="s">
        <v>3781</v>
      </c>
      <c r="I874" s="23">
        <v>9.789790370296E12</v>
      </c>
      <c r="J874" s="12">
        <v>2010.0</v>
      </c>
      <c r="K874" s="23">
        <v>170.0</v>
      </c>
      <c r="L874" s="24">
        <v>4.0</v>
      </c>
      <c r="M874" s="25" t="s">
        <v>4751</v>
      </c>
      <c r="N874" s="26" t="str">
        <f t="shared" si="2"/>
        <v>650
DON
m</v>
      </c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0">
        <v>874.0</v>
      </c>
      <c r="B875" s="12" t="s">
        <v>4752</v>
      </c>
      <c r="C875" s="12" t="s">
        <v>84</v>
      </c>
      <c r="D875" s="23" t="s">
        <v>4753</v>
      </c>
      <c r="E875" s="12" t="s">
        <v>4754</v>
      </c>
      <c r="F875" s="12" t="s">
        <v>4416</v>
      </c>
      <c r="G875" s="12" t="s">
        <v>4755</v>
      </c>
      <c r="H875" s="12" t="s">
        <v>1973</v>
      </c>
      <c r="I875" s="23">
        <v>9.789790050372E12</v>
      </c>
      <c r="J875" s="12">
        <v>2009.0</v>
      </c>
      <c r="K875" s="23">
        <v>74.0</v>
      </c>
      <c r="L875" s="24">
        <v>4.0</v>
      </c>
      <c r="M875" s="25" t="s">
        <v>4756</v>
      </c>
      <c r="N875" s="26" t="str">
        <f t="shared" si="2"/>
        <v>746.5
TIT
s</v>
      </c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0">
        <v>875.0</v>
      </c>
      <c r="B876" s="12" t="s">
        <v>4757</v>
      </c>
      <c r="C876" s="12" t="s">
        <v>249</v>
      </c>
      <c r="D876" s="23">
        <v>610.0</v>
      </c>
      <c r="E876" s="12" t="s">
        <v>4049</v>
      </c>
      <c r="F876" s="12" t="s">
        <v>4758</v>
      </c>
      <c r="G876" s="22"/>
      <c r="H876" s="12" t="s">
        <v>2303</v>
      </c>
      <c r="I876" s="23">
        <v>9.786028982627E12</v>
      </c>
      <c r="J876" s="12">
        <v>2017.0</v>
      </c>
      <c r="K876" s="23">
        <v>62.0</v>
      </c>
      <c r="L876" s="24">
        <v>1.0</v>
      </c>
      <c r="M876" s="25" t="s">
        <v>4759</v>
      </c>
      <c r="N876" s="26" t="str">
        <f t="shared" si="2"/>
        <v>610
BET
a</v>
      </c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0">
        <v>876.0</v>
      </c>
      <c r="B877" s="12" t="s">
        <v>4041</v>
      </c>
      <c r="C877" s="12" t="s">
        <v>249</v>
      </c>
      <c r="D877" s="35"/>
      <c r="E877" s="22"/>
      <c r="F877" s="12" t="s">
        <v>3011</v>
      </c>
      <c r="G877" s="12" t="s">
        <v>3012</v>
      </c>
      <c r="H877" s="12" t="s">
        <v>57</v>
      </c>
      <c r="I877" s="23">
        <v>9.789794657195E12</v>
      </c>
      <c r="J877" s="12">
        <v>2010.0</v>
      </c>
      <c r="K877" s="23">
        <v>92.0</v>
      </c>
      <c r="L877" s="24">
        <v>2.0</v>
      </c>
      <c r="M877" s="12" t="s">
        <v>340</v>
      </c>
      <c r="N877" s="26" t="str">
        <f t="shared" si="2"/>
        <v>
ASE
d</v>
      </c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0">
        <v>877.0</v>
      </c>
      <c r="B878" s="12" t="s">
        <v>4760</v>
      </c>
      <c r="C878" s="12" t="s">
        <v>249</v>
      </c>
      <c r="D878" s="35"/>
      <c r="E878" s="22"/>
      <c r="F878" s="12" t="s">
        <v>4057</v>
      </c>
      <c r="G878" s="12" t="s">
        <v>4058</v>
      </c>
      <c r="H878" s="12" t="s">
        <v>57</v>
      </c>
      <c r="I878" s="23">
        <v>9.78979465516E12</v>
      </c>
      <c r="J878" s="12">
        <v>2010.0</v>
      </c>
      <c r="K878" s="23">
        <v>52.0</v>
      </c>
      <c r="L878" s="24">
        <v>2.0</v>
      </c>
      <c r="M878" s="12" t="s">
        <v>340</v>
      </c>
      <c r="N878" s="26" t="str">
        <f t="shared" si="2"/>
        <v>
KUS
v</v>
      </c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0">
        <v>878.0</v>
      </c>
      <c r="B879" s="12" t="s">
        <v>4061</v>
      </c>
      <c r="C879" s="12" t="s">
        <v>249</v>
      </c>
      <c r="D879" s="35"/>
      <c r="E879" s="22"/>
      <c r="F879" s="12" t="s">
        <v>4057</v>
      </c>
      <c r="G879" s="12" t="s">
        <v>4058</v>
      </c>
      <c r="H879" s="12" t="s">
        <v>57</v>
      </c>
      <c r="I879" s="23">
        <v>9.789794654743E12</v>
      </c>
      <c r="J879" s="12">
        <v>2010.0</v>
      </c>
      <c r="K879" s="23">
        <v>50.0</v>
      </c>
      <c r="L879" s="24">
        <v>2.0</v>
      </c>
      <c r="M879" s="12" t="s">
        <v>340</v>
      </c>
      <c r="N879" s="26" t="str">
        <f t="shared" si="2"/>
        <v>
KUS
b</v>
      </c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0">
        <v>879.0</v>
      </c>
      <c r="B880" s="12" t="s">
        <v>4062</v>
      </c>
      <c r="C880" s="12" t="s">
        <v>249</v>
      </c>
      <c r="D880" s="35"/>
      <c r="E880" s="22"/>
      <c r="F880" s="12" t="s">
        <v>4057</v>
      </c>
      <c r="G880" s="12" t="s">
        <v>4058</v>
      </c>
      <c r="H880" s="12" t="s">
        <v>57</v>
      </c>
      <c r="I880" s="23">
        <v>9.789794654989E12</v>
      </c>
      <c r="J880" s="12">
        <v>2010.0</v>
      </c>
      <c r="K880" s="23">
        <v>50.0</v>
      </c>
      <c r="L880" s="24">
        <v>2.0</v>
      </c>
      <c r="M880" s="12" t="s">
        <v>340</v>
      </c>
      <c r="N880" s="26" t="str">
        <f t="shared" si="2"/>
        <v>
KUS
b</v>
      </c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0">
        <v>880.0</v>
      </c>
      <c r="B881" s="12" t="s">
        <v>4761</v>
      </c>
      <c r="C881" s="12" t="s">
        <v>249</v>
      </c>
      <c r="D881" s="35"/>
      <c r="E881" s="22"/>
      <c r="F881" s="12" t="s">
        <v>4057</v>
      </c>
      <c r="G881" s="12" t="s">
        <v>4058</v>
      </c>
      <c r="H881" s="12" t="s">
        <v>57</v>
      </c>
      <c r="I881" s="23">
        <v>9.789794655177E12</v>
      </c>
      <c r="J881" s="12">
        <v>2010.0</v>
      </c>
      <c r="K881" s="23">
        <v>52.0</v>
      </c>
      <c r="L881" s="24">
        <v>2.0</v>
      </c>
      <c r="M881" s="12" t="s">
        <v>340</v>
      </c>
      <c r="N881" s="26" t="str">
        <f t="shared" si="2"/>
        <v>
KUS
v</v>
      </c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0">
        <v>881.0</v>
      </c>
      <c r="B882" s="12" t="s">
        <v>4762</v>
      </c>
      <c r="C882" s="12" t="s">
        <v>249</v>
      </c>
      <c r="D882" s="23" t="s">
        <v>4763</v>
      </c>
      <c r="E882" s="22"/>
      <c r="F882" s="12" t="s">
        <v>4764</v>
      </c>
      <c r="G882" s="12" t="s">
        <v>3012</v>
      </c>
      <c r="H882" s="12" t="s">
        <v>57</v>
      </c>
      <c r="I882" s="23">
        <v>9.789794657225E12</v>
      </c>
      <c r="J882" s="12">
        <v>2010.0</v>
      </c>
      <c r="K882" s="23">
        <v>92.0</v>
      </c>
      <c r="L882" s="24">
        <v>2.0</v>
      </c>
      <c r="M882" s="25" t="s">
        <v>4765</v>
      </c>
      <c r="N882" s="26" t="str">
        <f t="shared" si="2"/>
        <v>668.4
SUR
k</v>
      </c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0">
        <v>882.0</v>
      </c>
      <c r="B883" s="12" t="s">
        <v>4766</v>
      </c>
      <c r="C883" s="12" t="s">
        <v>249</v>
      </c>
      <c r="D883" s="35"/>
      <c r="E883" s="22"/>
      <c r="F883" s="12" t="s">
        <v>3034</v>
      </c>
      <c r="G883" s="22"/>
      <c r="H883" s="12" t="s">
        <v>57</v>
      </c>
      <c r="I883" s="23">
        <v>9.789794655337E12</v>
      </c>
      <c r="J883" s="12">
        <v>2010.0</v>
      </c>
      <c r="K883" s="23">
        <v>52.0</v>
      </c>
      <c r="L883" s="24">
        <v>2.0</v>
      </c>
      <c r="M883" s="12" t="s">
        <v>340</v>
      </c>
      <c r="N883" s="26" t="str">
        <f t="shared" si="2"/>
        <v>
E. 
t</v>
      </c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0">
        <v>883.0</v>
      </c>
      <c r="B884" s="12" t="s">
        <v>4767</v>
      </c>
      <c r="C884" s="12" t="s">
        <v>249</v>
      </c>
      <c r="D884" s="23" t="s">
        <v>4768</v>
      </c>
      <c r="E884" s="12" t="s">
        <v>4769</v>
      </c>
      <c r="F884" s="12" t="s">
        <v>4605</v>
      </c>
      <c r="G884" s="12" t="s">
        <v>897</v>
      </c>
      <c r="H884" s="12" t="s">
        <v>2742</v>
      </c>
      <c r="I884" s="23">
        <v>9.786028181235E12</v>
      </c>
      <c r="J884" s="12">
        <v>2012.0</v>
      </c>
      <c r="K884" s="23">
        <v>66.0</v>
      </c>
      <c r="L884" s="24">
        <v>1.0</v>
      </c>
      <c r="M884" s="25" t="s">
        <v>4770</v>
      </c>
      <c r="N884" s="26" t="str">
        <f t="shared" si="2"/>
        <v>636.3
ERM
s</v>
      </c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0">
        <v>884.0</v>
      </c>
      <c r="B885" s="12" t="s">
        <v>4771</v>
      </c>
      <c r="C885" s="12" t="s">
        <v>84</v>
      </c>
      <c r="D885" s="23" t="s">
        <v>4623</v>
      </c>
      <c r="E885" s="12" t="s">
        <v>4772</v>
      </c>
      <c r="F885" s="12" t="s">
        <v>413</v>
      </c>
      <c r="G885" s="12" t="s">
        <v>897</v>
      </c>
      <c r="H885" s="12" t="s">
        <v>1439</v>
      </c>
      <c r="I885" s="23">
        <v>9.786028489089E12</v>
      </c>
      <c r="J885" s="12">
        <v>2010.0</v>
      </c>
      <c r="K885" s="23">
        <v>52.0</v>
      </c>
      <c r="L885" s="24">
        <v>1.0</v>
      </c>
      <c r="M885" s="25" t="s">
        <v>4773</v>
      </c>
      <c r="N885" s="26" t="str">
        <f t="shared" si="2"/>
        <v>745.5
BAG
a</v>
      </c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0">
        <v>885.0</v>
      </c>
      <c r="B886" s="12" t="s">
        <v>4774</v>
      </c>
      <c r="C886" s="12" t="s">
        <v>249</v>
      </c>
      <c r="D886" s="35"/>
      <c r="E886" s="22"/>
      <c r="F886" s="12" t="s">
        <v>4775</v>
      </c>
      <c r="G886" s="12" t="s">
        <v>4776</v>
      </c>
      <c r="H886" s="12" t="s">
        <v>3969</v>
      </c>
      <c r="I886" s="35"/>
      <c r="J886" s="12">
        <v>2003.0</v>
      </c>
      <c r="K886" s="23">
        <v>56.0</v>
      </c>
      <c r="L886" s="24">
        <v>1.0</v>
      </c>
      <c r="M886" s="12" t="s">
        <v>340</v>
      </c>
      <c r="N886" s="26" t="str">
        <f t="shared" si="2"/>
        <v>
TIY
s</v>
      </c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0">
        <v>886.0</v>
      </c>
      <c r="B887" s="12" t="s">
        <v>4777</v>
      </c>
      <c r="C887" s="12" t="s">
        <v>249</v>
      </c>
      <c r="D887" s="35"/>
      <c r="E887" s="22"/>
      <c r="F887" s="12" t="s">
        <v>4778</v>
      </c>
      <c r="G887" s="22"/>
      <c r="H887" s="12" t="s">
        <v>3969</v>
      </c>
      <c r="I887" s="35"/>
      <c r="J887" s="12">
        <v>2004.0</v>
      </c>
      <c r="K887" s="23">
        <v>55.0</v>
      </c>
      <c r="L887" s="24">
        <v>1.0</v>
      </c>
      <c r="M887" s="12" t="s">
        <v>340</v>
      </c>
      <c r="N887" s="26" t="str">
        <f t="shared" si="2"/>
        <v>
Y.P
s</v>
      </c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0">
        <v>887.0</v>
      </c>
      <c r="B888" s="12" t="s">
        <v>4186</v>
      </c>
      <c r="C888" s="12" t="s">
        <v>249</v>
      </c>
      <c r="D888" s="35"/>
      <c r="E888" s="22"/>
      <c r="F888" s="12" t="s">
        <v>4187</v>
      </c>
      <c r="G888" s="22"/>
      <c r="H888" s="12" t="s">
        <v>3969</v>
      </c>
      <c r="I888" s="35"/>
      <c r="J888" s="12">
        <v>2006.0</v>
      </c>
      <c r="K888" s="23">
        <v>49.0</v>
      </c>
      <c r="L888" s="24">
        <v>1.0</v>
      </c>
      <c r="M888" s="12" t="s">
        <v>340</v>
      </c>
      <c r="N888" s="26" t="str">
        <f t="shared" si="2"/>
        <v>
M. 
s</v>
      </c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0">
        <v>888.0</v>
      </c>
      <c r="B889" s="12" t="s">
        <v>4779</v>
      </c>
      <c r="C889" s="12" t="s">
        <v>249</v>
      </c>
      <c r="D889" s="35"/>
      <c r="E889" s="22"/>
      <c r="F889" s="12" t="s">
        <v>4780</v>
      </c>
      <c r="G889" s="12" t="s">
        <v>4781</v>
      </c>
      <c r="H889" s="12" t="s">
        <v>4418</v>
      </c>
      <c r="I889" s="23">
        <v>9.789790050303E12</v>
      </c>
      <c r="J889" s="12">
        <v>2009.0</v>
      </c>
      <c r="K889" s="23">
        <v>66.0</v>
      </c>
      <c r="L889" s="24">
        <v>5.0</v>
      </c>
      <c r="M889" s="12" t="s">
        <v>340</v>
      </c>
      <c r="N889" s="26" t="str">
        <f t="shared" si="2"/>
        <v>
ENC
m</v>
      </c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0">
        <v>889.0</v>
      </c>
      <c r="B890" s="12" t="s">
        <v>4782</v>
      </c>
      <c r="C890" s="12" t="s">
        <v>249</v>
      </c>
      <c r="D890" s="23" t="s">
        <v>4783</v>
      </c>
      <c r="E890" s="22" t="s">
        <v>4784</v>
      </c>
      <c r="F890" s="12" t="s">
        <v>1187</v>
      </c>
      <c r="G890" s="12" t="s">
        <v>4785</v>
      </c>
      <c r="H890" s="12" t="s">
        <v>57</v>
      </c>
      <c r="I890" s="23">
        <v>9.789794656044E12</v>
      </c>
      <c r="J890" s="12">
        <v>2017.0</v>
      </c>
      <c r="K890" s="23">
        <v>88.0</v>
      </c>
      <c r="L890" s="24">
        <v>2.0</v>
      </c>
      <c r="M890" s="25" t="s">
        <v>4786</v>
      </c>
      <c r="N890" s="26" t="str">
        <f t="shared" si="2"/>
        <v>617.6 
ANN
j</v>
      </c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0">
        <v>890.0</v>
      </c>
      <c r="B891" s="12" t="s">
        <v>4787</v>
      </c>
      <c r="C891" s="12" t="s">
        <v>249</v>
      </c>
      <c r="D891" s="35"/>
      <c r="E891" s="22"/>
      <c r="F891" s="12" t="s">
        <v>4788</v>
      </c>
      <c r="G891" s="12" t="s">
        <v>4789</v>
      </c>
      <c r="H891" s="12" t="s">
        <v>4790</v>
      </c>
      <c r="I891" s="23" t="s">
        <v>4791</v>
      </c>
      <c r="J891" s="12">
        <v>2014.0</v>
      </c>
      <c r="K891" s="23">
        <v>58.0</v>
      </c>
      <c r="L891" s="24">
        <v>1.0</v>
      </c>
      <c r="M891" s="12" t="s">
        <v>340</v>
      </c>
      <c r="N891" s="26" t="str">
        <f t="shared" si="2"/>
        <v>
SOE
s</v>
      </c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0">
        <v>891.0</v>
      </c>
      <c r="B892" s="12" t="s">
        <v>4792</v>
      </c>
      <c r="C892" s="12" t="s">
        <v>249</v>
      </c>
      <c r="D892" s="35"/>
      <c r="E892" s="22"/>
      <c r="F892" s="12" t="s">
        <v>2990</v>
      </c>
      <c r="G892" s="12" t="s">
        <v>4793</v>
      </c>
      <c r="H892" s="12" t="s">
        <v>2906</v>
      </c>
      <c r="I892" s="35"/>
      <c r="J892" s="12">
        <v>2009.0</v>
      </c>
      <c r="K892" s="23">
        <v>52.0</v>
      </c>
      <c r="L892" s="24">
        <v>1.0</v>
      </c>
      <c r="M892" s="12" t="s">
        <v>340</v>
      </c>
      <c r="N892" s="26" t="str">
        <f t="shared" si="2"/>
        <v>
WUL
l</v>
      </c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0">
        <v>892.0</v>
      </c>
      <c r="B893" s="12" t="s">
        <v>4794</v>
      </c>
      <c r="C893" s="12" t="s">
        <v>249</v>
      </c>
      <c r="D893" s="23" t="s">
        <v>4692</v>
      </c>
      <c r="E893" s="12" t="s">
        <v>4693</v>
      </c>
      <c r="F893" s="12" t="s">
        <v>4795</v>
      </c>
      <c r="G893" s="12" t="s">
        <v>4679</v>
      </c>
      <c r="H893" s="12" t="s">
        <v>4796</v>
      </c>
      <c r="I893" s="23">
        <v>9.786028505277E12</v>
      </c>
      <c r="J893" s="12">
        <v>2015.0</v>
      </c>
      <c r="K893" s="23">
        <v>62.0</v>
      </c>
      <c r="L893" s="24">
        <v>3.0</v>
      </c>
      <c r="M893" s="25" t="s">
        <v>4797</v>
      </c>
      <c r="N893" s="26" t="str">
        <f t="shared" si="2"/>
        <v>639.31
SET
s</v>
      </c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0">
        <v>893.0</v>
      </c>
      <c r="B894" s="12" t="s">
        <v>4798</v>
      </c>
      <c r="C894" s="12" t="s">
        <v>249</v>
      </c>
      <c r="D894" s="23" t="s">
        <v>4799</v>
      </c>
      <c r="E894" s="22" t="s">
        <v>4800</v>
      </c>
      <c r="F894" s="12" t="s">
        <v>2346</v>
      </c>
      <c r="G894" s="22"/>
      <c r="H894" s="12" t="s">
        <v>2679</v>
      </c>
      <c r="I894" s="23">
        <v>9.786027932135E12</v>
      </c>
      <c r="J894" s="12">
        <v>2013.0</v>
      </c>
      <c r="K894" s="23">
        <v>57.0</v>
      </c>
      <c r="L894" s="24">
        <v>1.0</v>
      </c>
      <c r="M894" s="12" t="s">
        <v>340</v>
      </c>
      <c r="N894" s="26" t="str">
        <f t="shared" si="2"/>
        <v>632
IRA
p</v>
      </c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0">
        <v>894.0</v>
      </c>
      <c r="B895" s="12" t="s">
        <v>4801</v>
      </c>
      <c r="C895" s="12" t="s">
        <v>229</v>
      </c>
      <c r="D895" s="47">
        <v>362293.0</v>
      </c>
      <c r="E895" s="12" t="s">
        <v>4802</v>
      </c>
      <c r="F895" s="12" t="s">
        <v>3047</v>
      </c>
      <c r="G895" s="12" t="s">
        <v>481</v>
      </c>
      <c r="H895" s="12" t="s">
        <v>2141</v>
      </c>
      <c r="I895" s="23" t="s">
        <v>4803</v>
      </c>
      <c r="J895" s="12">
        <v>2015.0</v>
      </c>
      <c r="K895" s="23">
        <v>132.0</v>
      </c>
      <c r="L895" s="24">
        <v>1.0</v>
      </c>
      <c r="M895" s="25" t="s">
        <v>4804</v>
      </c>
      <c r="N895" s="26" t="str">
        <f t="shared" si="2"/>
        <v>362293
PUT
a</v>
      </c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0">
        <v>895.0</v>
      </c>
      <c r="B896" s="12" t="s">
        <v>4805</v>
      </c>
      <c r="C896" s="12" t="s">
        <v>249</v>
      </c>
      <c r="D896" s="23" t="s">
        <v>4806</v>
      </c>
      <c r="E896" s="22" t="s">
        <v>4807</v>
      </c>
      <c r="F896" s="12" t="s">
        <v>4808</v>
      </c>
      <c r="G896" s="12" t="s">
        <v>1933</v>
      </c>
      <c r="H896" s="12" t="s">
        <v>4809</v>
      </c>
      <c r="I896" s="23" t="s">
        <v>4810</v>
      </c>
      <c r="J896" s="12">
        <v>2015.0</v>
      </c>
      <c r="K896" s="23">
        <v>60.0</v>
      </c>
      <c r="L896" s="24">
        <v>6.0</v>
      </c>
      <c r="M896" s="25" t="s">
        <v>4811</v>
      </c>
      <c r="N896" s="26" t="str">
        <f t="shared" si="2"/>
        <v>621.382
ERM
p</v>
      </c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0">
        <v>896.0</v>
      </c>
      <c r="B897" s="12" t="s">
        <v>4812</v>
      </c>
      <c r="C897" s="12" t="s">
        <v>249</v>
      </c>
      <c r="D897" s="23" t="s">
        <v>4813</v>
      </c>
      <c r="E897" s="22" t="s">
        <v>4814</v>
      </c>
      <c r="F897" s="12" t="s">
        <v>4815</v>
      </c>
      <c r="G897" s="12" t="s">
        <v>4816</v>
      </c>
      <c r="H897" s="12" t="s">
        <v>4817</v>
      </c>
      <c r="I897" s="23" t="s">
        <v>4818</v>
      </c>
      <c r="J897" s="12">
        <v>2017.0</v>
      </c>
      <c r="K897" s="23">
        <v>84.0</v>
      </c>
      <c r="L897" s="24">
        <v>4.0</v>
      </c>
      <c r="M897" s="12" t="s">
        <v>340</v>
      </c>
      <c r="N897" s="26" t="str">
        <f t="shared" si="2"/>
        <v>631
Drs
p</v>
      </c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0">
        <v>897.0</v>
      </c>
      <c r="B898" s="12" t="s">
        <v>3926</v>
      </c>
      <c r="C898" s="12" t="s">
        <v>249</v>
      </c>
      <c r="D898" s="23" t="s">
        <v>4819</v>
      </c>
      <c r="E898" s="22" t="s">
        <v>4820</v>
      </c>
      <c r="F898" s="12" t="s">
        <v>4821</v>
      </c>
      <c r="G898" s="12" t="s">
        <v>4822</v>
      </c>
      <c r="H898" s="12" t="s">
        <v>1705</v>
      </c>
      <c r="I898" s="23" t="s">
        <v>340</v>
      </c>
      <c r="J898" s="12">
        <v>2014.0</v>
      </c>
      <c r="K898" s="35"/>
      <c r="L898" s="24">
        <v>1.0</v>
      </c>
      <c r="M898" s="12" t="s">
        <v>340</v>
      </c>
      <c r="N898" s="26" t="str">
        <f t="shared" si="2"/>
        <v>613.8
FRE
b</v>
      </c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0">
        <v>898.0</v>
      </c>
      <c r="B899" s="12" t="s">
        <v>4112</v>
      </c>
      <c r="C899" s="12" t="s">
        <v>249</v>
      </c>
      <c r="D899" s="23" t="s">
        <v>4823</v>
      </c>
      <c r="E899" s="22" t="s">
        <v>4824</v>
      </c>
      <c r="F899" s="12" t="s">
        <v>4113</v>
      </c>
      <c r="G899" s="12" t="s">
        <v>4114</v>
      </c>
      <c r="H899" s="12" t="s">
        <v>4606</v>
      </c>
      <c r="I899" s="23" t="s">
        <v>4116</v>
      </c>
      <c r="J899" s="12">
        <v>2015.0</v>
      </c>
      <c r="K899" s="23">
        <v>54.0</v>
      </c>
      <c r="L899" s="24">
        <v>1.0</v>
      </c>
      <c r="M899" s="12" t="s">
        <v>340</v>
      </c>
      <c r="N899" s="26" t="str">
        <f t="shared" si="2"/>
        <v>620.86
SOF
t</v>
      </c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0">
        <v>899.0</v>
      </c>
      <c r="B900" s="12" t="s">
        <v>4825</v>
      </c>
      <c r="C900" s="12" t="s">
        <v>249</v>
      </c>
      <c r="D900" s="23" t="s">
        <v>4826</v>
      </c>
      <c r="E900" s="22" t="s">
        <v>4827</v>
      </c>
      <c r="F900" s="12" t="s">
        <v>2341</v>
      </c>
      <c r="G900" s="12" t="s">
        <v>761</v>
      </c>
      <c r="H900" s="12" t="s">
        <v>2309</v>
      </c>
      <c r="I900" s="23" t="s">
        <v>4828</v>
      </c>
      <c r="J900" s="12">
        <v>2013.0</v>
      </c>
      <c r="K900" s="23">
        <v>60.0</v>
      </c>
      <c r="L900" s="24">
        <v>2.0</v>
      </c>
      <c r="M900" s="25" t="s">
        <v>4829</v>
      </c>
      <c r="N900" s="26" t="str">
        <f t="shared" si="2"/>
        <v>628
IND
p</v>
      </c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0">
        <v>900.0</v>
      </c>
      <c r="B901" s="12" t="s">
        <v>4830</v>
      </c>
      <c r="C901" s="12" t="s">
        <v>249</v>
      </c>
      <c r="D901" s="23" t="s">
        <v>4831</v>
      </c>
      <c r="E901" s="22" t="s">
        <v>4832</v>
      </c>
      <c r="F901" s="12" t="s">
        <v>4833</v>
      </c>
      <c r="G901" s="12" t="s">
        <v>4834</v>
      </c>
      <c r="H901" s="12" t="s">
        <v>3969</v>
      </c>
      <c r="I901" s="35"/>
      <c r="J901" s="12">
        <v>2007.0</v>
      </c>
      <c r="K901" s="23">
        <v>36.0</v>
      </c>
      <c r="L901" s="24">
        <v>1.0</v>
      </c>
      <c r="M901" s="25" t="s">
        <v>4835</v>
      </c>
      <c r="N901" s="26" t="str">
        <f t="shared" si="2"/>
        <v>663.6
TIM
m</v>
      </c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0">
        <v>901.0</v>
      </c>
      <c r="B902" s="12" t="s">
        <v>4836</v>
      </c>
      <c r="C902" s="12" t="s">
        <v>249</v>
      </c>
      <c r="D902" s="23" t="s">
        <v>4837</v>
      </c>
      <c r="E902" s="12" t="s">
        <v>4838</v>
      </c>
      <c r="F902" s="12" t="s">
        <v>4839</v>
      </c>
      <c r="G902" s="12" t="s">
        <v>4840</v>
      </c>
      <c r="H902" s="12" t="s">
        <v>3535</v>
      </c>
      <c r="I902" s="23">
        <v>9.789797584832E12</v>
      </c>
      <c r="J902" s="12">
        <v>2007.0</v>
      </c>
      <c r="K902" s="23">
        <v>83.0</v>
      </c>
      <c r="L902" s="24">
        <v>1.0</v>
      </c>
      <c r="M902" s="12" t="s">
        <v>340</v>
      </c>
      <c r="N902" s="26" t="str">
        <f t="shared" si="2"/>
        <v>610
RIC
s</v>
      </c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0">
        <v>902.0</v>
      </c>
      <c r="B903" s="12" t="s">
        <v>4628</v>
      </c>
      <c r="C903" s="12" t="s">
        <v>84</v>
      </c>
      <c r="D903" s="23" t="s">
        <v>4623</v>
      </c>
      <c r="E903" s="12" t="s">
        <v>4628</v>
      </c>
      <c r="F903" s="12" t="s">
        <v>4841</v>
      </c>
      <c r="G903" s="22"/>
      <c r="H903" s="12" t="s">
        <v>57</v>
      </c>
      <c r="I903" s="23">
        <v>9.78979465532E12</v>
      </c>
      <c r="J903" s="12">
        <v>2010.0</v>
      </c>
      <c r="K903" s="23">
        <v>52.0</v>
      </c>
      <c r="L903" s="24">
        <v>2.0</v>
      </c>
      <c r="M903" s="25" t="s">
        <v>4842</v>
      </c>
      <c r="N903" s="26" t="str">
        <f t="shared" si="2"/>
        <v>745.5
TAK
k</v>
      </c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0">
        <v>903.0</v>
      </c>
      <c r="B904" s="12" t="s">
        <v>4843</v>
      </c>
      <c r="C904" s="12" t="s">
        <v>84</v>
      </c>
      <c r="D904" s="23" t="s">
        <v>85</v>
      </c>
      <c r="E904" s="12" t="s">
        <v>86</v>
      </c>
      <c r="F904" s="12" t="s">
        <v>4844</v>
      </c>
      <c r="G904" s="12" t="s">
        <v>4845</v>
      </c>
      <c r="H904" s="12" t="s">
        <v>433</v>
      </c>
      <c r="I904" s="23" t="s">
        <v>4846</v>
      </c>
      <c r="J904" s="12">
        <v>2009.0</v>
      </c>
      <c r="K904" s="23">
        <v>58.0</v>
      </c>
      <c r="L904" s="24">
        <v>2.0</v>
      </c>
      <c r="M904" s="25" t="s">
        <v>4847</v>
      </c>
      <c r="N904" s="26" t="str">
        <f t="shared" si="2"/>
        <v>741.6
DIK
a</v>
      </c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0">
        <v>904.0</v>
      </c>
      <c r="B905" s="12" t="s">
        <v>4848</v>
      </c>
      <c r="C905" s="12" t="s">
        <v>84</v>
      </c>
      <c r="D905" s="35"/>
      <c r="E905" s="22"/>
      <c r="F905" s="12" t="s">
        <v>4849</v>
      </c>
      <c r="G905" s="22"/>
      <c r="H905" s="12" t="s">
        <v>646</v>
      </c>
      <c r="I905" s="23" t="s">
        <v>4850</v>
      </c>
      <c r="J905" s="12">
        <v>2013.0</v>
      </c>
      <c r="K905" s="23">
        <v>136.0</v>
      </c>
      <c r="L905" s="24">
        <v>6.0</v>
      </c>
      <c r="M905" s="12" t="s">
        <v>340</v>
      </c>
      <c r="N905" s="26" t="str">
        <f t="shared" si="2"/>
        <v>
HEN
k</v>
      </c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0">
        <v>905.0</v>
      </c>
      <c r="B906" s="12" t="s">
        <v>4851</v>
      </c>
      <c r="C906" s="12" t="s">
        <v>84</v>
      </c>
      <c r="D906" s="35"/>
      <c r="E906" s="22"/>
      <c r="F906" s="12" t="s">
        <v>4852</v>
      </c>
      <c r="G906" s="12" t="s">
        <v>1878</v>
      </c>
      <c r="H906" s="12" t="s">
        <v>4425</v>
      </c>
      <c r="I906" s="23" t="s">
        <v>4853</v>
      </c>
      <c r="J906" s="12">
        <v>2009.0</v>
      </c>
      <c r="K906" s="23">
        <v>82.0</v>
      </c>
      <c r="L906" s="24">
        <v>1.0</v>
      </c>
      <c r="M906" s="12" t="s">
        <v>340</v>
      </c>
      <c r="N906" s="26" t="str">
        <f t="shared" si="2"/>
        <v>
CAH
p</v>
      </c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0">
        <v>906.0</v>
      </c>
      <c r="B907" s="12" t="s">
        <v>4854</v>
      </c>
      <c r="C907" s="12" t="s">
        <v>84</v>
      </c>
      <c r="D907" s="35"/>
      <c r="E907" s="22"/>
      <c r="F907" s="12" t="s">
        <v>2712</v>
      </c>
      <c r="G907" s="12" t="s">
        <v>4855</v>
      </c>
      <c r="H907" s="12" t="s">
        <v>4856</v>
      </c>
      <c r="I907" s="23" t="s">
        <v>4857</v>
      </c>
      <c r="J907" s="12">
        <v>2015.0</v>
      </c>
      <c r="K907" s="23">
        <v>76.0</v>
      </c>
      <c r="L907" s="24">
        <v>4.0</v>
      </c>
      <c r="M907" s="12" t="s">
        <v>340</v>
      </c>
      <c r="N907" s="26" t="str">
        <f t="shared" si="2"/>
        <v>
BER
a</v>
      </c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0">
        <v>907.0</v>
      </c>
      <c r="B908" s="12" t="s">
        <v>4858</v>
      </c>
      <c r="C908" s="12" t="s">
        <v>84</v>
      </c>
      <c r="D908" s="35"/>
      <c r="E908" s="22"/>
      <c r="F908" s="12" t="s">
        <v>4859</v>
      </c>
      <c r="G908" s="22"/>
      <c r="H908" s="12" t="s">
        <v>4465</v>
      </c>
      <c r="I908" s="35"/>
      <c r="J908" s="22"/>
      <c r="K908" s="35"/>
      <c r="L908" s="24">
        <v>1.0</v>
      </c>
      <c r="M908" s="12" t="s">
        <v>340</v>
      </c>
      <c r="N908" s="26" t="str">
        <f t="shared" si="2"/>
        <v>
RET
b</v>
      </c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0">
        <v>908.0</v>
      </c>
      <c r="B909" s="12" t="s">
        <v>4860</v>
      </c>
      <c r="C909" s="12" t="s">
        <v>84</v>
      </c>
      <c r="D909" s="23" t="s">
        <v>4861</v>
      </c>
      <c r="E909" s="12" t="s">
        <v>4862</v>
      </c>
      <c r="F909" s="12" t="s">
        <v>4863</v>
      </c>
      <c r="G909" s="12" t="s">
        <v>4864</v>
      </c>
      <c r="H909" s="12" t="s">
        <v>4465</v>
      </c>
      <c r="I909" s="23" t="s">
        <v>4865</v>
      </c>
      <c r="J909" s="12">
        <v>2012.0</v>
      </c>
      <c r="K909" s="23">
        <v>68.0</v>
      </c>
      <c r="L909" s="24">
        <v>1.0</v>
      </c>
      <c r="M909" s="12" t="s">
        <v>340</v>
      </c>
      <c r="N909" s="26" t="str">
        <f t="shared" si="2"/>
        <v>746.4
SAR
p</v>
      </c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0">
        <v>909.0</v>
      </c>
      <c r="B910" s="12" t="s">
        <v>4866</v>
      </c>
      <c r="C910" s="12" t="s">
        <v>84</v>
      </c>
      <c r="D910" s="23" t="s">
        <v>4623</v>
      </c>
      <c r="E910" s="12" t="s">
        <v>4628</v>
      </c>
      <c r="F910" s="12" t="s">
        <v>413</v>
      </c>
      <c r="G910" s="12" t="s">
        <v>518</v>
      </c>
      <c r="H910" s="12" t="s">
        <v>1439</v>
      </c>
      <c r="I910" s="23" t="s">
        <v>4867</v>
      </c>
      <c r="J910" s="12">
        <v>2010.0</v>
      </c>
      <c r="K910" s="23">
        <v>52.0</v>
      </c>
      <c r="L910" s="24">
        <v>1.0</v>
      </c>
      <c r="M910" s="12" t="s">
        <v>340</v>
      </c>
      <c r="N910" s="26" t="str">
        <f t="shared" si="2"/>
        <v>745.5
BAG
s</v>
      </c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0">
        <v>910.0</v>
      </c>
      <c r="B911" s="12" t="s">
        <v>4868</v>
      </c>
      <c r="C911" s="12" t="s">
        <v>84</v>
      </c>
      <c r="D911" s="35"/>
      <c r="E911" s="22"/>
      <c r="F911" s="12" t="s">
        <v>4869</v>
      </c>
      <c r="G911" s="12" t="s">
        <v>4870</v>
      </c>
      <c r="H911" s="12" t="s">
        <v>3732</v>
      </c>
      <c r="I911" s="23" t="s">
        <v>4871</v>
      </c>
      <c r="J911" s="12">
        <v>2014.0</v>
      </c>
      <c r="K911" s="23">
        <v>51.0</v>
      </c>
      <c r="L911" s="24">
        <v>1.0</v>
      </c>
      <c r="M911" s="12" t="s">
        <v>340</v>
      </c>
      <c r="N911" s="26" t="str">
        <f t="shared" si="2"/>
        <v>
WAS
k</v>
      </c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0">
        <v>911.0</v>
      </c>
      <c r="B912" s="12" t="s">
        <v>4872</v>
      </c>
      <c r="C912" s="12" t="s">
        <v>84</v>
      </c>
      <c r="D912" s="35"/>
      <c r="E912" s="22"/>
      <c r="F912" s="12" t="s">
        <v>1443</v>
      </c>
      <c r="G912" s="12" t="s">
        <v>4873</v>
      </c>
      <c r="H912" s="12" t="s">
        <v>2124</v>
      </c>
      <c r="I912" s="23" t="s">
        <v>4874</v>
      </c>
      <c r="J912" s="12">
        <v>2015.0</v>
      </c>
      <c r="K912" s="23">
        <v>80.0</v>
      </c>
      <c r="L912" s="24">
        <v>1.0</v>
      </c>
      <c r="M912" s="12" t="s">
        <v>340</v>
      </c>
      <c r="N912" s="26" t="str">
        <f t="shared" si="2"/>
        <v>
PRO
b</v>
      </c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0">
        <v>912.0</v>
      </c>
      <c r="B913" s="12" t="s">
        <v>4875</v>
      </c>
      <c r="C913" s="12" t="s">
        <v>84</v>
      </c>
      <c r="D913" s="23" t="s">
        <v>4876</v>
      </c>
      <c r="E913" s="12" t="s">
        <v>4877</v>
      </c>
      <c r="F913" s="12" t="s">
        <v>4878</v>
      </c>
      <c r="G913" s="12" t="s">
        <v>4879</v>
      </c>
      <c r="H913" s="12" t="s">
        <v>4110</v>
      </c>
      <c r="I913" s="23" t="s">
        <v>4880</v>
      </c>
      <c r="J913" s="12">
        <v>2015.0</v>
      </c>
      <c r="K913" s="23">
        <v>60.0</v>
      </c>
      <c r="L913" s="24">
        <v>1.0</v>
      </c>
      <c r="M913" s="12" t="s">
        <v>340</v>
      </c>
      <c r="N913" s="26" t="str">
        <f t="shared" si="2"/>
        <v>796.54
ACH
p</v>
      </c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0">
        <v>913.0</v>
      </c>
      <c r="B914" s="12" t="s">
        <v>4881</v>
      </c>
      <c r="C914" s="12" t="s">
        <v>84</v>
      </c>
      <c r="D914" s="23" t="s">
        <v>4623</v>
      </c>
      <c r="E914" s="12" t="s">
        <v>4628</v>
      </c>
      <c r="F914" s="12" t="s">
        <v>4882</v>
      </c>
      <c r="G914" s="12" t="s">
        <v>2248</v>
      </c>
      <c r="H914" s="12" t="s">
        <v>4883</v>
      </c>
      <c r="I914" s="23">
        <v>9.786029048773E12</v>
      </c>
      <c r="J914" s="12">
        <v>2012.0</v>
      </c>
      <c r="K914" s="23">
        <v>54.0</v>
      </c>
      <c r="L914" s="24">
        <v>4.0</v>
      </c>
      <c r="M914" s="25" t="s">
        <v>4884</v>
      </c>
      <c r="N914" s="26" t="str">
        <f t="shared" si="2"/>
        <v>745.5
REN
a</v>
      </c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0">
        <v>914.0</v>
      </c>
      <c r="B915" s="12" t="s">
        <v>4885</v>
      </c>
      <c r="C915" s="12" t="s">
        <v>249</v>
      </c>
      <c r="D915" s="23" t="s">
        <v>4717</v>
      </c>
      <c r="E915" s="12" t="s">
        <v>4716</v>
      </c>
      <c r="F915" s="12" t="s">
        <v>4886</v>
      </c>
      <c r="G915" s="12" t="s">
        <v>4132</v>
      </c>
      <c r="H915" s="12" t="s">
        <v>3521</v>
      </c>
      <c r="I915" s="23" t="s">
        <v>4887</v>
      </c>
      <c r="J915" s="12">
        <v>2009.0</v>
      </c>
      <c r="K915" s="23" t="s">
        <v>4888</v>
      </c>
      <c r="L915" s="24">
        <v>1.0</v>
      </c>
      <c r="M915" s="25" t="s">
        <v>4889</v>
      </c>
      <c r="N915" s="26" t="str">
        <f t="shared" si="2"/>
        <v>616.5
DIA
m</v>
      </c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0">
        <v>915.0</v>
      </c>
      <c r="B916" s="73" t="s">
        <v>4890</v>
      </c>
      <c r="C916" s="73" t="s">
        <v>38</v>
      </c>
      <c r="D916" s="95">
        <v>819.0</v>
      </c>
      <c r="E916" s="73" t="s">
        <v>4891</v>
      </c>
      <c r="F916" s="73" t="s">
        <v>4892</v>
      </c>
      <c r="G916" s="73" t="s">
        <v>340</v>
      </c>
      <c r="H916" s="73" t="s">
        <v>2286</v>
      </c>
      <c r="I916" s="95" t="s">
        <v>4893</v>
      </c>
      <c r="J916" s="73">
        <v>2017.0</v>
      </c>
      <c r="K916" s="95">
        <v>91.0</v>
      </c>
      <c r="L916" s="24">
        <v>1.0</v>
      </c>
      <c r="M916" s="25" t="s">
        <v>4894</v>
      </c>
      <c r="N916" s="26" t="str">
        <f t="shared" si="2"/>
        <v>819
MUH
n</v>
      </c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0">
        <v>916.0</v>
      </c>
      <c r="B917" s="12" t="s">
        <v>4872</v>
      </c>
      <c r="C917" s="12" t="s">
        <v>84</v>
      </c>
      <c r="D917" s="23" t="s">
        <v>4895</v>
      </c>
      <c r="E917" s="12" t="s">
        <v>4896</v>
      </c>
      <c r="F917" s="12" t="s">
        <v>4897</v>
      </c>
      <c r="G917" s="12" t="s">
        <v>4898</v>
      </c>
      <c r="H917" s="12" t="s">
        <v>588</v>
      </c>
      <c r="I917" s="23">
        <v>9.789790158658E12</v>
      </c>
      <c r="J917" s="12">
        <v>2008.0</v>
      </c>
      <c r="K917" s="23">
        <v>92.0</v>
      </c>
      <c r="L917" s="24">
        <v>1.0</v>
      </c>
      <c r="M917" s="25" t="s">
        <v>4899</v>
      </c>
      <c r="N917" s="26" t="str">
        <f t="shared" si="2"/>
        <v>791.43
FIT
b</v>
      </c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0">
        <v>917.0</v>
      </c>
      <c r="B918" s="12" t="s">
        <v>4900</v>
      </c>
      <c r="C918" s="12" t="s">
        <v>84</v>
      </c>
      <c r="D918" s="35"/>
      <c r="E918" s="22"/>
      <c r="F918" s="12" t="s">
        <v>4901</v>
      </c>
      <c r="G918" s="12" t="s">
        <v>4902</v>
      </c>
      <c r="H918" s="12" t="s">
        <v>3732</v>
      </c>
      <c r="I918" s="23">
        <v>9.789796655494E12</v>
      </c>
      <c r="J918" s="12">
        <v>2014.0</v>
      </c>
      <c r="K918" s="23">
        <v>59.0</v>
      </c>
      <c r="L918" s="24">
        <v>1.0</v>
      </c>
      <c r="M918" s="12" t="s">
        <v>340</v>
      </c>
      <c r="N918" s="26" t="str">
        <f t="shared" si="2"/>
        <v>
SOE
k</v>
      </c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0">
        <v>918.0</v>
      </c>
      <c r="B919" s="12" t="s">
        <v>4903</v>
      </c>
      <c r="C919" s="12" t="s">
        <v>84</v>
      </c>
      <c r="D919" s="23" t="s">
        <v>4904</v>
      </c>
      <c r="E919" s="12" t="s">
        <v>4905</v>
      </c>
      <c r="F919" s="12" t="s">
        <v>173</v>
      </c>
      <c r="G919" s="12" t="s">
        <v>107</v>
      </c>
      <c r="H919" s="12" t="s">
        <v>534</v>
      </c>
      <c r="I919" s="23" t="s">
        <v>4906</v>
      </c>
      <c r="J919" s="12">
        <v>2015.0</v>
      </c>
      <c r="K919" s="23">
        <v>82.0</v>
      </c>
      <c r="L919" s="24">
        <v>4.0</v>
      </c>
      <c r="M919" s="25" t="s">
        <v>4907</v>
      </c>
      <c r="N919" s="26" t="str">
        <f t="shared" si="2"/>
        <v>793.3
AMI
a</v>
      </c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0">
        <v>919.0</v>
      </c>
      <c r="B920" s="12" t="s">
        <v>4908</v>
      </c>
      <c r="C920" s="12" t="s">
        <v>84</v>
      </c>
      <c r="D920" s="23">
        <v>700.0</v>
      </c>
      <c r="E920" s="12" t="s">
        <v>4909</v>
      </c>
      <c r="F920" s="12" t="s">
        <v>4910</v>
      </c>
      <c r="G920" s="12" t="s">
        <v>107</v>
      </c>
      <c r="H920" s="12" t="s">
        <v>108</v>
      </c>
      <c r="I920" s="23" t="s">
        <v>4911</v>
      </c>
      <c r="J920" s="12">
        <v>2015.0</v>
      </c>
      <c r="K920" s="23">
        <v>72.0</v>
      </c>
      <c r="L920" s="24">
        <v>4.0</v>
      </c>
      <c r="M920" s="25" t="s">
        <v>4912</v>
      </c>
      <c r="N920" s="26" t="str">
        <f t="shared" si="2"/>
        <v>700
AMI
a</v>
      </c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0">
        <v>920.0</v>
      </c>
      <c r="B921" s="12" t="s">
        <v>4913</v>
      </c>
      <c r="C921" s="12" t="s">
        <v>84</v>
      </c>
      <c r="D921" s="23" t="s">
        <v>4914</v>
      </c>
      <c r="E921" s="12" t="s">
        <v>4915</v>
      </c>
      <c r="F921" s="12" t="s">
        <v>4916</v>
      </c>
      <c r="G921" s="22"/>
      <c r="H921" s="12" t="s">
        <v>4917</v>
      </c>
      <c r="I921" s="35"/>
      <c r="J921" s="12">
        <v>1997.0</v>
      </c>
      <c r="K921" s="23">
        <v>59.0</v>
      </c>
      <c r="L921" s="24">
        <v>1.0</v>
      </c>
      <c r="M921" s="25" t="s">
        <v>4918</v>
      </c>
      <c r="N921" s="26" t="str">
        <f t="shared" si="2"/>
        <v>784.4
MAN
b</v>
      </c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0">
        <v>921.0</v>
      </c>
      <c r="B922" s="12" t="s">
        <v>4919</v>
      </c>
      <c r="C922" s="12" t="s">
        <v>84</v>
      </c>
      <c r="D922" s="35"/>
      <c r="E922" s="22"/>
      <c r="F922" s="12" t="s">
        <v>4920</v>
      </c>
      <c r="G922" s="12" t="s">
        <v>2467</v>
      </c>
      <c r="H922" s="12" t="s">
        <v>4921</v>
      </c>
      <c r="I922" s="23" t="s">
        <v>4922</v>
      </c>
      <c r="J922" s="12">
        <v>2015.0</v>
      </c>
      <c r="K922" s="23">
        <v>64.0</v>
      </c>
      <c r="L922" s="24">
        <v>2.0</v>
      </c>
      <c r="M922" s="12" t="s">
        <v>340</v>
      </c>
      <c r="N922" s="26" t="str">
        <f t="shared" si="2"/>
        <v>
YUD
b</v>
      </c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0">
        <v>922.0</v>
      </c>
      <c r="B923" s="12" t="s">
        <v>4923</v>
      </c>
      <c r="C923" s="12" t="s">
        <v>84</v>
      </c>
      <c r="D923" s="35"/>
      <c r="E923" s="22"/>
      <c r="F923" s="12" t="s">
        <v>4924</v>
      </c>
      <c r="G923" s="12" t="s">
        <v>340</v>
      </c>
      <c r="H923" s="12" t="s">
        <v>4925</v>
      </c>
      <c r="I923" s="23" t="s">
        <v>4926</v>
      </c>
      <c r="J923" s="12" t="s">
        <v>340</v>
      </c>
      <c r="K923" s="23" t="s">
        <v>4927</v>
      </c>
      <c r="L923" s="24">
        <v>1.0</v>
      </c>
      <c r="M923" s="12" t="s">
        <v>340</v>
      </c>
      <c r="N923" s="26" t="str">
        <f t="shared" si="2"/>
        <v>
DS.
c</v>
      </c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0">
        <v>923.0</v>
      </c>
      <c r="B924" s="12" t="s">
        <v>4928</v>
      </c>
      <c r="C924" s="12" t="s">
        <v>84</v>
      </c>
      <c r="D924" s="35"/>
      <c r="E924" s="22"/>
      <c r="F924" s="12" t="s">
        <v>4929</v>
      </c>
      <c r="G924" s="12" t="s">
        <v>4929</v>
      </c>
      <c r="H924" s="12" t="s">
        <v>4930</v>
      </c>
      <c r="I924" s="23" t="s">
        <v>4931</v>
      </c>
      <c r="J924" s="12">
        <v>2015.0</v>
      </c>
      <c r="K924" s="23">
        <v>52.0</v>
      </c>
      <c r="L924" s="24">
        <v>1.0</v>
      </c>
      <c r="M924" s="12" t="s">
        <v>340</v>
      </c>
      <c r="N924" s="26" t="str">
        <f t="shared" si="2"/>
        <v>
MUN
d</v>
      </c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0">
        <v>924.0</v>
      </c>
      <c r="B925" s="12" t="s">
        <v>4932</v>
      </c>
      <c r="C925" s="12" t="s">
        <v>84</v>
      </c>
      <c r="D925" s="23" t="s">
        <v>4904</v>
      </c>
      <c r="E925" s="12" t="s">
        <v>4905</v>
      </c>
      <c r="F925" s="12" t="s">
        <v>1953</v>
      </c>
      <c r="G925" s="12" t="s">
        <v>4933</v>
      </c>
      <c r="H925" s="12" t="s">
        <v>4934</v>
      </c>
      <c r="I925" s="23" t="s">
        <v>4935</v>
      </c>
      <c r="J925" s="12">
        <v>2015.0</v>
      </c>
      <c r="K925" s="23">
        <v>64.0</v>
      </c>
      <c r="L925" s="24">
        <v>2.0</v>
      </c>
      <c r="M925" s="25" t="s">
        <v>4936</v>
      </c>
      <c r="N925" s="26" t="str">
        <f t="shared" si="2"/>
        <v>793.3
SUR
i</v>
      </c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0">
        <v>925.0</v>
      </c>
      <c r="B926" s="12" t="s">
        <v>4937</v>
      </c>
      <c r="C926" s="12" t="s">
        <v>84</v>
      </c>
      <c r="D926" s="23">
        <v>740.0</v>
      </c>
      <c r="E926" s="12" t="s">
        <v>4938</v>
      </c>
      <c r="F926" s="12" t="s">
        <v>4939</v>
      </c>
      <c r="G926" s="12" t="s">
        <v>1933</v>
      </c>
      <c r="H926" s="12" t="s">
        <v>4940</v>
      </c>
      <c r="I926" s="23" t="s">
        <v>4941</v>
      </c>
      <c r="J926" s="12">
        <v>2015.0</v>
      </c>
      <c r="K926" s="23">
        <v>64.0</v>
      </c>
      <c r="L926" s="24">
        <v>2.0</v>
      </c>
      <c r="M926" s="25" t="s">
        <v>4942</v>
      </c>
      <c r="N926" s="26" t="str">
        <f t="shared" si="2"/>
        <v>740
SAP
k</v>
      </c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0">
        <v>926.0</v>
      </c>
      <c r="B927" s="12" t="s">
        <v>4943</v>
      </c>
      <c r="C927" s="12" t="s">
        <v>84</v>
      </c>
      <c r="D927" s="23">
        <v>740.0</v>
      </c>
      <c r="E927" s="12" t="s">
        <v>4944</v>
      </c>
      <c r="F927" s="12" t="s">
        <v>4945</v>
      </c>
      <c r="G927" s="12" t="s">
        <v>1948</v>
      </c>
      <c r="H927" s="12" t="s">
        <v>4946</v>
      </c>
      <c r="I927" s="23" t="s">
        <v>4947</v>
      </c>
      <c r="J927" s="12">
        <v>2015.0</v>
      </c>
      <c r="K927" s="23">
        <v>60.0</v>
      </c>
      <c r="L927" s="24">
        <v>2.0</v>
      </c>
      <c r="M927" s="25" t="s">
        <v>4948</v>
      </c>
      <c r="N927" s="26" t="str">
        <f t="shared" si="2"/>
        <v>740
BER
a</v>
      </c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0">
        <v>927.0</v>
      </c>
      <c r="B928" s="12" t="s">
        <v>4949</v>
      </c>
      <c r="C928" s="12" t="s">
        <v>84</v>
      </c>
      <c r="D928" s="35"/>
      <c r="E928" s="22"/>
      <c r="F928" s="12" t="s">
        <v>1958</v>
      </c>
      <c r="G928" s="12" t="s">
        <v>4950</v>
      </c>
      <c r="H928" s="12" t="s">
        <v>4934</v>
      </c>
      <c r="I928" s="23" t="s">
        <v>4951</v>
      </c>
      <c r="J928" s="12">
        <v>2015.0</v>
      </c>
      <c r="K928" s="23">
        <v>60.0</v>
      </c>
      <c r="L928" s="24">
        <v>2.0</v>
      </c>
      <c r="M928" s="12" t="s">
        <v>340</v>
      </c>
      <c r="N928" s="26" t="str">
        <f t="shared" si="2"/>
        <v>
SOE
r</v>
      </c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0">
        <v>928.0</v>
      </c>
      <c r="B929" s="12" t="s">
        <v>4952</v>
      </c>
      <c r="C929" s="12" t="s">
        <v>84</v>
      </c>
      <c r="D929" s="23" t="s">
        <v>4953</v>
      </c>
      <c r="E929" s="12" t="s">
        <v>4954</v>
      </c>
      <c r="F929" s="12" t="s">
        <v>4955</v>
      </c>
      <c r="G929" s="12" t="s">
        <v>107</v>
      </c>
      <c r="H929" s="12" t="s">
        <v>253</v>
      </c>
      <c r="I929" s="23" t="s">
        <v>4956</v>
      </c>
      <c r="J929" s="12">
        <v>2015.0</v>
      </c>
      <c r="K929" s="23">
        <v>104.0</v>
      </c>
      <c r="L929" s="24">
        <v>3.0</v>
      </c>
      <c r="M929" s="25" t="s">
        <v>4957</v>
      </c>
      <c r="N929" s="26" t="str">
        <f t="shared" si="2"/>
        <v>797.2
ATH
t</v>
      </c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0">
        <v>929.0</v>
      </c>
      <c r="B930" s="12" t="s">
        <v>4958</v>
      </c>
      <c r="C930" s="12" t="s">
        <v>84</v>
      </c>
      <c r="D930" s="23" t="s">
        <v>4904</v>
      </c>
      <c r="E930" s="12" t="s">
        <v>4905</v>
      </c>
      <c r="F930" s="12" t="s">
        <v>4959</v>
      </c>
      <c r="G930" s="12" t="s">
        <v>1330</v>
      </c>
      <c r="H930" s="12" t="s">
        <v>3670</v>
      </c>
      <c r="I930" s="35"/>
      <c r="J930" s="12">
        <v>2014.0</v>
      </c>
      <c r="K930" s="23">
        <v>106.0</v>
      </c>
      <c r="L930" s="24">
        <v>2.0</v>
      </c>
      <c r="M930" s="25" t="s">
        <v>4960</v>
      </c>
      <c r="N930" s="26" t="str">
        <f t="shared" si="2"/>
        <v>793.3
AND
d</v>
      </c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0">
        <v>930.0</v>
      </c>
      <c r="B931" s="12" t="s">
        <v>4961</v>
      </c>
      <c r="C931" s="12" t="s">
        <v>84</v>
      </c>
      <c r="D931" s="23" t="s">
        <v>4962</v>
      </c>
      <c r="E931" s="12" t="s">
        <v>4963</v>
      </c>
      <c r="F931" s="12" t="s">
        <v>4964</v>
      </c>
      <c r="G931" s="12" t="s">
        <v>495</v>
      </c>
      <c r="H931" s="12" t="s">
        <v>554</v>
      </c>
      <c r="I931" s="23" t="s">
        <v>4965</v>
      </c>
      <c r="J931" s="12">
        <v>2015.0</v>
      </c>
      <c r="K931" s="23">
        <v>58.0</v>
      </c>
      <c r="L931" s="24">
        <v>3.0</v>
      </c>
      <c r="M931" s="25" t="s">
        <v>4966</v>
      </c>
      <c r="N931" s="26" t="str">
        <f t="shared" si="2"/>
        <v>791.5
HER
h</v>
      </c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0">
        <v>931.0</v>
      </c>
      <c r="B932" s="12" t="s">
        <v>4967</v>
      </c>
      <c r="C932" s="12" t="s">
        <v>84</v>
      </c>
      <c r="D932" s="35"/>
      <c r="E932" s="22"/>
      <c r="F932" s="12" t="s">
        <v>4968</v>
      </c>
      <c r="G932" s="12" t="s">
        <v>632</v>
      </c>
      <c r="H932" s="12" t="s">
        <v>633</v>
      </c>
      <c r="I932" s="35"/>
      <c r="J932" s="12">
        <v>2011.0</v>
      </c>
      <c r="K932" s="23">
        <v>74.0</v>
      </c>
      <c r="L932" s="24">
        <v>1.0</v>
      </c>
      <c r="M932" s="12" t="s">
        <v>340</v>
      </c>
      <c r="N932" s="26" t="str">
        <f t="shared" si="2"/>
        <v>
ENC
o</v>
      </c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0">
        <v>932.0</v>
      </c>
      <c r="B933" s="12" t="s">
        <v>4969</v>
      </c>
      <c r="C933" s="12" t="s">
        <v>84</v>
      </c>
      <c r="D933" s="23" t="s">
        <v>2672</v>
      </c>
      <c r="E933" s="12" t="s">
        <v>4970</v>
      </c>
      <c r="F933" s="12" t="s">
        <v>4971</v>
      </c>
      <c r="G933" s="12" t="s">
        <v>2586</v>
      </c>
      <c r="H933" s="12" t="s">
        <v>2587</v>
      </c>
      <c r="I933" s="23">
        <v>9.786028982061E12</v>
      </c>
      <c r="J933" s="12">
        <v>2015.0</v>
      </c>
      <c r="K933" s="23">
        <v>70.0</v>
      </c>
      <c r="L933" s="24">
        <v>1.0</v>
      </c>
      <c r="M933" s="25" t="s">
        <v>4972</v>
      </c>
      <c r="N933" s="26" t="str">
        <f t="shared" si="2"/>
        <v>796.01
VAL
m</v>
      </c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0">
        <v>933.0</v>
      </c>
      <c r="B934" s="12" t="s">
        <v>4973</v>
      </c>
      <c r="C934" s="12" t="s">
        <v>229</v>
      </c>
      <c r="D934" s="23" t="s">
        <v>1856</v>
      </c>
      <c r="E934" s="12" t="s">
        <v>1898</v>
      </c>
      <c r="F934" s="12" t="s">
        <v>4974</v>
      </c>
      <c r="G934" s="12" t="s">
        <v>4975</v>
      </c>
      <c r="H934" s="12" t="s">
        <v>4976</v>
      </c>
      <c r="I934" s="23" t="s">
        <v>4977</v>
      </c>
      <c r="J934" s="12">
        <v>2013.0</v>
      </c>
      <c r="K934" s="23">
        <v>116.0</v>
      </c>
      <c r="L934" s="24">
        <v>1.0</v>
      </c>
      <c r="M934" s="25" t="s">
        <v>4978</v>
      </c>
      <c r="N934" s="26" t="str">
        <f t="shared" si="2"/>
        <v>398.2
CER
k</v>
      </c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0">
        <v>934.0</v>
      </c>
      <c r="B935" s="12" t="s">
        <v>4979</v>
      </c>
      <c r="C935" s="12" t="s">
        <v>84</v>
      </c>
      <c r="D935" s="35"/>
      <c r="E935" s="22"/>
      <c r="F935" s="12" t="s">
        <v>4980</v>
      </c>
      <c r="G935" s="12" t="s">
        <v>4981</v>
      </c>
      <c r="H935" s="12" t="s">
        <v>564</v>
      </c>
      <c r="I935" s="23" t="s">
        <v>4982</v>
      </c>
      <c r="J935" s="12">
        <v>2015.0</v>
      </c>
      <c r="K935" s="23">
        <v>60.0</v>
      </c>
      <c r="L935" s="24">
        <v>1.0</v>
      </c>
      <c r="M935" s="12" t="s">
        <v>340</v>
      </c>
      <c r="N935" s="26" t="str">
        <f t="shared" si="2"/>
        <v>
RUS
b</v>
      </c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0">
        <v>935.0</v>
      </c>
      <c r="B936" s="12" t="s">
        <v>4983</v>
      </c>
      <c r="C936" s="12" t="s">
        <v>84</v>
      </c>
      <c r="D936" s="35"/>
      <c r="E936" s="22"/>
      <c r="F936" s="12" t="s">
        <v>4984</v>
      </c>
      <c r="G936" s="12" t="s">
        <v>4985</v>
      </c>
      <c r="H936" s="12" t="s">
        <v>807</v>
      </c>
      <c r="I936" s="23" t="s">
        <v>4986</v>
      </c>
      <c r="J936" s="12">
        <v>2015.0</v>
      </c>
      <c r="K936" s="23">
        <v>50.0</v>
      </c>
      <c r="L936" s="24">
        <v>1.0</v>
      </c>
      <c r="M936" s="12" t="s">
        <v>340</v>
      </c>
      <c r="N936" s="26" t="str">
        <f t="shared" si="2"/>
        <v>
NUN
b</v>
      </c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0">
        <v>936.0</v>
      </c>
      <c r="B937" s="12" t="s">
        <v>4987</v>
      </c>
      <c r="C937" s="12" t="s">
        <v>84</v>
      </c>
      <c r="D937" s="23" t="s">
        <v>4904</v>
      </c>
      <c r="E937" s="12" t="s">
        <v>4905</v>
      </c>
      <c r="F937" s="12" t="s">
        <v>4988</v>
      </c>
      <c r="G937" s="12" t="s">
        <v>3464</v>
      </c>
      <c r="H937" s="12" t="s">
        <v>3670</v>
      </c>
      <c r="I937" s="35"/>
      <c r="J937" s="12">
        <v>2014.0</v>
      </c>
      <c r="K937" s="23">
        <v>108.0</v>
      </c>
      <c r="L937" s="24">
        <v>1.0</v>
      </c>
      <c r="M937" s="25" t="s">
        <v>4989</v>
      </c>
      <c r="N937" s="26" t="str">
        <f t="shared" si="2"/>
        <v>793.3
AND
d</v>
      </c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0">
        <v>937.0</v>
      </c>
      <c r="B938" s="12" t="s">
        <v>4990</v>
      </c>
      <c r="C938" s="12" t="s">
        <v>84</v>
      </c>
      <c r="D938" s="47">
        <v>746662.0</v>
      </c>
      <c r="E938" s="12" t="s">
        <v>4991</v>
      </c>
      <c r="F938" s="12" t="s">
        <v>4992</v>
      </c>
      <c r="G938" s="12" t="s">
        <v>518</v>
      </c>
      <c r="H938" s="12" t="s">
        <v>4993</v>
      </c>
      <c r="I938" s="23" t="s">
        <v>4994</v>
      </c>
      <c r="J938" s="12">
        <v>2010.0</v>
      </c>
      <c r="K938" s="23">
        <v>50.0</v>
      </c>
      <c r="L938" s="24">
        <v>3.0</v>
      </c>
      <c r="M938" s="12" t="s">
        <v>340</v>
      </c>
      <c r="N938" s="26" t="str">
        <f t="shared" si="2"/>
        <v>746662
SUG
i</v>
      </c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0">
        <v>938.0</v>
      </c>
      <c r="B939" s="12" t="s">
        <v>4995</v>
      </c>
      <c r="C939" s="12" t="s">
        <v>84</v>
      </c>
      <c r="D939" s="35"/>
      <c r="E939" s="22"/>
      <c r="F939" s="12" t="s">
        <v>4996</v>
      </c>
      <c r="G939" s="12" t="s">
        <v>269</v>
      </c>
      <c r="H939" s="12" t="s">
        <v>1158</v>
      </c>
      <c r="I939" s="23" t="s">
        <v>4997</v>
      </c>
      <c r="J939" s="12">
        <v>2009.0</v>
      </c>
      <c r="K939" s="23">
        <v>52.0</v>
      </c>
      <c r="L939" s="24">
        <v>1.0</v>
      </c>
      <c r="M939" s="12" t="s">
        <v>340</v>
      </c>
      <c r="N939" s="26" t="str">
        <f t="shared" si="2"/>
        <v>
ADI
k</v>
      </c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0">
        <v>939.0</v>
      </c>
      <c r="B940" s="12" t="s">
        <v>4998</v>
      </c>
      <c r="C940" s="12" t="s">
        <v>84</v>
      </c>
      <c r="D940" s="47">
        <v>782265.0</v>
      </c>
      <c r="E940" s="12" t="s">
        <v>4999</v>
      </c>
      <c r="F940" s="12" t="s">
        <v>5000</v>
      </c>
      <c r="G940" s="12" t="s">
        <v>5001</v>
      </c>
      <c r="H940" s="12" t="s">
        <v>5002</v>
      </c>
      <c r="I940" s="23" t="s">
        <v>5003</v>
      </c>
      <c r="J940" s="12">
        <v>2011.0</v>
      </c>
      <c r="K940" s="23">
        <v>104.0</v>
      </c>
      <c r="L940" s="24">
        <v>1.0</v>
      </c>
      <c r="M940" s="25" t="s">
        <v>5004</v>
      </c>
      <c r="N940" s="26" t="str">
        <f t="shared" si="2"/>
        <v>782265
MAR
k</v>
      </c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0">
        <v>940.0</v>
      </c>
      <c r="B941" s="12" t="s">
        <v>5005</v>
      </c>
      <c r="C941" s="12" t="s">
        <v>84</v>
      </c>
      <c r="D941" s="35"/>
      <c r="E941" s="22"/>
      <c r="F941" s="12" t="s">
        <v>5006</v>
      </c>
      <c r="G941" s="12" t="s">
        <v>5007</v>
      </c>
      <c r="H941" s="12" t="s">
        <v>5008</v>
      </c>
      <c r="I941" s="23" t="s">
        <v>5009</v>
      </c>
      <c r="J941" s="12">
        <v>2015.0</v>
      </c>
      <c r="K941" s="23">
        <v>70.0</v>
      </c>
      <c r="L941" s="24">
        <v>2.0</v>
      </c>
      <c r="M941" s="12" t="s">
        <v>340</v>
      </c>
      <c r="N941" s="26" t="str">
        <f t="shared" si="2"/>
        <v>
M. 
p</v>
      </c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0">
        <v>941.0</v>
      </c>
      <c r="B942" s="12" t="s">
        <v>5010</v>
      </c>
      <c r="C942" s="12" t="s">
        <v>84</v>
      </c>
      <c r="D942" s="23" t="s">
        <v>5011</v>
      </c>
      <c r="E942" s="12" t="s">
        <v>5012</v>
      </c>
      <c r="F942" s="12" t="s">
        <v>4955</v>
      </c>
      <c r="G942" s="12" t="s">
        <v>107</v>
      </c>
      <c r="H942" s="12" t="s">
        <v>158</v>
      </c>
      <c r="I942" s="23" t="s">
        <v>5013</v>
      </c>
      <c r="J942" s="12">
        <v>2013.0</v>
      </c>
      <c r="K942" s="23">
        <v>78.0</v>
      </c>
      <c r="L942" s="24">
        <v>1.0</v>
      </c>
      <c r="M942" s="25" t="s">
        <v>5014</v>
      </c>
      <c r="N942" s="26" t="str">
        <f t="shared" si="2"/>
        <v>796.44
ATH
t</v>
      </c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0">
        <v>942.0</v>
      </c>
      <c r="B943" s="12" t="s">
        <v>5015</v>
      </c>
      <c r="C943" s="12" t="s">
        <v>84</v>
      </c>
      <c r="D943" s="23" t="s">
        <v>5016</v>
      </c>
      <c r="E943" s="12" t="s">
        <v>5017</v>
      </c>
      <c r="F943" s="12" t="s">
        <v>5018</v>
      </c>
      <c r="G943" s="12" t="s">
        <v>5019</v>
      </c>
      <c r="H943" s="12" t="s">
        <v>382</v>
      </c>
      <c r="I943" s="35"/>
      <c r="J943" s="12">
        <v>2017.0</v>
      </c>
      <c r="K943" s="23">
        <v>164.0</v>
      </c>
      <c r="L943" s="24">
        <v>5.0</v>
      </c>
      <c r="M943" s="25" t="s">
        <v>5020</v>
      </c>
      <c r="N943" s="26" t="str">
        <f t="shared" si="2"/>
        <v>782.43
DIA
d</v>
      </c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0">
        <v>943.0</v>
      </c>
      <c r="B944" s="12" t="s">
        <v>5021</v>
      </c>
      <c r="C944" s="12" t="s">
        <v>84</v>
      </c>
      <c r="D944" s="35"/>
      <c r="E944" s="22"/>
      <c r="F944" s="12" t="s">
        <v>5022</v>
      </c>
      <c r="G944" s="22"/>
      <c r="H944" s="12" t="s">
        <v>5023</v>
      </c>
      <c r="I944" s="23" t="s">
        <v>5024</v>
      </c>
      <c r="J944" s="12">
        <v>2015.0</v>
      </c>
      <c r="K944" s="23">
        <v>54.0</v>
      </c>
      <c r="L944" s="24">
        <v>1.0</v>
      </c>
      <c r="M944" s="12" t="s">
        <v>340</v>
      </c>
      <c r="N944" s="26" t="str">
        <f t="shared" si="2"/>
        <v>
DRS
m</v>
      </c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0">
        <v>944.0</v>
      </c>
      <c r="B945" s="12" t="s">
        <v>5025</v>
      </c>
      <c r="C945" s="12" t="s">
        <v>84</v>
      </c>
      <c r="D945" s="35"/>
      <c r="E945" s="22"/>
      <c r="F945" s="12" t="s">
        <v>5026</v>
      </c>
      <c r="G945" s="12" t="s">
        <v>5027</v>
      </c>
      <c r="H945" s="12" t="s">
        <v>3951</v>
      </c>
      <c r="I945" s="35"/>
      <c r="J945" s="12">
        <v>2008.0</v>
      </c>
      <c r="K945" s="23">
        <v>68.0</v>
      </c>
      <c r="L945" s="24">
        <v>1.0</v>
      </c>
      <c r="M945" s="12" t="s">
        <v>340</v>
      </c>
      <c r="N945" s="26" t="str">
        <f t="shared" si="2"/>
        <v>
KHA
a</v>
      </c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0">
        <v>945.0</v>
      </c>
      <c r="B946" s="12" t="s">
        <v>5028</v>
      </c>
      <c r="C946" s="12" t="s">
        <v>84</v>
      </c>
      <c r="D946" s="23">
        <v>792.0</v>
      </c>
      <c r="E946" s="12" t="s">
        <v>5029</v>
      </c>
      <c r="F946" s="12" t="s">
        <v>5030</v>
      </c>
      <c r="G946" s="12" t="s">
        <v>5031</v>
      </c>
      <c r="H946" s="12" t="s">
        <v>3583</v>
      </c>
      <c r="I946" s="35"/>
      <c r="J946" s="12">
        <v>2014.0</v>
      </c>
      <c r="K946" s="23">
        <v>60.0</v>
      </c>
      <c r="L946" s="24">
        <v>2.0</v>
      </c>
      <c r="M946" s="25" t="s">
        <v>5032</v>
      </c>
      <c r="N946" s="26" t="str">
        <f t="shared" si="2"/>
        <v>792
LES
p</v>
      </c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0">
        <v>946.0</v>
      </c>
      <c r="B947" s="12" t="s">
        <v>5033</v>
      </c>
      <c r="C947" s="12" t="s">
        <v>84</v>
      </c>
      <c r="D947" s="23">
        <v>780.0</v>
      </c>
      <c r="E947" s="12" t="s">
        <v>5034</v>
      </c>
      <c r="F947" s="12" t="s">
        <v>5035</v>
      </c>
      <c r="G947" s="12" t="s">
        <v>5036</v>
      </c>
      <c r="H947" s="12" t="s">
        <v>1973</v>
      </c>
      <c r="I947" s="23" t="s">
        <v>5037</v>
      </c>
      <c r="J947" s="12">
        <v>2008.0</v>
      </c>
      <c r="K947" s="23">
        <v>98.0</v>
      </c>
      <c r="L947" s="24">
        <v>1.0</v>
      </c>
      <c r="M947" s="25" t="s">
        <v>5038</v>
      </c>
      <c r="N947" s="26" t="str">
        <f t="shared" si="2"/>
        <v>780
SYA
a</v>
      </c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0">
        <v>947.0</v>
      </c>
      <c r="B948" s="12" t="s">
        <v>5039</v>
      </c>
      <c r="C948" s="12" t="s">
        <v>84</v>
      </c>
      <c r="D948" s="23">
        <v>780.0</v>
      </c>
      <c r="E948" s="12" t="s">
        <v>5034</v>
      </c>
      <c r="F948" s="12" t="s">
        <v>5040</v>
      </c>
      <c r="G948" s="12" t="s">
        <v>2639</v>
      </c>
      <c r="H948" s="12" t="s">
        <v>4934</v>
      </c>
      <c r="I948" s="23" t="s">
        <v>5041</v>
      </c>
      <c r="J948" s="12">
        <v>2015.0</v>
      </c>
      <c r="K948" s="23">
        <v>64.0</v>
      </c>
      <c r="L948" s="24">
        <v>2.0</v>
      </c>
      <c r="M948" s="25" t="s">
        <v>5042</v>
      </c>
      <c r="N948" s="26" t="str">
        <f t="shared" si="2"/>
        <v>780
WIW
a</v>
      </c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0">
        <v>948.0</v>
      </c>
      <c r="B949" s="12" t="s">
        <v>5043</v>
      </c>
      <c r="C949" s="12" t="s">
        <v>84</v>
      </c>
      <c r="D949" s="23">
        <v>780.0</v>
      </c>
      <c r="E949" s="12" t="s">
        <v>5034</v>
      </c>
      <c r="F949" s="12" t="s">
        <v>5044</v>
      </c>
      <c r="G949" s="12" t="s">
        <v>5045</v>
      </c>
      <c r="H949" s="12" t="s">
        <v>382</v>
      </c>
      <c r="I949" s="35"/>
      <c r="J949" s="12">
        <v>2017.0</v>
      </c>
      <c r="K949" s="23">
        <v>20.0</v>
      </c>
      <c r="L949" s="24">
        <v>5.0</v>
      </c>
      <c r="M949" s="25" t="s">
        <v>5046</v>
      </c>
      <c r="N949" s="26" t="str">
        <f t="shared" si="2"/>
        <v>780
MAN
k</v>
      </c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0">
        <v>949.0</v>
      </c>
      <c r="B950" s="12" t="s">
        <v>5047</v>
      </c>
      <c r="C950" s="12" t="s">
        <v>84</v>
      </c>
      <c r="D950" s="23">
        <v>796.0</v>
      </c>
      <c r="E950" s="12" t="s">
        <v>5048</v>
      </c>
      <c r="F950" s="12" t="s">
        <v>107</v>
      </c>
      <c r="G950" s="12" t="s">
        <v>4072</v>
      </c>
      <c r="H950" s="12" t="s">
        <v>3067</v>
      </c>
      <c r="I950" s="23" t="s">
        <v>5049</v>
      </c>
      <c r="J950" s="12">
        <v>2015.0</v>
      </c>
      <c r="K950" s="23">
        <v>60.0</v>
      </c>
      <c r="L950" s="24">
        <v>4.0</v>
      </c>
      <c r="M950" s="25" t="s">
        <v>5050</v>
      </c>
      <c r="N950" s="26" t="str">
        <f t="shared" si="2"/>
        <v>796
EDI
a</v>
      </c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0">
        <v>950.0</v>
      </c>
      <c r="B951" s="12" t="s">
        <v>5051</v>
      </c>
      <c r="C951" s="12" t="s">
        <v>84</v>
      </c>
      <c r="D951" s="23" t="s">
        <v>5052</v>
      </c>
      <c r="E951" s="12" t="s">
        <v>5053</v>
      </c>
      <c r="F951" s="12" t="s">
        <v>1940</v>
      </c>
      <c r="G951" s="12" t="s">
        <v>107</v>
      </c>
      <c r="H951" s="12" t="s">
        <v>253</v>
      </c>
      <c r="I951" s="23" t="s">
        <v>5054</v>
      </c>
      <c r="J951" s="12">
        <v>2015.0</v>
      </c>
      <c r="K951" s="23">
        <v>68.0</v>
      </c>
      <c r="L951" s="24">
        <v>2.0</v>
      </c>
      <c r="M951" s="12" t="s">
        <v>340</v>
      </c>
      <c r="N951" s="26" t="str">
        <f t="shared" si="2"/>
        <v>738.3
ADD
m</v>
      </c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0">
        <v>951.0</v>
      </c>
      <c r="B952" s="12" t="s">
        <v>5055</v>
      </c>
      <c r="C952" s="12" t="s">
        <v>84</v>
      </c>
      <c r="D952" s="35"/>
      <c r="E952" s="22"/>
      <c r="F952" s="12" t="s">
        <v>1940</v>
      </c>
      <c r="G952" s="12" t="s">
        <v>107</v>
      </c>
      <c r="H952" s="12" t="s">
        <v>534</v>
      </c>
      <c r="I952" s="23" t="s">
        <v>5056</v>
      </c>
      <c r="J952" s="12">
        <v>2015.0</v>
      </c>
      <c r="K952" s="23">
        <v>84.0</v>
      </c>
      <c r="L952" s="24">
        <v>2.0</v>
      </c>
      <c r="M952" s="12" t="s">
        <v>340</v>
      </c>
      <c r="N952" s="26" t="str">
        <f t="shared" si="2"/>
        <v>
ADD
b</v>
      </c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0">
        <v>952.0</v>
      </c>
      <c r="B953" s="12" t="s">
        <v>5057</v>
      </c>
      <c r="C953" s="12" t="s">
        <v>84</v>
      </c>
      <c r="D953" s="23" t="s">
        <v>5058</v>
      </c>
      <c r="E953" s="22" t="s">
        <v>5059</v>
      </c>
      <c r="F953" s="12" t="s">
        <v>5060</v>
      </c>
      <c r="G953" s="12" t="s">
        <v>5061</v>
      </c>
      <c r="H953" s="12" t="s">
        <v>653</v>
      </c>
      <c r="I953" s="23" t="s">
        <v>5062</v>
      </c>
      <c r="J953" s="12">
        <v>2016.0</v>
      </c>
      <c r="K953" s="23">
        <v>131.0</v>
      </c>
      <c r="L953" s="24">
        <v>3.0</v>
      </c>
      <c r="M953" s="25" t="s">
        <v>5063</v>
      </c>
      <c r="N953" s="26" t="str">
        <f t="shared" si="2"/>
        <v>796.334
AND
m</v>
      </c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0">
        <v>953.0</v>
      </c>
      <c r="B954" s="12" t="s">
        <v>5064</v>
      </c>
      <c r="C954" s="12" t="s">
        <v>84</v>
      </c>
      <c r="D954" s="35"/>
      <c r="E954" s="22"/>
      <c r="F954" s="12" t="s">
        <v>2815</v>
      </c>
      <c r="G954" s="12" t="s">
        <v>3900</v>
      </c>
      <c r="H954" s="12" t="s">
        <v>5065</v>
      </c>
      <c r="I954" s="23" t="s">
        <v>5066</v>
      </c>
      <c r="J954" s="12">
        <v>2016.0</v>
      </c>
      <c r="K954" s="23">
        <v>146.0</v>
      </c>
      <c r="L954" s="24">
        <v>1.0</v>
      </c>
      <c r="M954" s="12" t="s">
        <v>340</v>
      </c>
      <c r="N954" s="26" t="str">
        <f t="shared" si="2"/>
        <v>
HER
m</v>
      </c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0">
        <v>954.0</v>
      </c>
      <c r="B955" s="12" t="s">
        <v>5067</v>
      </c>
      <c r="C955" s="12" t="s">
        <v>84</v>
      </c>
      <c r="D955" s="23">
        <v>786.0</v>
      </c>
      <c r="E955" s="12" t="s">
        <v>5068</v>
      </c>
      <c r="F955" s="12" t="s">
        <v>5069</v>
      </c>
      <c r="G955" s="12" t="s">
        <v>518</v>
      </c>
      <c r="H955" s="12" t="s">
        <v>4078</v>
      </c>
      <c r="I955" s="23" t="s">
        <v>5070</v>
      </c>
      <c r="J955" s="12">
        <v>2009.0</v>
      </c>
      <c r="K955" s="23">
        <v>60.0</v>
      </c>
      <c r="L955" s="24">
        <v>2.0</v>
      </c>
      <c r="M955" s="25" t="s">
        <v>5071</v>
      </c>
      <c r="N955" s="26" t="str">
        <f t="shared" si="2"/>
        <v>786
BUD
s</v>
      </c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0">
        <v>955.0</v>
      </c>
      <c r="B956" s="12" t="s">
        <v>5072</v>
      </c>
      <c r="C956" s="12" t="s">
        <v>246</v>
      </c>
      <c r="D956" s="23">
        <v>590.0</v>
      </c>
      <c r="E956" s="12" t="s">
        <v>5073</v>
      </c>
      <c r="F956" s="12" t="s">
        <v>5074</v>
      </c>
      <c r="G956" s="12" t="s">
        <v>5075</v>
      </c>
      <c r="H956" s="12" t="s">
        <v>3598</v>
      </c>
      <c r="I956" s="23" t="s">
        <v>5076</v>
      </c>
      <c r="J956" s="12">
        <v>2010.0</v>
      </c>
      <c r="K956" s="23">
        <v>52.0</v>
      </c>
      <c r="L956" s="24">
        <v>1.0</v>
      </c>
      <c r="M956" s="25" t="s">
        <v>5077</v>
      </c>
      <c r="N956" s="26" t="str">
        <f t="shared" si="2"/>
        <v>590
FAU
p</v>
      </c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0">
        <v>956.0</v>
      </c>
      <c r="B957" s="12" t="s">
        <v>1528</v>
      </c>
      <c r="C957" s="12" t="s">
        <v>226</v>
      </c>
      <c r="D957" s="35"/>
      <c r="E957" s="22"/>
      <c r="F957" s="12" t="s">
        <v>5078</v>
      </c>
      <c r="G957" s="12" t="s">
        <v>2698</v>
      </c>
      <c r="H957" s="12" t="s">
        <v>623</v>
      </c>
      <c r="I957" s="23" t="s">
        <v>5079</v>
      </c>
      <c r="J957" s="12">
        <v>2014.0</v>
      </c>
      <c r="K957" s="23">
        <v>90.0</v>
      </c>
      <c r="L957" s="24">
        <v>2.0</v>
      </c>
      <c r="M957" s="12" t="s">
        <v>340</v>
      </c>
      <c r="N957" s="26" t="str">
        <f t="shared" si="2"/>
        <v>
DEW
3</v>
      </c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0">
        <v>957.0</v>
      </c>
      <c r="B958" s="12" t="s">
        <v>5080</v>
      </c>
      <c r="C958" s="12" t="s">
        <v>84</v>
      </c>
      <c r="D958" s="35"/>
      <c r="E958" s="22"/>
      <c r="F958" s="12" t="s">
        <v>5081</v>
      </c>
      <c r="G958" s="12" t="s">
        <v>518</v>
      </c>
      <c r="H958" s="12" t="s">
        <v>623</v>
      </c>
      <c r="I958" s="23" t="s">
        <v>5082</v>
      </c>
      <c r="J958" s="12">
        <v>2014.0</v>
      </c>
      <c r="K958" s="23">
        <v>60.0</v>
      </c>
      <c r="L958" s="24">
        <v>2.0</v>
      </c>
      <c r="M958" s="12" t="s">
        <v>340</v>
      </c>
      <c r="N958" s="26" t="str">
        <f t="shared" si="2"/>
        <v>
DHE
l</v>
      </c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0">
        <v>958.0</v>
      </c>
      <c r="B959" s="12" t="s">
        <v>5083</v>
      </c>
      <c r="C959" s="12" t="s">
        <v>84</v>
      </c>
      <c r="D959" s="35"/>
      <c r="E959" s="22"/>
      <c r="F959" s="12" t="s">
        <v>5084</v>
      </c>
      <c r="G959" s="12" t="s">
        <v>5085</v>
      </c>
      <c r="H959" s="12" t="s">
        <v>5086</v>
      </c>
      <c r="I959" s="23">
        <v>9.786029876185E12</v>
      </c>
      <c r="J959" s="12">
        <v>2015.0</v>
      </c>
      <c r="K959" s="23">
        <v>60.0</v>
      </c>
      <c r="L959" s="24">
        <v>1.0</v>
      </c>
      <c r="M959" s="12" t="s">
        <v>340</v>
      </c>
      <c r="N959" s="26" t="str">
        <f t="shared" si="2"/>
        <v>
RIM
a</v>
      </c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0">
        <v>959.0</v>
      </c>
      <c r="B960" s="12" t="s">
        <v>5087</v>
      </c>
      <c r="C960" s="12" t="s">
        <v>84</v>
      </c>
      <c r="D960" s="35"/>
      <c r="E960" s="22"/>
      <c r="F960" s="12" t="s">
        <v>5088</v>
      </c>
      <c r="G960" s="12" t="s">
        <v>5089</v>
      </c>
      <c r="H960" s="12" t="s">
        <v>5090</v>
      </c>
      <c r="I960" s="23" t="s">
        <v>5091</v>
      </c>
      <c r="J960" s="12">
        <v>2014.0</v>
      </c>
      <c r="K960" s="23">
        <v>68.0</v>
      </c>
      <c r="L960" s="24">
        <v>1.0</v>
      </c>
      <c r="M960" s="12" t="s">
        <v>340</v>
      </c>
      <c r="N960" s="26" t="str">
        <f t="shared" si="2"/>
        <v>
SUT
m</v>
      </c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0">
        <v>960.0</v>
      </c>
      <c r="B961" s="12" t="s">
        <v>5092</v>
      </c>
      <c r="C961" s="12" t="s">
        <v>84</v>
      </c>
      <c r="D961" s="35"/>
      <c r="E961" s="22"/>
      <c r="F961" s="12" t="s">
        <v>2110</v>
      </c>
      <c r="G961" s="12" t="s">
        <v>518</v>
      </c>
      <c r="H961" s="12" t="s">
        <v>5093</v>
      </c>
      <c r="I961" s="23" t="s">
        <v>5094</v>
      </c>
      <c r="J961" s="12">
        <v>2009.0</v>
      </c>
      <c r="K961" s="23">
        <v>52.0</v>
      </c>
      <c r="L961" s="24">
        <v>4.0</v>
      </c>
      <c r="M961" s="12" t="s">
        <v>340</v>
      </c>
      <c r="N961" s="26" t="str">
        <f t="shared" si="2"/>
        <v>
WEN
m</v>
      </c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0">
        <v>961.0</v>
      </c>
      <c r="B962" s="12" t="s">
        <v>5095</v>
      </c>
      <c r="C962" s="12" t="s">
        <v>84</v>
      </c>
      <c r="D962" s="23">
        <v>780.0</v>
      </c>
      <c r="E962" s="12" t="s">
        <v>5034</v>
      </c>
      <c r="F962" s="12" t="s">
        <v>5096</v>
      </c>
      <c r="G962" s="12" t="s">
        <v>5085</v>
      </c>
      <c r="H962" s="12" t="s">
        <v>1282</v>
      </c>
      <c r="I962" s="23" t="s">
        <v>5097</v>
      </c>
      <c r="J962" s="12">
        <v>2015.0</v>
      </c>
      <c r="K962" s="23">
        <v>106.0</v>
      </c>
      <c r="L962" s="24">
        <v>1.0</v>
      </c>
      <c r="M962" s="25" t="s">
        <v>5098</v>
      </c>
      <c r="N962" s="26" t="str">
        <f t="shared" si="2"/>
        <v>780
NAH
k</v>
      </c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0">
        <v>962.0</v>
      </c>
      <c r="B963" s="12" t="s">
        <v>5099</v>
      </c>
      <c r="C963" s="12" t="s">
        <v>84</v>
      </c>
      <c r="D963" s="35"/>
      <c r="E963" s="22"/>
      <c r="F963" s="12" t="s">
        <v>5100</v>
      </c>
      <c r="G963" s="12" t="s">
        <v>5101</v>
      </c>
      <c r="H963" s="12" t="s">
        <v>4110</v>
      </c>
      <c r="I963" s="23" t="s">
        <v>5102</v>
      </c>
      <c r="J963" s="12">
        <v>2015.0</v>
      </c>
      <c r="K963" s="23">
        <v>56.0</v>
      </c>
      <c r="L963" s="24">
        <v>2.0</v>
      </c>
      <c r="M963" s="12" t="s">
        <v>340</v>
      </c>
      <c r="N963" s="26" t="str">
        <f t="shared" si="2"/>
        <v>
DWI
r</v>
      </c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0">
        <v>963.0</v>
      </c>
      <c r="B964" s="12" t="s">
        <v>5103</v>
      </c>
      <c r="C964" s="12" t="s">
        <v>84</v>
      </c>
      <c r="D964" s="35"/>
      <c r="E964" s="22"/>
      <c r="F964" s="12" t="s">
        <v>5104</v>
      </c>
      <c r="G964" s="12" t="s">
        <v>5105</v>
      </c>
      <c r="H964" s="12" t="s">
        <v>1587</v>
      </c>
      <c r="I964" s="23" t="s">
        <v>1588</v>
      </c>
      <c r="J964" s="22"/>
      <c r="K964" s="23">
        <v>96.0</v>
      </c>
      <c r="L964" s="24">
        <v>1.0</v>
      </c>
      <c r="M964" s="12" t="s">
        <v>340</v>
      </c>
      <c r="N964" s="26" t="str">
        <f t="shared" si="2"/>
        <v>
H.M
c</v>
      </c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0">
        <v>964.0</v>
      </c>
      <c r="B965" s="12" t="s">
        <v>5106</v>
      </c>
      <c r="C965" s="12" t="s">
        <v>38</v>
      </c>
      <c r="D965" s="23">
        <v>813.0</v>
      </c>
      <c r="E965" s="12" t="s">
        <v>5107</v>
      </c>
      <c r="F965" s="12" t="s">
        <v>5108</v>
      </c>
      <c r="G965" s="12" t="s">
        <v>5109</v>
      </c>
      <c r="H965" s="12" t="s">
        <v>2097</v>
      </c>
      <c r="I965" s="23" t="s">
        <v>5110</v>
      </c>
      <c r="J965" s="12">
        <v>2008.0</v>
      </c>
      <c r="K965" s="23">
        <v>70.0</v>
      </c>
      <c r="L965" s="24">
        <v>1.0</v>
      </c>
      <c r="M965" s="25" t="s">
        <v>5111</v>
      </c>
      <c r="N965" s="26" t="str">
        <f t="shared" si="2"/>
        <v>813
SAR
s</v>
      </c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0">
        <v>965.0</v>
      </c>
      <c r="B966" s="12" t="s">
        <v>5112</v>
      </c>
      <c r="C966" s="12" t="s">
        <v>84</v>
      </c>
      <c r="D966" s="35"/>
      <c r="E966" s="22"/>
      <c r="F966" s="12" t="s">
        <v>5113</v>
      </c>
      <c r="G966" s="12" t="s">
        <v>5114</v>
      </c>
      <c r="H966" s="12" t="s">
        <v>5115</v>
      </c>
      <c r="I966" s="23" t="s">
        <v>5116</v>
      </c>
      <c r="J966" s="12">
        <v>2015.0</v>
      </c>
      <c r="K966" s="23">
        <v>60.0</v>
      </c>
      <c r="L966" s="24">
        <v>1.0</v>
      </c>
      <c r="M966" s="12" t="s">
        <v>340</v>
      </c>
      <c r="N966" s="26" t="str">
        <f t="shared" si="2"/>
        <v>
WAH
m</v>
      </c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0">
        <v>966.0</v>
      </c>
      <c r="B967" s="12" t="s">
        <v>5117</v>
      </c>
      <c r="C967" s="12" t="s">
        <v>84</v>
      </c>
      <c r="D967" s="23" t="s">
        <v>4904</v>
      </c>
      <c r="E967" s="12" t="s">
        <v>4905</v>
      </c>
      <c r="F967" s="12" t="s">
        <v>5118</v>
      </c>
      <c r="G967" s="12" t="s">
        <v>5119</v>
      </c>
      <c r="H967" s="12" t="s">
        <v>4078</v>
      </c>
      <c r="I967" s="23">
        <v>9.786028583886E12</v>
      </c>
      <c r="J967" s="12">
        <v>2009.0</v>
      </c>
      <c r="K967" s="23">
        <v>60.0</v>
      </c>
      <c r="L967" s="24">
        <v>1.0</v>
      </c>
      <c r="M967" s="25" t="s">
        <v>5120</v>
      </c>
      <c r="N967" s="26" t="str">
        <f t="shared" si="2"/>
        <v>793.3
NUR
t</v>
      </c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0">
        <v>967.0</v>
      </c>
      <c r="B968" s="12" t="s">
        <v>5121</v>
      </c>
      <c r="C968" s="12" t="s">
        <v>84</v>
      </c>
      <c r="D968" s="35"/>
      <c r="E968" s="22"/>
      <c r="F968" s="12" t="s">
        <v>5122</v>
      </c>
      <c r="G968" s="12" t="s">
        <v>5089</v>
      </c>
      <c r="H968" s="12" t="s">
        <v>3395</v>
      </c>
      <c r="I968" s="23" t="s">
        <v>5123</v>
      </c>
      <c r="J968" s="12">
        <v>2014.0</v>
      </c>
      <c r="K968" s="23">
        <v>60.0</v>
      </c>
      <c r="L968" s="24">
        <v>2.0</v>
      </c>
      <c r="M968" s="12" t="s">
        <v>340</v>
      </c>
      <c r="N968" s="26" t="str">
        <f t="shared" si="2"/>
        <v>
SUT
m</v>
      </c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0">
        <v>968.0</v>
      </c>
      <c r="B969" s="12" t="s">
        <v>5124</v>
      </c>
      <c r="C969" s="12" t="s">
        <v>84</v>
      </c>
      <c r="D969" s="35"/>
      <c r="E969" s="22"/>
      <c r="F969" s="12" t="s">
        <v>5122</v>
      </c>
      <c r="G969" s="12" t="s">
        <v>5089</v>
      </c>
      <c r="H969" s="12" t="s">
        <v>3395</v>
      </c>
      <c r="I969" s="23" t="s">
        <v>5125</v>
      </c>
      <c r="J969" s="12">
        <v>2014.0</v>
      </c>
      <c r="K969" s="23">
        <v>68.0</v>
      </c>
      <c r="L969" s="24">
        <v>1.0</v>
      </c>
      <c r="M969" s="12" t="s">
        <v>340</v>
      </c>
      <c r="N969" s="26" t="str">
        <f t="shared" si="2"/>
        <v>
SUT
p</v>
      </c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0">
        <v>969.0</v>
      </c>
      <c r="B970" s="12" t="s">
        <v>5126</v>
      </c>
      <c r="C970" s="12" t="s">
        <v>84</v>
      </c>
      <c r="D970" s="35"/>
      <c r="E970" s="22"/>
      <c r="F970" s="12" t="s">
        <v>2874</v>
      </c>
      <c r="G970" s="12" t="s">
        <v>5127</v>
      </c>
      <c r="H970" s="12" t="s">
        <v>2309</v>
      </c>
      <c r="I970" s="23" t="s">
        <v>5128</v>
      </c>
      <c r="J970" s="12">
        <v>2015.0</v>
      </c>
      <c r="K970" s="23">
        <v>74.0</v>
      </c>
      <c r="L970" s="24">
        <v>2.0</v>
      </c>
      <c r="M970" s="12" t="s">
        <v>340</v>
      </c>
      <c r="N970" s="26" t="str">
        <f t="shared" si="2"/>
        <v>
THA
s</v>
      </c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0">
        <v>970.0</v>
      </c>
      <c r="B971" s="12" t="s">
        <v>5129</v>
      </c>
      <c r="C971" s="12" t="s">
        <v>84</v>
      </c>
      <c r="D971" s="35"/>
      <c r="E971" s="22"/>
      <c r="F971" s="12" t="s">
        <v>5130</v>
      </c>
      <c r="G971" s="12" t="s">
        <v>5089</v>
      </c>
      <c r="H971" s="12" t="s">
        <v>3395</v>
      </c>
      <c r="I971" s="23" t="s">
        <v>5131</v>
      </c>
      <c r="J971" s="12">
        <v>2014.0</v>
      </c>
      <c r="K971" s="23">
        <v>68.0</v>
      </c>
      <c r="L971" s="24">
        <v>1.0</v>
      </c>
      <c r="M971" s="12" t="s">
        <v>340</v>
      </c>
      <c r="N971" s="26" t="str">
        <f t="shared" si="2"/>
        <v>
SUT
m</v>
      </c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0">
        <v>971.0</v>
      </c>
      <c r="B972" s="12" t="s">
        <v>5132</v>
      </c>
      <c r="C972" s="12" t="s">
        <v>84</v>
      </c>
      <c r="D972" s="35"/>
      <c r="E972" s="22"/>
      <c r="F972" s="12" t="s">
        <v>5084</v>
      </c>
      <c r="G972" s="12" t="s">
        <v>5133</v>
      </c>
      <c r="H972" s="12" t="s">
        <v>2369</v>
      </c>
      <c r="I972" s="23" t="s">
        <v>5134</v>
      </c>
      <c r="J972" s="12">
        <v>2010.0</v>
      </c>
      <c r="K972" s="23">
        <v>124.0</v>
      </c>
      <c r="L972" s="24">
        <v>1.0</v>
      </c>
      <c r="M972" s="12" t="s">
        <v>340</v>
      </c>
      <c r="N972" s="26" t="str">
        <f t="shared" si="2"/>
        <v>
RIM
m</v>
      </c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0">
        <v>972.0</v>
      </c>
      <c r="B973" s="12" t="s">
        <v>5103</v>
      </c>
      <c r="C973" s="12" t="s">
        <v>84</v>
      </c>
      <c r="D973" s="35"/>
      <c r="E973" s="22"/>
      <c r="F973" s="12" t="s">
        <v>5135</v>
      </c>
      <c r="G973" s="12" t="s">
        <v>5105</v>
      </c>
      <c r="H973" s="12" t="s">
        <v>1587</v>
      </c>
      <c r="I973" s="23" t="s">
        <v>1588</v>
      </c>
      <c r="J973" s="22"/>
      <c r="K973" s="23">
        <v>96.0</v>
      </c>
      <c r="L973" s="24">
        <v>1.0</v>
      </c>
      <c r="M973" s="12" t="s">
        <v>340</v>
      </c>
      <c r="N973" s="26" t="str">
        <f t="shared" si="2"/>
        <v>
H.M
c</v>
      </c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0">
        <v>973.0</v>
      </c>
      <c r="B974" s="12" t="s">
        <v>5136</v>
      </c>
      <c r="C974" s="12" t="s">
        <v>84</v>
      </c>
      <c r="D974" s="47">
        <v>796323.0</v>
      </c>
      <c r="E974" s="12" t="s">
        <v>5137</v>
      </c>
      <c r="F974" s="12" t="s">
        <v>5138</v>
      </c>
      <c r="G974" s="22"/>
      <c r="H974" s="12" t="s">
        <v>3936</v>
      </c>
      <c r="I974" s="23">
        <v>9.793711213E9</v>
      </c>
      <c r="J974" s="12">
        <v>2006.0</v>
      </c>
      <c r="K974" s="23" t="s">
        <v>2219</v>
      </c>
      <c r="L974" s="24">
        <v>5.0</v>
      </c>
      <c r="M974" s="25" t="s">
        <v>5139</v>
      </c>
      <c r="N974" s="96" t="str">
        <f t="shared" si="2"/>
        <v>796323
MIT
a</v>
      </c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0">
        <v>974.0</v>
      </c>
      <c r="B975" s="12" t="s">
        <v>5140</v>
      </c>
      <c r="C975" s="12" t="s">
        <v>84</v>
      </c>
      <c r="D975" s="23">
        <v>796.0</v>
      </c>
      <c r="E975" s="12" t="s">
        <v>5141</v>
      </c>
      <c r="F975" s="12" t="s">
        <v>5138</v>
      </c>
      <c r="G975" s="12" t="s">
        <v>2879</v>
      </c>
      <c r="H975" s="12" t="s">
        <v>3682</v>
      </c>
      <c r="I975" s="23">
        <v>9.789793711201E12</v>
      </c>
      <c r="J975" s="12">
        <v>2006.0</v>
      </c>
      <c r="K975" s="23">
        <v>44.0</v>
      </c>
      <c r="L975" s="24">
        <v>4.0</v>
      </c>
      <c r="M975" s="25" t="s">
        <v>5142</v>
      </c>
      <c r="N975" s="26" t="str">
        <f t="shared" si="2"/>
        <v>796
MIT
a</v>
      </c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0">
        <v>975.0</v>
      </c>
      <c r="B976" s="12" t="s">
        <v>5143</v>
      </c>
      <c r="C976" s="12" t="s">
        <v>84</v>
      </c>
      <c r="D976" s="23" t="s">
        <v>4904</v>
      </c>
      <c r="E976" s="12" t="s">
        <v>4905</v>
      </c>
      <c r="F976" s="12" t="s">
        <v>5144</v>
      </c>
      <c r="G976" s="12" t="s">
        <v>5145</v>
      </c>
      <c r="H976" s="12" t="s">
        <v>3630</v>
      </c>
      <c r="I976" s="23">
        <v>9.786028934008E12</v>
      </c>
      <c r="J976" s="12">
        <v>2010.0</v>
      </c>
      <c r="K976" s="23" t="s">
        <v>5146</v>
      </c>
      <c r="L976" s="24">
        <v>2.0</v>
      </c>
      <c r="M976" s="25" t="s">
        <v>5147</v>
      </c>
      <c r="N976" s="26" t="str">
        <f t="shared" si="2"/>
        <v>793.3
DIA
i</v>
      </c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0">
        <v>976.0</v>
      </c>
      <c r="B977" s="12" t="s">
        <v>5148</v>
      </c>
      <c r="C977" s="12" t="s">
        <v>84</v>
      </c>
      <c r="D977" s="35"/>
      <c r="E977" s="22"/>
      <c r="F977" s="12" t="s">
        <v>5149</v>
      </c>
      <c r="G977" s="12" t="s">
        <v>5150</v>
      </c>
      <c r="H977" s="12" t="s">
        <v>5151</v>
      </c>
      <c r="I977" s="23">
        <v>9.786028226622E12</v>
      </c>
      <c r="J977" s="12">
        <v>2015.0</v>
      </c>
      <c r="K977" s="23">
        <v>60.0</v>
      </c>
      <c r="L977" s="24">
        <v>1.0</v>
      </c>
      <c r="M977" s="12" t="s">
        <v>340</v>
      </c>
      <c r="N977" s="26" t="str">
        <f t="shared" si="2"/>
        <v>
AGU
k</v>
      </c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0">
        <v>977.0</v>
      </c>
      <c r="B978" s="12" t="s">
        <v>5152</v>
      </c>
      <c r="C978" s="12" t="s">
        <v>84</v>
      </c>
      <c r="D978" s="23" t="s">
        <v>4623</v>
      </c>
      <c r="E978" s="12" t="s">
        <v>4772</v>
      </c>
      <c r="F978" s="12" t="s">
        <v>5153</v>
      </c>
      <c r="G978" s="22"/>
      <c r="H978" s="12" t="s">
        <v>5154</v>
      </c>
      <c r="I978" s="23">
        <v>9.789799386892E12</v>
      </c>
      <c r="J978" s="12">
        <v>2015.0</v>
      </c>
      <c r="K978" s="23" t="s">
        <v>5155</v>
      </c>
      <c r="L978" s="24">
        <v>4.0</v>
      </c>
      <c r="M978" s="12" t="s">
        <v>340</v>
      </c>
      <c r="N978" s="26" t="str">
        <f t="shared" si="2"/>
        <v>745.5
ZAI
a</v>
      </c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0">
        <v>978.0</v>
      </c>
      <c r="B979" s="12" t="s">
        <v>5156</v>
      </c>
      <c r="C979" s="12" t="s">
        <v>84</v>
      </c>
      <c r="D979" s="23">
        <v>740.0</v>
      </c>
      <c r="E979" s="12" t="s">
        <v>4772</v>
      </c>
      <c r="F979" s="12" t="s">
        <v>5157</v>
      </c>
      <c r="G979" s="12" t="s">
        <v>4176</v>
      </c>
      <c r="H979" s="12" t="s">
        <v>4465</v>
      </c>
      <c r="I979" s="23" t="s">
        <v>5158</v>
      </c>
      <c r="J979" s="12">
        <v>2015.0</v>
      </c>
      <c r="K979" s="23" t="s">
        <v>5159</v>
      </c>
      <c r="L979" s="24">
        <v>4.0</v>
      </c>
      <c r="M979" s="25" t="s">
        <v>5160</v>
      </c>
      <c r="N979" s="26" t="str">
        <f t="shared" si="2"/>
        <v>740
DIA
a</v>
      </c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0">
        <v>979.0</v>
      </c>
      <c r="B980" s="12" t="s">
        <v>5161</v>
      </c>
      <c r="C980" s="12" t="s">
        <v>84</v>
      </c>
      <c r="D980" s="23" t="s">
        <v>4623</v>
      </c>
      <c r="E980" s="12" t="s">
        <v>4772</v>
      </c>
      <c r="F980" s="12" t="s">
        <v>5162</v>
      </c>
      <c r="G980" s="12" t="s">
        <v>4176</v>
      </c>
      <c r="H980" s="12" t="s">
        <v>4465</v>
      </c>
      <c r="I980" s="23">
        <v>9.789793235585E12</v>
      </c>
      <c r="J980" s="12">
        <v>2015.0</v>
      </c>
      <c r="K980" s="23" t="s">
        <v>5163</v>
      </c>
      <c r="L980" s="24">
        <v>4.0</v>
      </c>
      <c r="M980" s="25" t="s">
        <v>5164</v>
      </c>
      <c r="N980" s="26" t="str">
        <f t="shared" si="2"/>
        <v>745.5
TRI
a</v>
      </c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0">
        <v>980.0</v>
      </c>
      <c r="B981" s="12" t="s">
        <v>5165</v>
      </c>
      <c r="C981" s="12" t="s">
        <v>84</v>
      </c>
      <c r="D981" s="23" t="s">
        <v>4623</v>
      </c>
      <c r="E981" s="12" t="s">
        <v>4628</v>
      </c>
      <c r="F981" s="12" t="s">
        <v>5166</v>
      </c>
      <c r="G981" s="12" t="s">
        <v>5167</v>
      </c>
      <c r="H981" s="12" t="s">
        <v>4465</v>
      </c>
      <c r="I981" s="23" t="s">
        <v>5168</v>
      </c>
      <c r="J981" s="12">
        <v>2015.0</v>
      </c>
      <c r="K981" s="23" t="s">
        <v>5169</v>
      </c>
      <c r="L981" s="24">
        <v>4.0</v>
      </c>
      <c r="M981" s="25" t="s">
        <v>5170</v>
      </c>
      <c r="N981" s="26" t="str">
        <f t="shared" si="2"/>
        <v>745.5
SYA
b</v>
      </c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0">
        <v>981.0</v>
      </c>
      <c r="B982" s="12" t="s">
        <v>5171</v>
      </c>
      <c r="C982" s="12" t="s">
        <v>84</v>
      </c>
      <c r="D982" s="23" t="s">
        <v>4623</v>
      </c>
      <c r="E982" s="12" t="s">
        <v>4772</v>
      </c>
      <c r="F982" s="12" t="s">
        <v>5172</v>
      </c>
      <c r="G982" s="12" t="s">
        <v>5173</v>
      </c>
      <c r="H982" s="12" t="s">
        <v>4465</v>
      </c>
      <c r="I982" s="23">
        <v>9.793235608E9</v>
      </c>
      <c r="J982" s="12">
        <v>2003.0</v>
      </c>
      <c r="K982" s="23" t="s">
        <v>5174</v>
      </c>
      <c r="L982" s="24">
        <v>4.0</v>
      </c>
      <c r="M982" s="12" t="s">
        <v>340</v>
      </c>
      <c r="N982" s="26" t="str">
        <f t="shared" si="2"/>
        <v>745.5
ENE
a</v>
      </c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0">
        <v>982.0</v>
      </c>
      <c r="B983" s="12" t="s">
        <v>5175</v>
      </c>
      <c r="C983" s="12" t="s">
        <v>84</v>
      </c>
      <c r="D983" s="35"/>
      <c r="E983" s="22"/>
      <c r="F983" s="12" t="s">
        <v>5176</v>
      </c>
      <c r="G983" s="12" t="s">
        <v>5177</v>
      </c>
      <c r="H983" s="12" t="s">
        <v>5178</v>
      </c>
      <c r="I983" s="23">
        <v>9.786022558453E12</v>
      </c>
      <c r="J983" s="12">
        <v>2015.0</v>
      </c>
      <c r="K983" s="23" t="s">
        <v>2250</v>
      </c>
      <c r="L983" s="24">
        <v>1.0</v>
      </c>
      <c r="M983" s="12" t="s">
        <v>340</v>
      </c>
      <c r="N983" s="26" t="str">
        <f t="shared" si="2"/>
        <v>
SRI
k</v>
      </c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0">
        <v>983.0</v>
      </c>
      <c r="B984" s="12" t="s">
        <v>5179</v>
      </c>
      <c r="C984" s="12" t="s">
        <v>84</v>
      </c>
      <c r="D984" s="47">
        <v>796345.0</v>
      </c>
      <c r="E984" s="12" t="s">
        <v>4919</v>
      </c>
      <c r="F984" s="12" t="s">
        <v>5180</v>
      </c>
      <c r="G984" s="12" t="s">
        <v>5181</v>
      </c>
      <c r="H984" s="12" t="s">
        <v>3682</v>
      </c>
      <c r="I984" s="23">
        <v>9.789793711232E12</v>
      </c>
      <c r="J984" s="12">
        <v>2006.0</v>
      </c>
      <c r="K984" s="23">
        <v>58.0</v>
      </c>
      <c r="L984" s="24">
        <v>4.0</v>
      </c>
      <c r="M984" s="25" t="s">
        <v>5182</v>
      </c>
      <c r="N984" s="26" t="str">
        <f t="shared" si="2"/>
        <v>796345
ASW
a</v>
      </c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0">
        <v>984.0</v>
      </c>
      <c r="B985" s="12" t="s">
        <v>5183</v>
      </c>
      <c r="C985" s="12" t="s">
        <v>249</v>
      </c>
      <c r="D985" s="23">
        <v>611.0</v>
      </c>
      <c r="E985" s="12" t="s">
        <v>5183</v>
      </c>
      <c r="F985" s="12" t="s">
        <v>5184</v>
      </c>
      <c r="G985" s="12"/>
      <c r="H985" s="12" t="s">
        <v>5185</v>
      </c>
      <c r="I985" s="23" t="s">
        <v>5186</v>
      </c>
      <c r="J985" s="12">
        <v>2009.0</v>
      </c>
      <c r="K985" s="23" t="s">
        <v>5187</v>
      </c>
      <c r="L985" s="24">
        <v>1.0</v>
      </c>
      <c r="M985" s="25" t="s">
        <v>5188</v>
      </c>
      <c r="N985" s="26" t="str">
        <f t="shared" si="2"/>
        <v>611
MAH
a</v>
      </c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0">
        <v>985.0</v>
      </c>
      <c r="B986" s="12" t="s">
        <v>5189</v>
      </c>
      <c r="C986" s="12" t="s">
        <v>84</v>
      </c>
      <c r="D986" s="23" t="s">
        <v>4623</v>
      </c>
      <c r="E986" s="12" t="s">
        <v>5190</v>
      </c>
      <c r="F986" s="12" t="s">
        <v>5191</v>
      </c>
      <c r="G986" s="12" t="s">
        <v>5192</v>
      </c>
      <c r="H986" s="12" t="s">
        <v>5193</v>
      </c>
      <c r="I986" s="23">
        <v>9.78979884469E11</v>
      </c>
      <c r="J986" s="12">
        <v>2012.0</v>
      </c>
      <c r="K986" s="23" t="s">
        <v>5194</v>
      </c>
      <c r="L986" s="24">
        <v>3.0</v>
      </c>
      <c r="M986" s="25" t="s">
        <v>5195</v>
      </c>
      <c r="N986" s="26" t="str">
        <f t="shared" si="2"/>
        <v>745.5
RIA
s</v>
      </c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0">
        <v>986.0</v>
      </c>
      <c r="B987" s="12" t="s">
        <v>5196</v>
      </c>
      <c r="C987" s="12" t="s">
        <v>84</v>
      </c>
      <c r="D987" s="23">
        <v>780.0</v>
      </c>
      <c r="E987" s="12" t="s">
        <v>5034</v>
      </c>
      <c r="F987" s="12" t="s">
        <v>5197</v>
      </c>
      <c r="G987" s="22"/>
      <c r="H987" s="12" t="s">
        <v>5198</v>
      </c>
      <c r="I987" s="35"/>
      <c r="J987" s="12">
        <v>1992.0</v>
      </c>
      <c r="K987" s="35"/>
      <c r="L987" s="24">
        <v>1.0</v>
      </c>
      <c r="M987" s="25" t="s">
        <v>5199</v>
      </c>
      <c r="N987" s="26" t="str">
        <f t="shared" si="2"/>
        <v>780
MUC
l</v>
      </c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0">
        <v>987.0</v>
      </c>
      <c r="B988" s="12" t="s">
        <v>5200</v>
      </c>
      <c r="C988" s="12" t="s">
        <v>84</v>
      </c>
      <c r="D988" s="23">
        <v>750.0</v>
      </c>
      <c r="E988" s="12" t="s">
        <v>5200</v>
      </c>
      <c r="F988" s="12" t="s">
        <v>4077</v>
      </c>
      <c r="G988" s="12" t="s">
        <v>5201</v>
      </c>
      <c r="H988" s="12" t="s">
        <v>4883</v>
      </c>
      <c r="I988" s="23">
        <v>9.786029048025E12</v>
      </c>
      <c r="J988" s="12">
        <v>2012.0</v>
      </c>
      <c r="K988" s="23">
        <v>67.0</v>
      </c>
      <c r="L988" s="24">
        <v>2.0</v>
      </c>
      <c r="M988" s="25" t="s">
        <v>5202</v>
      </c>
      <c r="N988" s="26" t="str">
        <f t="shared" si="2"/>
        <v>750
SUP
s</v>
      </c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0">
        <v>988.0</v>
      </c>
      <c r="B989" s="12" t="s">
        <v>5203</v>
      </c>
      <c r="C989" s="12" t="s">
        <v>84</v>
      </c>
      <c r="D989" s="23" t="s">
        <v>5204</v>
      </c>
      <c r="E989" s="12" t="s">
        <v>5205</v>
      </c>
      <c r="F989" s="12" t="s">
        <v>5206</v>
      </c>
      <c r="G989" s="22"/>
      <c r="H989" s="12" t="s">
        <v>5207</v>
      </c>
      <c r="I989" s="23" t="s">
        <v>5208</v>
      </c>
      <c r="J989" s="12">
        <v>2013.0</v>
      </c>
      <c r="K989" s="23">
        <v>144.0</v>
      </c>
      <c r="L989" s="24">
        <v>1.0</v>
      </c>
      <c r="M989" s="25" t="s">
        <v>5209</v>
      </c>
      <c r="N989" s="26" t="str">
        <f t="shared" si="2"/>
        <v>792.1
REN
s</v>
      </c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0">
        <v>989.0</v>
      </c>
      <c r="B990" s="12" t="s">
        <v>5210</v>
      </c>
      <c r="C990" s="12" t="s">
        <v>84</v>
      </c>
      <c r="D990" s="23" t="s">
        <v>5211</v>
      </c>
      <c r="E990" s="12" t="s">
        <v>5212</v>
      </c>
      <c r="F990" s="12" t="s">
        <v>5213</v>
      </c>
      <c r="G990" s="12" t="s">
        <v>5214</v>
      </c>
      <c r="H990" s="12" t="s">
        <v>5215</v>
      </c>
      <c r="I990" s="23">
        <v>9.786021128282E12</v>
      </c>
      <c r="J990" s="12">
        <v>2014.0</v>
      </c>
      <c r="K990" s="23" t="s">
        <v>5216</v>
      </c>
      <c r="L990" s="24">
        <v>1.0</v>
      </c>
      <c r="M990" s="25" t="s">
        <v>5217</v>
      </c>
      <c r="N990" s="26" t="str">
        <f t="shared" si="2"/>
        <v>741.5
HUS
k</v>
      </c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0">
        <v>990.0</v>
      </c>
      <c r="B991" s="12" t="s">
        <v>5218</v>
      </c>
      <c r="C991" s="12" t="s">
        <v>84</v>
      </c>
      <c r="D991" s="23" t="s">
        <v>5219</v>
      </c>
      <c r="E991" s="12" t="s">
        <v>5220</v>
      </c>
      <c r="F991" s="12" t="s">
        <v>5221</v>
      </c>
      <c r="G991" s="12" t="s">
        <v>107</v>
      </c>
      <c r="H991" s="12" t="s">
        <v>174</v>
      </c>
      <c r="I991" s="23" t="s">
        <v>5222</v>
      </c>
      <c r="J991" s="12">
        <v>2015.0</v>
      </c>
      <c r="K991" s="23">
        <v>78.0</v>
      </c>
      <c r="L991" s="24">
        <v>3.0</v>
      </c>
      <c r="M991" s="25" t="s">
        <v>5223</v>
      </c>
      <c r="N991" s="26" t="str">
        <f t="shared" si="2"/>
        <v>726.1
ANA
m</v>
      </c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0">
        <v>991.0</v>
      </c>
      <c r="B992" s="12" t="s">
        <v>5224</v>
      </c>
      <c r="C992" s="12" t="s">
        <v>84</v>
      </c>
      <c r="D992" s="23" t="s">
        <v>5219</v>
      </c>
      <c r="E992" s="12" t="s">
        <v>5220</v>
      </c>
      <c r="F992" s="12" t="s">
        <v>5225</v>
      </c>
      <c r="G992" s="12" t="s">
        <v>2254</v>
      </c>
      <c r="H992" s="12" t="s">
        <v>2255</v>
      </c>
      <c r="I992" s="23">
        <v>9.786028769099E12</v>
      </c>
      <c r="J992" s="12">
        <v>2016.0</v>
      </c>
      <c r="K992" s="23" t="s">
        <v>5226</v>
      </c>
      <c r="L992" s="24">
        <v>2.0</v>
      </c>
      <c r="M992" s="25" t="s">
        <v>5227</v>
      </c>
      <c r="N992" s="26" t="str">
        <f t="shared" si="2"/>
        <v>726.1
ARI
c</v>
      </c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0">
        <v>992.0</v>
      </c>
      <c r="B993" s="12" t="s">
        <v>5228</v>
      </c>
      <c r="C993" s="12" t="s">
        <v>84</v>
      </c>
      <c r="D993" s="23" t="s">
        <v>5229</v>
      </c>
      <c r="E993" s="22" t="s">
        <v>5230</v>
      </c>
      <c r="F993" s="12" t="s">
        <v>5231</v>
      </c>
      <c r="G993" s="12" t="s">
        <v>806</v>
      </c>
      <c r="H993" s="12" t="s">
        <v>507</v>
      </c>
      <c r="I993" s="23" t="s">
        <v>5232</v>
      </c>
      <c r="J993" s="12">
        <v>2015.0</v>
      </c>
      <c r="K993" s="23">
        <v>66.0</v>
      </c>
      <c r="L993" s="24">
        <v>4.0</v>
      </c>
      <c r="M993" s="12" t="s">
        <v>340</v>
      </c>
      <c r="N993" s="26" t="str">
        <f t="shared" si="2"/>
        <v>790.13
TRI
d</v>
      </c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0">
        <v>993.0</v>
      </c>
      <c r="B994" s="12" t="s">
        <v>5233</v>
      </c>
      <c r="C994" s="12" t="s">
        <v>84</v>
      </c>
      <c r="D994" s="23" t="s">
        <v>5234</v>
      </c>
      <c r="E994" s="22" t="s">
        <v>5235</v>
      </c>
      <c r="F994" s="12" t="s">
        <v>5236</v>
      </c>
      <c r="G994" s="12" t="s">
        <v>5089</v>
      </c>
      <c r="H994" s="12" t="s">
        <v>4993</v>
      </c>
      <c r="I994" s="23">
        <v>9.786028181112E12</v>
      </c>
      <c r="J994" s="12">
        <v>2010.0</v>
      </c>
      <c r="K994" s="23">
        <v>69.0</v>
      </c>
      <c r="L994" s="24">
        <v>1.0</v>
      </c>
      <c r="M994" s="12" t="s">
        <v>340</v>
      </c>
      <c r="N994" s="26" t="str">
        <f t="shared" si="2"/>
        <v>796.342
Drs
l</v>
      </c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0">
        <v>994.0</v>
      </c>
      <c r="B995" s="12" t="s">
        <v>5237</v>
      </c>
      <c r="C995" s="12" t="s">
        <v>84</v>
      </c>
      <c r="D995" s="23" t="s">
        <v>5238</v>
      </c>
      <c r="E995" s="22" t="s">
        <v>4919</v>
      </c>
      <c r="F995" s="12" t="s">
        <v>5239</v>
      </c>
      <c r="G995" s="22"/>
      <c r="H995" s="12" t="s">
        <v>5240</v>
      </c>
      <c r="I995" s="23" t="s">
        <v>5241</v>
      </c>
      <c r="J995" s="12">
        <v>2015.0</v>
      </c>
      <c r="K995" s="23">
        <v>76.0</v>
      </c>
      <c r="L995" s="24">
        <v>1.0</v>
      </c>
      <c r="M995" s="12" t="s">
        <v>340</v>
      </c>
      <c r="N995" s="26" t="str">
        <f t="shared" si="2"/>
        <v>796.345
Dra
g</v>
      </c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0">
        <v>995.0</v>
      </c>
      <c r="B996" s="12" t="s">
        <v>5242</v>
      </c>
      <c r="C996" s="12" t="s">
        <v>84</v>
      </c>
      <c r="D996" s="23" t="s">
        <v>5243</v>
      </c>
      <c r="E996" s="22" t="s">
        <v>5244</v>
      </c>
      <c r="F996" s="12" t="s">
        <v>5245</v>
      </c>
      <c r="G996" s="12" t="s">
        <v>361</v>
      </c>
      <c r="H996" s="12" t="s">
        <v>3339</v>
      </c>
      <c r="I996" s="23" t="s">
        <v>5246</v>
      </c>
      <c r="J996" s="12">
        <v>2014.0</v>
      </c>
      <c r="K996" s="23" t="s">
        <v>5247</v>
      </c>
      <c r="L996" s="24">
        <v>3.0</v>
      </c>
      <c r="M996" s="25" t="s">
        <v>5248</v>
      </c>
      <c r="N996" s="26" t="str">
        <f t="shared" si="2"/>
        <v>796.03
CAH
k</v>
      </c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0">
        <v>996.0</v>
      </c>
      <c r="B997" s="12" t="s">
        <v>5249</v>
      </c>
      <c r="C997" s="12" t="s">
        <v>84</v>
      </c>
      <c r="D997" s="23" t="s">
        <v>5250</v>
      </c>
      <c r="E997" s="22" t="s">
        <v>5251</v>
      </c>
      <c r="F997" s="12" t="s">
        <v>5252</v>
      </c>
      <c r="G997" s="12" t="s">
        <v>5253</v>
      </c>
      <c r="H997" s="12" t="s">
        <v>5254</v>
      </c>
      <c r="I997" s="23" t="s">
        <v>5255</v>
      </c>
      <c r="J997" s="12">
        <v>2012.0</v>
      </c>
      <c r="K997" s="23" t="s">
        <v>5256</v>
      </c>
      <c r="L997" s="24">
        <v>1.0</v>
      </c>
      <c r="M997" s="25" t="s">
        <v>5257</v>
      </c>
      <c r="N997" s="26" t="str">
        <f t="shared" si="2"/>
        <v>736.9
RIC
b</v>
      </c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0">
        <v>997.0</v>
      </c>
      <c r="B998" s="12" t="s">
        <v>5258</v>
      </c>
      <c r="C998" s="12" t="s">
        <v>84</v>
      </c>
      <c r="D998" s="23" t="s">
        <v>5204</v>
      </c>
      <c r="E998" s="22" t="s">
        <v>5259</v>
      </c>
      <c r="F998" s="12" t="s">
        <v>1877</v>
      </c>
      <c r="G998" s="12" t="s">
        <v>4498</v>
      </c>
      <c r="H998" s="12" t="s">
        <v>1679</v>
      </c>
      <c r="I998" s="23" t="s">
        <v>5260</v>
      </c>
      <c r="J998" s="12">
        <v>2009.0</v>
      </c>
      <c r="K998" s="23">
        <v>72.0</v>
      </c>
      <c r="L998" s="24">
        <v>1.0</v>
      </c>
      <c r="M998" s="12" t="s">
        <v>340</v>
      </c>
      <c r="N998" s="26" t="str">
        <f t="shared" si="2"/>
        <v>792.1
H. 
p</v>
      </c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0">
        <v>998.0</v>
      </c>
      <c r="B999" s="12" t="s">
        <v>5261</v>
      </c>
      <c r="C999" s="12" t="s">
        <v>84</v>
      </c>
      <c r="D999" s="23" t="s">
        <v>5262</v>
      </c>
      <c r="E999" s="22" t="s">
        <v>5263</v>
      </c>
      <c r="F999" s="12" t="s">
        <v>5264</v>
      </c>
      <c r="G999" s="12" t="s">
        <v>3360</v>
      </c>
      <c r="H999" s="12" t="s">
        <v>5086</v>
      </c>
      <c r="I999" s="23" t="s">
        <v>5265</v>
      </c>
      <c r="J999" s="12">
        <v>2015.0</v>
      </c>
      <c r="K999" s="23">
        <v>60.0</v>
      </c>
      <c r="L999" s="24">
        <v>1.0</v>
      </c>
      <c r="M999" s="12" t="s">
        <v>340</v>
      </c>
      <c r="N999" s="26" t="str">
        <f t="shared" si="2"/>
        <v>793.4
SUJ
m</v>
      </c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0">
        <v>999.0</v>
      </c>
      <c r="B1000" s="12" t="s">
        <v>5266</v>
      </c>
      <c r="C1000" s="12" t="s">
        <v>84</v>
      </c>
      <c r="D1000" s="47">
        <v>781621.0</v>
      </c>
      <c r="E1000" s="22" t="s">
        <v>5267</v>
      </c>
      <c r="F1000" s="12" t="s">
        <v>5268</v>
      </c>
      <c r="G1000" s="12" t="s">
        <v>5269</v>
      </c>
      <c r="H1000" s="12" t="s">
        <v>5270</v>
      </c>
      <c r="I1000" s="23">
        <v>9.78602175359E12</v>
      </c>
      <c r="J1000" s="12">
        <v>2013.0</v>
      </c>
      <c r="K1000" s="23" t="s">
        <v>5271</v>
      </c>
      <c r="L1000" s="24">
        <v>1.0</v>
      </c>
      <c r="M1000" s="25" t="s">
        <v>5272</v>
      </c>
      <c r="N1000" s="26" t="str">
        <f t="shared" si="2"/>
        <v>781621
KAR
p</v>
      </c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  <row r="1001">
      <c r="A1001" s="20">
        <v>1000.0</v>
      </c>
      <c r="B1001" s="12" t="s">
        <v>5273</v>
      </c>
      <c r="C1001" s="12" t="s">
        <v>38</v>
      </c>
      <c r="D1001" s="23">
        <v>808.0</v>
      </c>
      <c r="E1001" s="12" t="s">
        <v>2778</v>
      </c>
      <c r="F1001" s="12" t="s">
        <v>4955</v>
      </c>
      <c r="G1001" s="12" t="s">
        <v>107</v>
      </c>
      <c r="H1001" s="12" t="s">
        <v>534</v>
      </c>
      <c r="I1001" s="23" t="s">
        <v>5274</v>
      </c>
      <c r="J1001" s="12">
        <v>2015.0</v>
      </c>
      <c r="K1001" s="23">
        <v>68.0</v>
      </c>
      <c r="L1001" s="24">
        <v>4.0</v>
      </c>
      <c r="M1001" s="25" t="s">
        <v>5275</v>
      </c>
      <c r="N1001" s="26" t="str">
        <f t="shared" si="2"/>
        <v>808
ATH
m</v>
      </c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</row>
    <row r="1002">
      <c r="A1002" s="20">
        <v>1001.0</v>
      </c>
      <c r="B1002" s="12" t="s">
        <v>5276</v>
      </c>
      <c r="C1002" s="12" t="s">
        <v>38</v>
      </c>
      <c r="D1002" s="23">
        <v>801.0</v>
      </c>
      <c r="E1002" s="12" t="s">
        <v>5277</v>
      </c>
      <c r="F1002" s="12" t="s">
        <v>2760</v>
      </c>
      <c r="G1002" s="12" t="s">
        <v>2761</v>
      </c>
      <c r="H1002" s="12" t="s">
        <v>433</v>
      </c>
      <c r="I1002" s="23" t="s">
        <v>5278</v>
      </c>
      <c r="J1002" s="12">
        <v>2015.0</v>
      </c>
      <c r="K1002" s="23">
        <v>80.0</v>
      </c>
      <c r="L1002" s="24">
        <v>1.0</v>
      </c>
      <c r="M1002" s="38" t="s">
        <v>5279</v>
      </c>
      <c r="N1002" s="26" t="str">
        <f t="shared" si="2"/>
        <v>801
NAN
m</v>
      </c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</row>
    <row r="1003">
      <c r="A1003" s="20">
        <v>1002.0</v>
      </c>
      <c r="B1003" s="12" t="s">
        <v>5280</v>
      </c>
      <c r="C1003" s="12" t="s">
        <v>38</v>
      </c>
      <c r="D1003" s="23">
        <v>800.0</v>
      </c>
      <c r="E1003" s="12" t="s">
        <v>5277</v>
      </c>
      <c r="F1003" s="12" t="s">
        <v>5281</v>
      </c>
      <c r="G1003" s="12" t="s">
        <v>5282</v>
      </c>
      <c r="H1003" s="12" t="s">
        <v>5283</v>
      </c>
      <c r="I1003" s="23" t="s">
        <v>5284</v>
      </c>
      <c r="J1003" s="12">
        <v>2015.0</v>
      </c>
      <c r="K1003" s="23">
        <v>60.0</v>
      </c>
      <c r="L1003" s="24">
        <v>5.0</v>
      </c>
      <c r="M1003" s="25" t="s">
        <v>5285</v>
      </c>
      <c r="N1003" s="26" t="str">
        <f t="shared" si="2"/>
        <v>800
PAK
a</v>
      </c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</row>
    <row r="1004">
      <c r="A1004" s="20">
        <v>1003.0</v>
      </c>
      <c r="B1004" s="12" t="s">
        <v>5286</v>
      </c>
      <c r="C1004" s="12" t="s">
        <v>38</v>
      </c>
      <c r="D1004" s="23" t="s">
        <v>2984</v>
      </c>
      <c r="E1004" s="12" t="s">
        <v>5287</v>
      </c>
      <c r="F1004" s="12" t="s">
        <v>5288</v>
      </c>
      <c r="G1004" s="12" t="s">
        <v>5289</v>
      </c>
      <c r="H1004" s="12" t="s">
        <v>4326</v>
      </c>
      <c r="I1004" s="23">
        <v>9.786029759549E12</v>
      </c>
      <c r="J1004" s="12">
        <v>2015.0</v>
      </c>
      <c r="K1004" s="23" t="s">
        <v>5290</v>
      </c>
      <c r="L1004" s="24">
        <v>1.0</v>
      </c>
      <c r="M1004" s="12" t="s">
        <v>340</v>
      </c>
      <c r="N1004" s="26" t="str">
        <f t="shared" si="2"/>
        <v>808.02
ACH
a</v>
      </c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</row>
    <row r="1005">
      <c r="A1005" s="20">
        <v>1004.0</v>
      </c>
      <c r="B1005" s="12" t="s">
        <v>5291</v>
      </c>
      <c r="C1005" s="12" t="s">
        <v>38</v>
      </c>
      <c r="D1005" s="23">
        <v>811.0</v>
      </c>
      <c r="E1005" s="12" t="s">
        <v>486</v>
      </c>
      <c r="F1005" s="12" t="s">
        <v>5292</v>
      </c>
      <c r="G1005" s="12" t="s">
        <v>5293</v>
      </c>
      <c r="H1005" s="12" t="s">
        <v>1879</v>
      </c>
      <c r="I1005" s="23">
        <v>9.789790350052E12</v>
      </c>
      <c r="J1005" s="12">
        <v>2010.0</v>
      </c>
      <c r="K1005" s="23">
        <v>88.0</v>
      </c>
      <c r="L1005" s="24">
        <v>1.0</v>
      </c>
      <c r="M1005" s="25" t="s">
        <v>5294</v>
      </c>
      <c r="N1005" s="26" t="str">
        <f t="shared" si="2"/>
        <v>811
RES
p</v>
      </c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</row>
    <row r="1006">
      <c r="A1006" s="20">
        <v>1005.0</v>
      </c>
      <c r="B1006" s="12" t="s">
        <v>5295</v>
      </c>
      <c r="C1006" s="12" t="s">
        <v>38</v>
      </c>
      <c r="D1006" s="23" t="s">
        <v>445</v>
      </c>
      <c r="E1006" s="22" t="s">
        <v>5296</v>
      </c>
      <c r="F1006" s="12" t="s">
        <v>5297</v>
      </c>
      <c r="G1006" s="12"/>
      <c r="H1006" s="12" t="s">
        <v>1838</v>
      </c>
      <c r="I1006" s="23" t="s">
        <v>5298</v>
      </c>
      <c r="J1006" s="12">
        <v>2009.0</v>
      </c>
      <c r="K1006" s="23">
        <v>140.0</v>
      </c>
      <c r="L1006" s="24">
        <v>1.0</v>
      </c>
      <c r="M1006" s="12" t="s">
        <v>340</v>
      </c>
      <c r="N1006" s="26" t="str">
        <f t="shared" si="2"/>
        <v>813
H.E
t</v>
      </c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</row>
    <row r="1007">
      <c r="A1007" s="20">
        <v>1006.0</v>
      </c>
      <c r="B1007" s="12" t="s">
        <v>5299</v>
      </c>
      <c r="C1007" s="97" t="s">
        <v>84</v>
      </c>
      <c r="D1007" s="23" t="s">
        <v>5016</v>
      </c>
      <c r="E1007" s="12" t="s">
        <v>5300</v>
      </c>
      <c r="F1007" s="12" t="s">
        <v>5301</v>
      </c>
      <c r="G1007" s="12"/>
      <c r="H1007" s="12" t="s">
        <v>2420</v>
      </c>
      <c r="I1007" s="23"/>
      <c r="J1007" s="12">
        <v>2014.0</v>
      </c>
      <c r="K1007" s="23">
        <v>27.0</v>
      </c>
      <c r="L1007" s="24">
        <v>5.0</v>
      </c>
      <c r="M1007" s="25" t="s">
        <v>5302</v>
      </c>
      <c r="N1007" s="26" t="str">
        <f t="shared" si="2"/>
        <v>782.43
GOD
1</v>
      </c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</row>
    <row r="1008">
      <c r="A1008" s="20">
        <v>1007.0</v>
      </c>
      <c r="B1008" s="12" t="s">
        <v>5303</v>
      </c>
      <c r="C1008" s="12" t="s">
        <v>38</v>
      </c>
      <c r="D1008" s="23">
        <v>808.0</v>
      </c>
      <c r="E1008" s="12" t="s">
        <v>5304</v>
      </c>
      <c r="F1008" s="12" t="s">
        <v>5305</v>
      </c>
      <c r="G1008" s="12" t="s">
        <v>5306</v>
      </c>
      <c r="H1008" s="12" t="s">
        <v>5307</v>
      </c>
      <c r="I1008" s="23"/>
      <c r="J1008" s="12">
        <v>2015.0</v>
      </c>
      <c r="K1008" s="23">
        <v>162.0</v>
      </c>
      <c r="L1008" s="24">
        <v>1.0</v>
      </c>
      <c r="M1008" s="25" t="s">
        <v>5308</v>
      </c>
      <c r="N1008" s="26" t="str">
        <f t="shared" si="2"/>
        <v>808
DRA
s</v>
      </c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</row>
    <row r="1009">
      <c r="A1009" s="20">
        <v>1008.0</v>
      </c>
      <c r="B1009" s="12" t="s">
        <v>5309</v>
      </c>
      <c r="C1009" s="12" t="s">
        <v>38</v>
      </c>
      <c r="D1009" s="23" t="s">
        <v>5310</v>
      </c>
      <c r="E1009" s="12" t="s">
        <v>5311</v>
      </c>
      <c r="F1009" s="12" t="s">
        <v>5312</v>
      </c>
      <c r="G1009" s="12" t="s">
        <v>340</v>
      </c>
      <c r="H1009" s="12" t="s">
        <v>5313</v>
      </c>
      <c r="I1009" s="23" t="s">
        <v>340</v>
      </c>
      <c r="J1009" s="12">
        <v>2009.0</v>
      </c>
      <c r="K1009" s="23" t="s">
        <v>5314</v>
      </c>
      <c r="L1009" s="24">
        <v>1.0</v>
      </c>
      <c r="M1009" s="25" t="s">
        <v>5315</v>
      </c>
      <c r="N1009" s="26" t="str">
        <f t="shared" si="2"/>
        <v>899
YOS
p</v>
      </c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</row>
    <row r="1010">
      <c r="A1010" s="20">
        <v>1009.0</v>
      </c>
      <c r="B1010" s="12" t="s">
        <v>5316</v>
      </c>
      <c r="C1010" s="12" t="s">
        <v>38</v>
      </c>
      <c r="D1010" s="23" t="s">
        <v>5317</v>
      </c>
      <c r="E1010" s="12" t="s">
        <v>5318</v>
      </c>
      <c r="F1010" s="12" t="s">
        <v>5319</v>
      </c>
      <c r="G1010" s="12" t="s">
        <v>340</v>
      </c>
      <c r="H1010" s="12" t="s">
        <v>5207</v>
      </c>
      <c r="I1010" s="23">
        <v>9.794192643E9</v>
      </c>
      <c r="J1010" s="12">
        <v>2006.0</v>
      </c>
      <c r="K1010" s="23" t="s">
        <v>5320</v>
      </c>
      <c r="L1010" s="24">
        <v>3.0</v>
      </c>
      <c r="M1010" s="25" t="s">
        <v>5321</v>
      </c>
      <c r="N1010" s="26" t="str">
        <f t="shared" si="2"/>
        <v>811
RAM
k</v>
      </c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</row>
    <row r="1011">
      <c r="A1011" s="20">
        <v>1010.0</v>
      </c>
      <c r="B1011" s="12" t="s">
        <v>5322</v>
      </c>
      <c r="C1011" s="12" t="s">
        <v>38</v>
      </c>
      <c r="D1011" s="23" t="s">
        <v>5317</v>
      </c>
      <c r="E1011" s="12" t="s">
        <v>5318</v>
      </c>
      <c r="F1011" s="12" t="s">
        <v>5323</v>
      </c>
      <c r="G1011" s="12" t="s">
        <v>340</v>
      </c>
      <c r="H1011" s="12" t="s">
        <v>5324</v>
      </c>
      <c r="I1011" s="23" t="s">
        <v>340</v>
      </c>
      <c r="J1011" s="12">
        <v>2006.0</v>
      </c>
      <c r="K1011" s="23" t="s">
        <v>5325</v>
      </c>
      <c r="L1011" s="24">
        <v>4.0</v>
      </c>
      <c r="M1011" s="25" t="s">
        <v>5326</v>
      </c>
      <c r="N1011" s="26" t="str">
        <f t="shared" si="2"/>
        <v>811
L.K
k</v>
      </c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</row>
    <row r="1012">
      <c r="A1012" s="20">
        <v>1011.0</v>
      </c>
      <c r="B1012" s="12" t="s">
        <v>5327</v>
      </c>
      <c r="C1012" s="12" t="s">
        <v>38</v>
      </c>
      <c r="D1012" s="23">
        <v>899.0</v>
      </c>
      <c r="E1012" s="12" t="s">
        <v>5328</v>
      </c>
      <c r="F1012" s="12" t="s">
        <v>5329</v>
      </c>
      <c r="G1012" s="12" t="s">
        <v>340</v>
      </c>
      <c r="H1012" s="12" t="s">
        <v>2420</v>
      </c>
      <c r="I1012" s="23" t="s">
        <v>340</v>
      </c>
      <c r="J1012" s="12">
        <v>2013.0</v>
      </c>
      <c r="K1012" s="23" t="s">
        <v>5330</v>
      </c>
      <c r="L1012" s="24">
        <v>2.0</v>
      </c>
      <c r="M1012" s="12" t="s">
        <v>340</v>
      </c>
      <c r="N1012" s="26" t="str">
        <f t="shared" si="2"/>
        <v>899
DED
p</v>
      </c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</row>
    <row r="1013">
      <c r="A1013" s="20">
        <v>1012.0</v>
      </c>
      <c r="B1013" s="12" t="s">
        <v>5331</v>
      </c>
      <c r="C1013" s="12" t="s">
        <v>38</v>
      </c>
      <c r="D1013" s="23">
        <v>819.0</v>
      </c>
      <c r="E1013" s="12" t="s">
        <v>5332</v>
      </c>
      <c r="F1013" s="12" t="s">
        <v>5333</v>
      </c>
      <c r="G1013" s="12" t="s">
        <v>5334</v>
      </c>
      <c r="H1013" s="12" t="s">
        <v>623</v>
      </c>
      <c r="I1013" s="23" t="s">
        <v>5335</v>
      </c>
      <c r="J1013" s="12">
        <v>2009.0</v>
      </c>
      <c r="K1013" s="23" t="s">
        <v>2415</v>
      </c>
      <c r="L1013" s="24">
        <v>1.0</v>
      </c>
      <c r="M1013" s="38" t="s">
        <v>5336</v>
      </c>
      <c r="N1013" s="26" t="str">
        <f t="shared" si="2"/>
        <v>819
LIL
c</v>
      </c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</row>
    <row r="1014">
      <c r="A1014" s="20">
        <v>1013.0</v>
      </c>
      <c r="B1014" s="12" t="s">
        <v>5337</v>
      </c>
      <c r="C1014" s="12" t="s">
        <v>38</v>
      </c>
      <c r="D1014" s="23"/>
      <c r="E1014" s="12"/>
      <c r="F1014" s="12" t="s">
        <v>5338</v>
      </c>
      <c r="G1014" s="12" t="s">
        <v>5338</v>
      </c>
      <c r="H1014" s="12" t="s">
        <v>2420</v>
      </c>
      <c r="I1014" s="23" t="s">
        <v>340</v>
      </c>
      <c r="J1014" s="12">
        <v>2011.0</v>
      </c>
      <c r="K1014" s="23" t="s">
        <v>5339</v>
      </c>
      <c r="L1014" s="24">
        <v>1.0</v>
      </c>
      <c r="M1014" s="12" t="s">
        <v>340</v>
      </c>
      <c r="N1014" s="26" t="str">
        <f t="shared" si="2"/>
        <v>
DUD
k</v>
      </c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>
      <c r="A1015" s="20">
        <v>1014.0</v>
      </c>
      <c r="B1015" s="12" t="s">
        <v>5340</v>
      </c>
      <c r="C1015" s="12" t="s">
        <v>38</v>
      </c>
      <c r="D1015" s="23">
        <v>819.0</v>
      </c>
      <c r="E1015" s="12" t="s">
        <v>2401</v>
      </c>
      <c r="F1015" s="12" t="s">
        <v>5341</v>
      </c>
      <c r="G1015" s="12" t="s">
        <v>340</v>
      </c>
      <c r="H1015" s="12" t="s">
        <v>3007</v>
      </c>
      <c r="I1015" s="23" t="s">
        <v>340</v>
      </c>
      <c r="J1015" s="12">
        <v>2002.0</v>
      </c>
      <c r="K1015" s="23" t="s">
        <v>497</v>
      </c>
      <c r="L1015" s="24">
        <v>1.0</v>
      </c>
      <c r="M1015" s="25" t="s">
        <v>5342</v>
      </c>
      <c r="N1015" s="26" t="str">
        <f t="shared" si="2"/>
        <v>819
MOH
c</v>
      </c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</row>
    <row r="1016">
      <c r="A1016" s="20">
        <v>1015.0</v>
      </c>
      <c r="B1016" s="12" t="s">
        <v>5343</v>
      </c>
      <c r="C1016" s="12" t="s">
        <v>38</v>
      </c>
      <c r="D1016" s="23" t="s">
        <v>5344</v>
      </c>
      <c r="E1016" s="12" t="s">
        <v>2437</v>
      </c>
      <c r="F1016" s="12" t="s">
        <v>2712</v>
      </c>
      <c r="G1016" s="12" t="s">
        <v>5345</v>
      </c>
      <c r="H1016" s="12" t="s">
        <v>5346</v>
      </c>
      <c r="I1016" s="23" t="s">
        <v>5347</v>
      </c>
      <c r="J1016" s="12">
        <v>2010.0</v>
      </c>
      <c r="K1016" s="23" t="s">
        <v>5348</v>
      </c>
      <c r="L1016" s="24">
        <v>5.0</v>
      </c>
      <c r="M1016" s="38" t="s">
        <v>5349</v>
      </c>
      <c r="N1016" s="26" t="str">
        <f t="shared" si="2"/>
        <v>823
BER
f</v>
      </c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</row>
    <row r="1017">
      <c r="A1017" s="20">
        <v>1016.0</v>
      </c>
      <c r="B1017" s="12" t="s">
        <v>5350</v>
      </c>
      <c r="C1017" s="12" t="s">
        <v>38</v>
      </c>
      <c r="D1017" s="23">
        <v>813.0</v>
      </c>
      <c r="E1017" s="12" t="s">
        <v>5351</v>
      </c>
      <c r="F1017" s="12" t="s">
        <v>5352</v>
      </c>
      <c r="G1017" s="12" t="s">
        <v>340</v>
      </c>
      <c r="H1017" s="12" t="s">
        <v>5353</v>
      </c>
      <c r="I1017" s="23">
        <v>9.789795051252E12</v>
      </c>
      <c r="J1017" s="12">
        <v>2009.0</v>
      </c>
      <c r="K1017" s="23" t="s">
        <v>1700</v>
      </c>
      <c r="L1017" s="24">
        <v>2.0</v>
      </c>
      <c r="M1017" s="25" t="s">
        <v>5354</v>
      </c>
      <c r="N1017" s="26" t="str">
        <f t="shared" si="2"/>
        <v>813
QAN
j</v>
      </c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</row>
    <row r="1018">
      <c r="A1018" s="20">
        <v>1017.0</v>
      </c>
      <c r="B1018" s="12" t="s">
        <v>5355</v>
      </c>
      <c r="C1018" s="12" t="s">
        <v>229</v>
      </c>
      <c r="D1018" s="23" t="s">
        <v>1856</v>
      </c>
      <c r="E1018" s="12" t="s">
        <v>1898</v>
      </c>
      <c r="F1018" s="12" t="s">
        <v>5356</v>
      </c>
      <c r="G1018" s="12" t="s">
        <v>340</v>
      </c>
      <c r="H1018" s="12" t="s">
        <v>5357</v>
      </c>
      <c r="I1018" s="23" t="s">
        <v>340</v>
      </c>
      <c r="J1018" s="12"/>
      <c r="K1018" s="23" t="s">
        <v>5358</v>
      </c>
      <c r="L1018" s="24">
        <v>1.0</v>
      </c>
      <c r="M1018" s="38" t="s">
        <v>5359</v>
      </c>
      <c r="N1018" s="26" t="str">
        <f t="shared" si="2"/>
        <v>398.2
RAH
k</v>
      </c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</row>
    <row r="1019">
      <c r="A1019" s="20">
        <v>1018.0</v>
      </c>
      <c r="B1019" s="12" t="s">
        <v>5360</v>
      </c>
      <c r="C1019" s="12" t="s">
        <v>38</v>
      </c>
      <c r="D1019" s="23"/>
      <c r="E1019" s="12"/>
      <c r="F1019" s="12" t="s">
        <v>5361</v>
      </c>
      <c r="G1019" s="12" t="s">
        <v>5362</v>
      </c>
      <c r="H1019" s="12" t="s">
        <v>5215</v>
      </c>
      <c r="I1019" s="23" t="s">
        <v>5363</v>
      </c>
      <c r="J1019" s="12">
        <v>2009.0</v>
      </c>
      <c r="K1019" s="23" t="s">
        <v>1788</v>
      </c>
      <c r="L1019" s="24">
        <v>1.0</v>
      </c>
      <c r="M1019" s="12" t="s">
        <v>340</v>
      </c>
      <c r="N1019" s="26" t="str">
        <f t="shared" si="2"/>
        <v>
RIZ
k</v>
      </c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</row>
    <row r="1020">
      <c r="A1020" s="20">
        <v>1019.0</v>
      </c>
      <c r="B1020" s="12" t="s">
        <v>5364</v>
      </c>
      <c r="C1020" s="12" t="s">
        <v>38</v>
      </c>
      <c r="D1020" s="23">
        <v>813.0</v>
      </c>
      <c r="E1020" s="12" t="s">
        <v>64</v>
      </c>
      <c r="F1020" s="12" t="s">
        <v>5365</v>
      </c>
      <c r="G1020" s="12" t="s">
        <v>481</v>
      </c>
      <c r="H1020" s="12" t="s">
        <v>762</v>
      </c>
      <c r="I1020" s="23" t="s">
        <v>5366</v>
      </c>
      <c r="J1020" s="12">
        <v>2015.0</v>
      </c>
      <c r="K1020" s="23" t="s">
        <v>5367</v>
      </c>
      <c r="L1020" s="24">
        <v>2.0</v>
      </c>
      <c r="M1020" s="25" t="s">
        <v>5368</v>
      </c>
      <c r="N1020" s="26" t="str">
        <f t="shared" si="2"/>
        <v>813
TIE
m</v>
      </c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</row>
    <row r="1021">
      <c r="A1021" s="20">
        <v>1020.0</v>
      </c>
      <c r="B1021" s="12" t="s">
        <v>5369</v>
      </c>
      <c r="C1021" s="12" t="s">
        <v>38</v>
      </c>
      <c r="D1021" s="23">
        <v>813.0</v>
      </c>
      <c r="E1021" s="12" t="s">
        <v>5370</v>
      </c>
      <c r="F1021" s="12" t="s">
        <v>5371</v>
      </c>
      <c r="G1021" s="12" t="s">
        <v>340</v>
      </c>
      <c r="H1021" s="12" t="s">
        <v>5372</v>
      </c>
      <c r="I1021" s="23" t="s">
        <v>5373</v>
      </c>
      <c r="J1021" s="12">
        <v>2001.0</v>
      </c>
      <c r="K1021" s="23" t="s">
        <v>2316</v>
      </c>
      <c r="L1021" s="24">
        <v>6.0</v>
      </c>
      <c r="M1021" s="25" t="s">
        <v>5374</v>
      </c>
      <c r="N1021" s="26" t="str">
        <f t="shared" si="2"/>
        <v>813
MOL
a</v>
      </c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</row>
    <row r="1022">
      <c r="A1022" s="20">
        <v>1021.0</v>
      </c>
      <c r="B1022" s="12" t="s">
        <v>5375</v>
      </c>
      <c r="C1022" s="12" t="s">
        <v>38</v>
      </c>
      <c r="D1022" s="23">
        <v>819.0</v>
      </c>
      <c r="E1022" s="12" t="s">
        <v>2463</v>
      </c>
      <c r="F1022" s="12" t="s">
        <v>5376</v>
      </c>
      <c r="G1022" s="12" t="s">
        <v>3499</v>
      </c>
      <c r="H1022" s="12" t="s">
        <v>1208</v>
      </c>
      <c r="I1022" s="23" t="s">
        <v>5377</v>
      </c>
      <c r="J1022" s="12">
        <v>2009.0</v>
      </c>
      <c r="K1022" s="23" t="s">
        <v>2415</v>
      </c>
      <c r="L1022" s="24">
        <v>8.0</v>
      </c>
      <c r="M1022" s="25" t="s">
        <v>5378</v>
      </c>
      <c r="N1022" s="26" t="str">
        <f t="shared" si="2"/>
        <v>819
DAD
c</v>
      </c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</row>
    <row r="1023">
      <c r="A1023" s="20">
        <v>1022.0</v>
      </c>
      <c r="B1023" s="12" t="s">
        <v>5379</v>
      </c>
      <c r="C1023" s="12" t="s">
        <v>38</v>
      </c>
      <c r="D1023" s="23">
        <v>819.0</v>
      </c>
      <c r="E1023" s="12" t="s">
        <v>2401</v>
      </c>
      <c r="F1023" s="12" t="s">
        <v>2559</v>
      </c>
      <c r="G1023" s="12" t="s">
        <v>5380</v>
      </c>
      <c r="H1023" s="12" t="s">
        <v>2409</v>
      </c>
      <c r="I1023" s="23" t="s">
        <v>5381</v>
      </c>
      <c r="J1023" s="12">
        <v>2009.0</v>
      </c>
      <c r="K1023" s="23" t="s">
        <v>2410</v>
      </c>
      <c r="L1023" s="24">
        <v>3.0</v>
      </c>
      <c r="M1023" s="38" t="s">
        <v>5382</v>
      </c>
      <c r="N1023" s="26" t="str">
        <f t="shared" si="2"/>
        <v>819
TAT
b</v>
      </c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</row>
    <row r="1024">
      <c r="A1024" s="20">
        <v>1023.0</v>
      </c>
      <c r="B1024" s="12" t="s">
        <v>5383</v>
      </c>
      <c r="C1024" s="12" t="s">
        <v>229</v>
      </c>
      <c r="D1024" s="23" t="s">
        <v>1856</v>
      </c>
      <c r="E1024" s="12" t="s">
        <v>5384</v>
      </c>
      <c r="F1024" s="12" t="s">
        <v>5385</v>
      </c>
      <c r="G1024" s="12" t="s">
        <v>1933</v>
      </c>
      <c r="H1024" s="12" t="s">
        <v>5386</v>
      </c>
      <c r="I1024" s="23" t="s">
        <v>5387</v>
      </c>
      <c r="J1024" s="12">
        <v>2015.0</v>
      </c>
      <c r="K1024" s="23" t="s">
        <v>2410</v>
      </c>
      <c r="L1024" s="24">
        <v>2.0</v>
      </c>
      <c r="M1024" s="25" t="s">
        <v>5388</v>
      </c>
      <c r="N1024" s="26" t="str">
        <f t="shared" si="2"/>
        <v>398.2
SON
l</v>
      </c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</row>
    <row r="1025">
      <c r="A1025" s="20">
        <v>1024.0</v>
      </c>
      <c r="B1025" s="12" t="s">
        <v>5389</v>
      </c>
      <c r="C1025" s="12" t="s">
        <v>38</v>
      </c>
      <c r="D1025" s="23">
        <v>819.0</v>
      </c>
      <c r="E1025" s="12" t="s">
        <v>5390</v>
      </c>
      <c r="F1025" s="12" t="s">
        <v>5391</v>
      </c>
      <c r="G1025" s="12" t="s">
        <v>3499</v>
      </c>
      <c r="H1025" s="12" t="s">
        <v>1208</v>
      </c>
      <c r="I1025" s="23" t="s">
        <v>5392</v>
      </c>
      <c r="J1025" s="12">
        <v>2011.0</v>
      </c>
      <c r="K1025" s="23" t="s">
        <v>2410</v>
      </c>
      <c r="L1025" s="24">
        <v>4.0</v>
      </c>
      <c r="M1025" s="25" t="s">
        <v>5393</v>
      </c>
      <c r="N1025" s="26" t="str">
        <f t="shared" si="2"/>
        <v>819
LIA
j</v>
      </c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</row>
    <row r="1026">
      <c r="A1026" s="20">
        <v>1025.0</v>
      </c>
      <c r="B1026" s="12" t="s">
        <v>5394</v>
      </c>
      <c r="C1026" s="12" t="s">
        <v>38</v>
      </c>
      <c r="D1026" s="23">
        <v>813.0</v>
      </c>
      <c r="E1026" s="12" t="s">
        <v>3933</v>
      </c>
      <c r="F1026" s="12" t="s">
        <v>5395</v>
      </c>
      <c r="G1026" s="12" t="s">
        <v>5396</v>
      </c>
      <c r="H1026" s="12" t="s">
        <v>5397</v>
      </c>
      <c r="I1026" s="23" t="s">
        <v>5398</v>
      </c>
      <c r="J1026" s="12">
        <v>2009.0</v>
      </c>
      <c r="K1026" s="23" t="s">
        <v>2453</v>
      </c>
      <c r="L1026" s="24">
        <v>1.0</v>
      </c>
      <c r="M1026" s="25" t="s">
        <v>5399</v>
      </c>
      <c r="N1026" s="26" t="str">
        <f t="shared" si="2"/>
        <v>813
S. 
k</v>
      </c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</row>
    <row r="1027">
      <c r="A1027" s="20">
        <v>1026.0</v>
      </c>
      <c r="B1027" s="12" t="s">
        <v>5400</v>
      </c>
      <c r="C1027" s="12" t="s">
        <v>38</v>
      </c>
      <c r="D1027" s="23">
        <v>813.0</v>
      </c>
      <c r="E1027" s="12" t="s">
        <v>907</v>
      </c>
      <c r="F1027" s="12" t="s">
        <v>5401</v>
      </c>
      <c r="G1027" s="12" t="s">
        <v>5402</v>
      </c>
      <c r="H1027" s="12" t="s">
        <v>3732</v>
      </c>
      <c r="I1027" s="23" t="s">
        <v>5403</v>
      </c>
      <c r="J1027" s="12">
        <v>2014.0</v>
      </c>
      <c r="K1027" s="23" t="s">
        <v>5404</v>
      </c>
      <c r="L1027" s="24">
        <v>4.0</v>
      </c>
      <c r="M1027" s="12" t="s">
        <v>340</v>
      </c>
      <c r="N1027" s="26" t="str">
        <f t="shared" si="2"/>
        <v>813
NIE
b</v>
      </c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</row>
    <row r="1028">
      <c r="A1028" s="20">
        <v>1027.0</v>
      </c>
      <c r="B1028" s="12" t="s">
        <v>5405</v>
      </c>
      <c r="C1028" s="12" t="s">
        <v>38</v>
      </c>
      <c r="D1028" s="23">
        <v>813.0</v>
      </c>
      <c r="E1028" s="12" t="s">
        <v>5107</v>
      </c>
      <c r="F1028" s="12" t="s">
        <v>5406</v>
      </c>
      <c r="G1028" s="12" t="s">
        <v>2889</v>
      </c>
      <c r="H1028" s="12" t="s">
        <v>3732</v>
      </c>
      <c r="I1028" s="23" t="s">
        <v>5407</v>
      </c>
      <c r="J1028" s="12">
        <v>2010.0</v>
      </c>
      <c r="K1028" s="23" t="s">
        <v>1788</v>
      </c>
      <c r="L1028" s="24">
        <v>4.0</v>
      </c>
      <c r="M1028" s="25" t="s">
        <v>5408</v>
      </c>
      <c r="N1028" s="26" t="str">
        <f t="shared" si="2"/>
        <v>813
TUN
h</v>
      </c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</row>
    <row r="1029">
      <c r="A1029" s="20">
        <v>1028.0</v>
      </c>
      <c r="B1029" s="12" t="s">
        <v>5409</v>
      </c>
      <c r="C1029" s="12" t="s">
        <v>38</v>
      </c>
      <c r="D1029" s="23">
        <v>823.0</v>
      </c>
      <c r="E1029" s="12" t="s">
        <v>2437</v>
      </c>
      <c r="F1029" s="12" t="s">
        <v>5410</v>
      </c>
      <c r="G1029" s="12" t="s">
        <v>5345</v>
      </c>
      <c r="H1029" s="12" t="s">
        <v>5411</v>
      </c>
      <c r="I1029" s="23" t="s">
        <v>5412</v>
      </c>
      <c r="J1029" s="12">
        <v>2010.0</v>
      </c>
      <c r="K1029" s="23" t="s">
        <v>5413</v>
      </c>
      <c r="L1029" s="24">
        <v>2.0</v>
      </c>
      <c r="M1029" s="38" t="s">
        <v>5414</v>
      </c>
      <c r="N1029" s="26" t="str">
        <f t="shared" si="2"/>
        <v>823
FER
b</v>
      </c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</row>
    <row r="1030">
      <c r="A1030" s="20">
        <v>1029.0</v>
      </c>
      <c r="B1030" s="12" t="s">
        <v>5415</v>
      </c>
      <c r="C1030" s="12" t="s">
        <v>38</v>
      </c>
      <c r="D1030" s="23">
        <v>819.0</v>
      </c>
      <c r="E1030" s="12" t="s">
        <v>2401</v>
      </c>
      <c r="F1030" s="12" t="s">
        <v>5416</v>
      </c>
      <c r="G1030" s="12" t="s">
        <v>2414</v>
      </c>
      <c r="H1030" s="12" t="s">
        <v>1208</v>
      </c>
      <c r="I1030" s="23" t="s">
        <v>5417</v>
      </c>
      <c r="J1030" s="12">
        <v>2011.0</v>
      </c>
      <c r="K1030" s="23" t="s">
        <v>2410</v>
      </c>
      <c r="L1030" s="24">
        <v>4.0</v>
      </c>
      <c r="M1030" s="25" t="s">
        <v>5418</v>
      </c>
      <c r="N1030" s="26" t="str">
        <f t="shared" si="2"/>
        <v>819
HID
p</v>
      </c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</row>
    <row r="1031">
      <c r="A1031" s="20">
        <v>1030.0</v>
      </c>
      <c r="B1031" s="12" t="s">
        <v>5419</v>
      </c>
      <c r="C1031" s="12" t="s">
        <v>38</v>
      </c>
      <c r="D1031" s="23">
        <v>819.0</v>
      </c>
      <c r="E1031" s="12" t="s">
        <v>2463</v>
      </c>
      <c r="F1031" s="12" t="s">
        <v>5338</v>
      </c>
      <c r="G1031" s="12" t="s">
        <v>340</v>
      </c>
      <c r="H1031" s="12" t="s">
        <v>2420</v>
      </c>
      <c r="I1031" s="23" t="s">
        <v>340</v>
      </c>
      <c r="J1031" s="12">
        <v>2011.0</v>
      </c>
      <c r="K1031" s="23" t="s">
        <v>5420</v>
      </c>
      <c r="L1031" s="24">
        <v>2.0</v>
      </c>
      <c r="M1031" s="38" t="s">
        <v>5421</v>
      </c>
      <c r="N1031" s="26" t="str">
        <f t="shared" si="2"/>
        <v>819
DUD
s</v>
      </c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</row>
    <row r="1032">
      <c r="A1032" s="20">
        <v>1031.0</v>
      </c>
      <c r="B1032" s="12" t="s">
        <v>5422</v>
      </c>
      <c r="C1032" s="12" t="s">
        <v>38</v>
      </c>
      <c r="D1032" s="23" t="s">
        <v>5423</v>
      </c>
      <c r="E1032" s="12" t="s">
        <v>5424</v>
      </c>
      <c r="F1032" s="12" t="s">
        <v>5425</v>
      </c>
      <c r="G1032" s="12" t="s">
        <v>3499</v>
      </c>
      <c r="H1032" s="12" t="s">
        <v>1208</v>
      </c>
      <c r="I1032" s="23" t="s">
        <v>5426</v>
      </c>
      <c r="J1032" s="12">
        <v>2009.0</v>
      </c>
      <c r="K1032" s="23" t="s">
        <v>2453</v>
      </c>
      <c r="L1032" s="24">
        <v>2.0</v>
      </c>
      <c r="M1032" s="25" t="s">
        <v>5427</v>
      </c>
      <c r="N1032" s="26" t="str">
        <f t="shared" si="2"/>
        <v>C 899.2232
R.H
k</v>
      </c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</row>
    <row r="1033">
      <c r="A1033" s="20">
        <v>1032.0</v>
      </c>
      <c r="B1033" s="12" t="s">
        <v>5428</v>
      </c>
      <c r="C1033" s="12" t="s">
        <v>38</v>
      </c>
      <c r="D1033" s="23">
        <v>819.0</v>
      </c>
      <c r="E1033" s="12" t="s">
        <v>5429</v>
      </c>
      <c r="F1033" s="12" t="s">
        <v>5430</v>
      </c>
      <c r="G1033" s="12" t="s">
        <v>3499</v>
      </c>
      <c r="H1033" s="12" t="s">
        <v>1208</v>
      </c>
      <c r="I1033" s="23">
        <v>9.786028317627E12</v>
      </c>
      <c r="J1033" s="12">
        <v>2009.0</v>
      </c>
      <c r="K1033" s="23" t="s">
        <v>2405</v>
      </c>
      <c r="L1033" s="24">
        <v>8.0</v>
      </c>
      <c r="M1033" s="38" t="s">
        <v>5431</v>
      </c>
      <c r="N1033" s="26" t="str">
        <f t="shared" si="2"/>
        <v>819
DIA
k</v>
      </c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</row>
    <row r="1034">
      <c r="A1034" s="20">
        <v>1033.0</v>
      </c>
      <c r="B1034" s="12" t="s">
        <v>5432</v>
      </c>
      <c r="C1034" s="12" t="s">
        <v>38</v>
      </c>
      <c r="D1034" s="23">
        <v>819.0</v>
      </c>
      <c r="E1034" s="12" t="s">
        <v>2463</v>
      </c>
      <c r="F1034" s="12" t="s">
        <v>5433</v>
      </c>
      <c r="G1034" s="12" t="s">
        <v>340</v>
      </c>
      <c r="H1034" s="12" t="s">
        <v>2420</v>
      </c>
      <c r="I1034" s="23" t="s">
        <v>340</v>
      </c>
      <c r="J1034" s="12">
        <v>2010.0</v>
      </c>
      <c r="K1034" s="23" t="s">
        <v>5434</v>
      </c>
      <c r="L1034" s="24">
        <v>1.0</v>
      </c>
      <c r="M1034" s="25" t="s">
        <v>5435</v>
      </c>
      <c r="N1034" s="26" t="str">
        <f t="shared" si="2"/>
        <v>819
WAH
s</v>
      </c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</row>
    <row r="1035">
      <c r="A1035" s="20">
        <v>1034.0</v>
      </c>
      <c r="B1035" s="12" t="s">
        <v>5436</v>
      </c>
      <c r="C1035" s="12" t="s">
        <v>38</v>
      </c>
      <c r="D1035" s="23">
        <v>819.0</v>
      </c>
      <c r="E1035" s="12" t="s">
        <v>2463</v>
      </c>
      <c r="F1035" s="12" t="s">
        <v>5437</v>
      </c>
      <c r="G1035" s="12" t="s">
        <v>3499</v>
      </c>
      <c r="H1035" s="12" t="s">
        <v>623</v>
      </c>
      <c r="I1035" s="23" t="s">
        <v>5438</v>
      </c>
      <c r="J1035" s="12">
        <v>2009.0</v>
      </c>
      <c r="K1035" s="23" t="s">
        <v>5439</v>
      </c>
      <c r="L1035" s="24">
        <v>2.0</v>
      </c>
      <c r="M1035" s="25" t="s">
        <v>5440</v>
      </c>
      <c r="N1035" s="26" t="str">
        <f t="shared" si="2"/>
        <v>819
END
k</v>
      </c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</row>
    <row r="1036">
      <c r="A1036" s="20">
        <v>1035.0</v>
      </c>
      <c r="B1036" s="12" t="s">
        <v>5441</v>
      </c>
      <c r="C1036" s="12" t="s">
        <v>38</v>
      </c>
      <c r="D1036" s="23">
        <v>819.0</v>
      </c>
      <c r="E1036" s="12" t="s">
        <v>5332</v>
      </c>
      <c r="F1036" s="12" t="s">
        <v>5442</v>
      </c>
      <c r="G1036" s="12" t="s">
        <v>5380</v>
      </c>
      <c r="H1036" s="12" t="s">
        <v>3941</v>
      </c>
      <c r="I1036" s="23" t="s">
        <v>5443</v>
      </c>
      <c r="J1036" s="12">
        <v>2009.0</v>
      </c>
      <c r="K1036" s="23" t="s">
        <v>2410</v>
      </c>
      <c r="L1036" s="24">
        <v>3.0</v>
      </c>
      <c r="M1036" s="38" t="s">
        <v>5444</v>
      </c>
      <c r="N1036" s="26" t="str">
        <f t="shared" si="2"/>
        <v>819
USE
k</v>
      </c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</row>
    <row r="1037">
      <c r="A1037" s="20">
        <v>1036.0</v>
      </c>
      <c r="B1037" s="12" t="s">
        <v>5445</v>
      </c>
      <c r="C1037" s="12" t="s">
        <v>38</v>
      </c>
      <c r="D1037" s="23">
        <v>819.0</v>
      </c>
      <c r="E1037" s="12" t="s">
        <v>2463</v>
      </c>
      <c r="F1037" s="12" t="s">
        <v>5446</v>
      </c>
      <c r="G1037" s="12" t="s">
        <v>340</v>
      </c>
      <c r="H1037" s="12" t="s">
        <v>5447</v>
      </c>
      <c r="I1037" s="23" t="s">
        <v>340</v>
      </c>
      <c r="J1037" s="12">
        <v>2010.0</v>
      </c>
      <c r="K1037" s="23" t="s">
        <v>2453</v>
      </c>
      <c r="L1037" s="24">
        <v>1.0</v>
      </c>
      <c r="M1037" s="12" t="s">
        <v>340</v>
      </c>
      <c r="N1037" s="26" t="str">
        <f t="shared" si="2"/>
        <v>819
TAT
n</v>
      </c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</row>
    <row r="1038">
      <c r="A1038" s="20">
        <v>1037.0</v>
      </c>
      <c r="B1038" s="12" t="s">
        <v>5448</v>
      </c>
      <c r="C1038" s="12" t="s">
        <v>38</v>
      </c>
      <c r="D1038" s="23">
        <v>813.0</v>
      </c>
      <c r="E1038" s="12" t="s">
        <v>907</v>
      </c>
      <c r="F1038" s="12" t="s">
        <v>5449</v>
      </c>
      <c r="G1038" s="12" t="s">
        <v>5450</v>
      </c>
      <c r="H1038" s="12" t="s">
        <v>5451</v>
      </c>
      <c r="I1038" s="23" t="s">
        <v>5452</v>
      </c>
      <c r="J1038" s="12">
        <v>2015.0</v>
      </c>
      <c r="K1038" s="23" t="s">
        <v>5330</v>
      </c>
      <c r="L1038" s="24">
        <v>1.0</v>
      </c>
      <c r="M1038" s="12" t="s">
        <v>340</v>
      </c>
      <c r="N1038" s="26" t="str">
        <f t="shared" si="2"/>
        <v>813
IBN
k</v>
      </c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</row>
    <row r="1039">
      <c r="A1039" s="20">
        <v>1038.0</v>
      </c>
      <c r="B1039" s="12" t="s">
        <v>5453</v>
      </c>
      <c r="C1039" s="12" t="s">
        <v>38</v>
      </c>
      <c r="D1039" s="23">
        <v>812.0</v>
      </c>
      <c r="E1039" s="12" t="s">
        <v>5454</v>
      </c>
      <c r="F1039" s="12" t="s">
        <v>5455</v>
      </c>
      <c r="G1039" s="12" t="s">
        <v>340</v>
      </c>
      <c r="H1039" s="12" t="s">
        <v>1618</v>
      </c>
      <c r="I1039" s="23" t="s">
        <v>5456</v>
      </c>
      <c r="J1039" s="12">
        <v>2001.0</v>
      </c>
      <c r="K1039" s="23" t="s">
        <v>5457</v>
      </c>
      <c r="L1039" s="24">
        <v>2.0</v>
      </c>
      <c r="M1039" s="12" t="s">
        <v>340</v>
      </c>
      <c r="N1039" s="26" t="str">
        <f t="shared" si="2"/>
        <v>812
PUT
d</v>
      </c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</row>
    <row r="1040">
      <c r="A1040" s="20">
        <v>1039.0</v>
      </c>
      <c r="B1040" s="12" t="s">
        <v>5458</v>
      </c>
      <c r="C1040" s="12" t="s">
        <v>38</v>
      </c>
      <c r="D1040" s="23">
        <v>819.0</v>
      </c>
      <c r="E1040" s="12" t="s">
        <v>2803</v>
      </c>
      <c r="F1040" s="12" t="s">
        <v>2413</v>
      </c>
      <c r="G1040" s="12" t="s">
        <v>5459</v>
      </c>
      <c r="H1040" s="12" t="s">
        <v>1208</v>
      </c>
      <c r="I1040" s="23" t="s">
        <v>5460</v>
      </c>
      <c r="J1040" s="12">
        <v>2009.0</v>
      </c>
      <c r="K1040" s="23" t="s">
        <v>2415</v>
      </c>
      <c r="L1040" s="24">
        <v>10.0</v>
      </c>
      <c r="M1040" s="25" t="s">
        <v>5461</v>
      </c>
      <c r="N1040" s="26" t="str">
        <f t="shared" si="2"/>
        <v>819
AKU
h</v>
      </c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</row>
    <row r="1041">
      <c r="A1041" s="20">
        <v>1040.0</v>
      </c>
      <c r="B1041" s="12" t="s">
        <v>5462</v>
      </c>
      <c r="C1041" s="12" t="s">
        <v>38</v>
      </c>
      <c r="D1041" s="23"/>
      <c r="E1041" s="12"/>
      <c r="F1041" s="12" t="s">
        <v>5463</v>
      </c>
      <c r="G1041" s="12" t="s">
        <v>5362</v>
      </c>
      <c r="H1041" s="12" t="s">
        <v>5215</v>
      </c>
      <c r="I1041" s="23" t="s">
        <v>5464</v>
      </c>
      <c r="J1041" s="12">
        <v>2012.0</v>
      </c>
      <c r="K1041" s="23" t="s">
        <v>1788</v>
      </c>
      <c r="L1041" s="24">
        <v>1.0</v>
      </c>
      <c r="M1041" s="12" t="s">
        <v>340</v>
      </c>
      <c r="N1041" s="26" t="str">
        <f t="shared" si="2"/>
        <v>
ICH
p</v>
      </c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</row>
    <row r="1042">
      <c r="A1042" s="20">
        <v>1041.0</v>
      </c>
      <c r="B1042" s="12" t="s">
        <v>5465</v>
      </c>
      <c r="C1042" s="12" t="s">
        <v>38</v>
      </c>
      <c r="D1042" s="23">
        <v>813.0</v>
      </c>
      <c r="E1042" s="12" t="s">
        <v>5466</v>
      </c>
      <c r="F1042" s="12" t="s">
        <v>5467</v>
      </c>
      <c r="G1042" s="12" t="s">
        <v>5468</v>
      </c>
      <c r="H1042" s="12" t="s">
        <v>5469</v>
      </c>
      <c r="I1042" s="23" t="s">
        <v>5470</v>
      </c>
      <c r="J1042" s="12">
        <v>2015.0</v>
      </c>
      <c r="K1042" s="23">
        <v>60.0</v>
      </c>
      <c r="L1042" s="24">
        <v>1.0</v>
      </c>
      <c r="M1042" s="25" t="s">
        <v>5471</v>
      </c>
      <c r="N1042" s="26" t="str">
        <f t="shared" si="2"/>
        <v>813
ASI
a</v>
      </c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</row>
    <row r="1043">
      <c r="A1043" s="20">
        <v>1042.0</v>
      </c>
      <c r="B1043" s="12" t="s">
        <v>5472</v>
      </c>
      <c r="C1043" s="12" t="s">
        <v>38</v>
      </c>
      <c r="D1043" s="23">
        <v>819.0</v>
      </c>
      <c r="E1043" s="12" t="s">
        <v>5332</v>
      </c>
      <c r="F1043" s="12" t="s">
        <v>5473</v>
      </c>
      <c r="G1043" s="12"/>
      <c r="H1043" s="12" t="s">
        <v>2420</v>
      </c>
      <c r="I1043" s="23">
        <v>9.78602778611E12</v>
      </c>
      <c r="J1043" s="12">
        <v>2017.0</v>
      </c>
      <c r="K1043" s="23">
        <v>132.0</v>
      </c>
      <c r="L1043" s="24">
        <v>17.0</v>
      </c>
      <c r="M1043" s="38" t="s">
        <v>5474</v>
      </c>
      <c r="N1043" s="26" t="str">
        <f t="shared" si="2"/>
        <v>819
TAU
a</v>
      </c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</row>
    <row r="1044">
      <c r="A1044" s="20">
        <v>1043.0</v>
      </c>
      <c r="B1044" s="12" t="s">
        <v>5475</v>
      </c>
      <c r="C1044" s="12" t="s">
        <v>38</v>
      </c>
      <c r="D1044" s="23">
        <v>819.0</v>
      </c>
      <c r="E1044" s="12" t="s">
        <v>5311</v>
      </c>
      <c r="F1044" s="12" t="s">
        <v>5312</v>
      </c>
      <c r="G1044" s="12" t="s">
        <v>340</v>
      </c>
      <c r="H1044" s="12" t="s">
        <v>2279</v>
      </c>
      <c r="I1044" s="23" t="s">
        <v>340</v>
      </c>
      <c r="J1044" s="12">
        <v>2008.0</v>
      </c>
      <c r="K1044" s="23" t="s">
        <v>5476</v>
      </c>
      <c r="L1044" s="24">
        <v>2.0</v>
      </c>
      <c r="M1044" s="25" t="s">
        <v>5477</v>
      </c>
      <c r="N1044" s="26" t="str">
        <f t="shared" si="2"/>
        <v>819
YOS
w</v>
      </c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</row>
    <row r="1045">
      <c r="A1045" s="20">
        <v>1044.0</v>
      </c>
      <c r="B1045" s="12" t="s">
        <v>5478</v>
      </c>
      <c r="C1045" s="12" t="s">
        <v>38</v>
      </c>
      <c r="D1045" s="23">
        <v>819.0</v>
      </c>
      <c r="E1045" s="12" t="s">
        <v>2401</v>
      </c>
      <c r="F1045" s="12" t="s">
        <v>5479</v>
      </c>
      <c r="G1045" s="12" t="s">
        <v>5480</v>
      </c>
      <c r="H1045" s="12" t="s">
        <v>623</v>
      </c>
      <c r="I1045" s="23" t="s">
        <v>5481</v>
      </c>
      <c r="J1045" s="12">
        <v>2009.0</v>
      </c>
      <c r="K1045" s="23" t="s">
        <v>2453</v>
      </c>
      <c r="L1045" s="24">
        <v>3.0</v>
      </c>
      <c r="M1045" s="25" t="s">
        <v>5482</v>
      </c>
      <c r="N1045" s="26" t="str">
        <f t="shared" si="2"/>
        <v>819
KOM
b</v>
      </c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</row>
    <row r="1046">
      <c r="A1046" s="20">
        <v>1045.0</v>
      </c>
      <c r="B1046" s="12" t="s">
        <v>5483</v>
      </c>
      <c r="C1046" s="12" t="s">
        <v>38</v>
      </c>
      <c r="D1046" s="23" t="s">
        <v>5484</v>
      </c>
      <c r="E1046" s="12" t="s">
        <v>5485</v>
      </c>
      <c r="F1046" s="12" t="s">
        <v>5486</v>
      </c>
      <c r="G1046" s="12" t="s">
        <v>5487</v>
      </c>
      <c r="H1046" s="12" t="s">
        <v>1179</v>
      </c>
      <c r="I1046" s="23" t="s">
        <v>5488</v>
      </c>
      <c r="J1046" s="12">
        <v>2007.0</v>
      </c>
      <c r="K1046" s="23">
        <v>160.0</v>
      </c>
      <c r="L1046" s="24">
        <v>6.0</v>
      </c>
      <c r="M1046" s="25" t="s">
        <v>5489</v>
      </c>
      <c r="N1046" s="26" t="str">
        <f t="shared" si="2"/>
        <v>819
SUP
k</v>
      </c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</row>
    <row r="1047">
      <c r="A1047" s="10">
        <v>1046.0</v>
      </c>
      <c r="B1047" s="12" t="s">
        <v>5490</v>
      </c>
      <c r="C1047" s="12" t="s">
        <v>38</v>
      </c>
      <c r="D1047" s="23"/>
      <c r="E1047" s="12"/>
      <c r="F1047" s="12" t="s">
        <v>5491</v>
      </c>
      <c r="G1047" s="12"/>
      <c r="H1047" s="12" t="s">
        <v>5492</v>
      </c>
      <c r="I1047" s="23" t="s">
        <v>5493</v>
      </c>
      <c r="J1047" s="12">
        <v>2006.0</v>
      </c>
      <c r="K1047" s="23">
        <v>130.0</v>
      </c>
      <c r="L1047" s="24">
        <v>1.0</v>
      </c>
      <c r="M1047" s="12" t="s">
        <v>340</v>
      </c>
      <c r="N1047" s="26" t="str">
        <f t="shared" si="2"/>
        <v>
CHA
p</v>
      </c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</row>
    <row r="1048">
      <c r="A1048" s="10">
        <v>1047.0</v>
      </c>
      <c r="B1048" s="12" t="s">
        <v>5494</v>
      </c>
      <c r="C1048" s="12" t="s">
        <v>38</v>
      </c>
      <c r="D1048" s="23">
        <v>813.0</v>
      </c>
      <c r="E1048" s="12" t="s">
        <v>64</v>
      </c>
      <c r="F1048" s="12" t="s">
        <v>5495</v>
      </c>
      <c r="G1048" s="12" t="s">
        <v>340</v>
      </c>
      <c r="H1048" s="12" t="s">
        <v>5353</v>
      </c>
      <c r="I1048" s="23" t="s">
        <v>5496</v>
      </c>
      <c r="J1048" s="12">
        <v>2009.0</v>
      </c>
      <c r="K1048" s="23" t="s">
        <v>5497</v>
      </c>
      <c r="L1048" s="24">
        <v>4.0</v>
      </c>
      <c r="M1048" s="38" t="s">
        <v>5498</v>
      </c>
      <c r="N1048" s="26" t="str">
        <f t="shared" si="2"/>
        <v>813
MAI
c</v>
      </c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</row>
    <row r="1049">
      <c r="A1049" s="10">
        <v>1048.0</v>
      </c>
      <c r="B1049" s="12" t="s">
        <v>5499</v>
      </c>
      <c r="C1049" s="12" t="s">
        <v>38</v>
      </c>
      <c r="D1049" s="23"/>
      <c r="E1049" s="12"/>
      <c r="F1049" s="12" t="s">
        <v>5500</v>
      </c>
      <c r="G1049" s="12"/>
      <c r="H1049" s="12" t="s">
        <v>1900</v>
      </c>
      <c r="I1049" s="23"/>
      <c r="J1049" s="12">
        <v>2009.0</v>
      </c>
      <c r="K1049" s="23">
        <v>56.0</v>
      </c>
      <c r="L1049" s="24">
        <v>1.0</v>
      </c>
      <c r="M1049" s="12" t="s">
        <v>340</v>
      </c>
      <c r="N1049" s="26" t="str">
        <f t="shared" si="2"/>
        <v>
NY.
d</v>
      </c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</row>
    <row r="1050">
      <c r="A1050" s="10">
        <v>1049.0</v>
      </c>
      <c r="B1050" s="12" t="s">
        <v>5501</v>
      </c>
      <c r="C1050" s="12" t="s">
        <v>38</v>
      </c>
      <c r="D1050" s="23">
        <v>819.0</v>
      </c>
      <c r="E1050" s="12" t="s">
        <v>2463</v>
      </c>
      <c r="F1050" s="12" t="s">
        <v>5425</v>
      </c>
      <c r="G1050" s="12" t="s">
        <v>5487</v>
      </c>
      <c r="H1050" s="12" t="s">
        <v>1026</v>
      </c>
      <c r="I1050" s="23"/>
      <c r="J1050" s="12">
        <v>2009.0</v>
      </c>
      <c r="K1050" s="23">
        <v>48.0</v>
      </c>
      <c r="L1050" s="24">
        <v>2.0</v>
      </c>
      <c r="M1050" s="25" t="s">
        <v>5502</v>
      </c>
      <c r="N1050" s="26" t="str">
        <f t="shared" si="2"/>
        <v>819
R.H
d</v>
      </c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</row>
    <row r="1051">
      <c r="A1051" s="10">
        <v>1050.0</v>
      </c>
      <c r="B1051" s="12" t="s">
        <v>5503</v>
      </c>
      <c r="C1051" s="12" t="s">
        <v>38</v>
      </c>
      <c r="D1051" s="23"/>
      <c r="E1051" s="12"/>
      <c r="F1051" s="12" t="s">
        <v>5504</v>
      </c>
      <c r="G1051" s="12"/>
      <c r="H1051" s="12" t="s">
        <v>5505</v>
      </c>
      <c r="I1051" s="23"/>
      <c r="J1051" s="12">
        <v>2008.0</v>
      </c>
      <c r="K1051" s="23">
        <v>79.0</v>
      </c>
      <c r="L1051" s="24">
        <v>1.0</v>
      </c>
      <c r="M1051" s="12" t="s">
        <v>340</v>
      </c>
      <c r="N1051" s="26" t="str">
        <f t="shared" si="2"/>
        <v>
KI 
d</v>
      </c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</row>
    <row r="1052">
      <c r="A1052" s="10">
        <v>1051.0</v>
      </c>
      <c r="B1052" s="12" t="s">
        <v>5506</v>
      </c>
      <c r="C1052" s="12" t="s">
        <v>38</v>
      </c>
      <c r="D1052" s="23">
        <v>823.0</v>
      </c>
      <c r="E1052" s="12" t="s">
        <v>2437</v>
      </c>
      <c r="F1052" s="12" t="s">
        <v>5507</v>
      </c>
      <c r="G1052" s="12" t="s">
        <v>5508</v>
      </c>
      <c r="H1052" s="12" t="s">
        <v>5509</v>
      </c>
      <c r="I1052" s="23" t="s">
        <v>5510</v>
      </c>
      <c r="J1052" s="12">
        <v>2011.0</v>
      </c>
      <c r="K1052" s="23">
        <v>64.0</v>
      </c>
      <c r="L1052" s="24">
        <v>2.0</v>
      </c>
      <c r="M1052" s="38" t="s">
        <v>5511</v>
      </c>
      <c r="N1052" s="26" t="str">
        <f t="shared" si="2"/>
        <v>823
EVA
d</v>
      </c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</row>
    <row r="1053">
      <c r="A1053" s="10">
        <v>1052.0</v>
      </c>
      <c r="B1053" s="12" t="s">
        <v>5512</v>
      </c>
      <c r="C1053" s="12" t="s">
        <v>38</v>
      </c>
      <c r="D1053" s="23" t="s">
        <v>445</v>
      </c>
      <c r="E1053" s="12" t="s">
        <v>64</v>
      </c>
      <c r="F1053" s="12" t="s">
        <v>5513</v>
      </c>
      <c r="G1053" s="12"/>
      <c r="H1053" s="12" t="s">
        <v>5353</v>
      </c>
      <c r="I1053" s="23">
        <v>9.789795051901E12</v>
      </c>
      <c r="J1053" s="12">
        <v>2009.0</v>
      </c>
      <c r="K1053" s="23" t="s">
        <v>1782</v>
      </c>
      <c r="L1053" s="24">
        <v>11.0</v>
      </c>
      <c r="M1053" s="38" t="s">
        <v>5514</v>
      </c>
      <c r="N1053" s="26" t="str">
        <f t="shared" si="2"/>
        <v>813
MOH
d</v>
      </c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</row>
    <row r="1054">
      <c r="A1054" s="10">
        <v>1053.0</v>
      </c>
      <c r="B1054" s="12" t="s">
        <v>5515</v>
      </c>
      <c r="C1054" s="12" t="s">
        <v>38</v>
      </c>
      <c r="D1054" s="23">
        <v>813.0</v>
      </c>
      <c r="E1054" s="12" t="s">
        <v>64</v>
      </c>
      <c r="F1054" s="12" t="s">
        <v>5516</v>
      </c>
      <c r="G1054" s="12" t="s">
        <v>5517</v>
      </c>
      <c r="H1054" s="12" t="s">
        <v>3929</v>
      </c>
      <c r="I1054" s="23" t="s">
        <v>5518</v>
      </c>
      <c r="J1054" s="12">
        <v>2010.0</v>
      </c>
      <c r="K1054" s="23">
        <v>148.0</v>
      </c>
      <c r="L1054" s="24">
        <v>1.0</v>
      </c>
      <c r="M1054" s="25" t="s">
        <v>5519</v>
      </c>
      <c r="N1054" s="26" t="str">
        <f t="shared" si="2"/>
        <v>813
IZZ
f</v>
      </c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</row>
    <row r="1055">
      <c r="A1055" s="10">
        <v>1054.0</v>
      </c>
      <c r="B1055" s="12" t="s">
        <v>5520</v>
      </c>
      <c r="C1055" s="12" t="s">
        <v>38</v>
      </c>
      <c r="D1055" s="23"/>
      <c r="E1055" s="12"/>
      <c r="F1055" s="12" t="s">
        <v>5521</v>
      </c>
      <c r="G1055" s="12" t="s">
        <v>340</v>
      </c>
      <c r="H1055" s="12" t="s">
        <v>1158</v>
      </c>
      <c r="I1055" s="23" t="s">
        <v>5522</v>
      </c>
      <c r="J1055" s="12">
        <v>2014.0</v>
      </c>
      <c r="K1055" s="23" t="s">
        <v>2410</v>
      </c>
      <c r="L1055" s="24">
        <v>1.0</v>
      </c>
      <c r="M1055" s="12" t="s">
        <v>340</v>
      </c>
      <c r="N1055" s="26" t="str">
        <f t="shared" si="2"/>
        <v>
GOE
g</v>
      </c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</row>
    <row r="1056">
      <c r="A1056" s="10">
        <v>1055.0</v>
      </c>
      <c r="B1056" s="12" t="s">
        <v>5523</v>
      </c>
      <c r="C1056" s="12" t="s">
        <v>38</v>
      </c>
      <c r="D1056" s="23">
        <v>819.0</v>
      </c>
      <c r="E1056" s="12" t="s">
        <v>2401</v>
      </c>
      <c r="F1056" s="12" t="s">
        <v>2402</v>
      </c>
      <c r="G1056" s="12" t="s">
        <v>5524</v>
      </c>
      <c r="H1056" s="12" t="s">
        <v>1026</v>
      </c>
      <c r="I1056" s="23">
        <v>9.7860283186E12</v>
      </c>
      <c r="J1056" s="12">
        <v>2009.0</v>
      </c>
      <c r="K1056" s="23">
        <v>48.0</v>
      </c>
      <c r="L1056" s="24">
        <v>1.0</v>
      </c>
      <c r="M1056" s="38" t="s">
        <v>5525</v>
      </c>
      <c r="N1056" s="26" t="str">
        <f t="shared" si="2"/>
        <v>819
HID
h</v>
      </c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</row>
    <row r="1057">
      <c r="A1057" s="10">
        <v>1056.0</v>
      </c>
      <c r="B1057" s="12" t="s">
        <v>5526</v>
      </c>
      <c r="C1057" s="12" t="s">
        <v>38</v>
      </c>
      <c r="D1057" s="23">
        <v>823.0</v>
      </c>
      <c r="E1057" s="12" t="s">
        <v>2437</v>
      </c>
      <c r="F1057" s="12" t="s">
        <v>5527</v>
      </c>
      <c r="G1057" s="12" t="s">
        <v>4933</v>
      </c>
      <c r="H1057" s="12" t="s">
        <v>5528</v>
      </c>
      <c r="I1057" s="23" t="s">
        <v>5529</v>
      </c>
      <c r="J1057" s="12">
        <v>2010.0</v>
      </c>
      <c r="K1057" s="23">
        <v>60.0</v>
      </c>
      <c r="L1057" s="24">
        <v>4.0</v>
      </c>
      <c r="M1057" s="38" t="s">
        <v>5530</v>
      </c>
      <c r="N1057" s="26" t="str">
        <f t="shared" si="2"/>
        <v>823
PER
i</v>
      </c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</row>
    <row r="1058">
      <c r="A1058" s="10">
        <v>1057.0</v>
      </c>
      <c r="B1058" s="12" t="s">
        <v>5531</v>
      </c>
      <c r="C1058" s="12" t="s">
        <v>38</v>
      </c>
      <c r="D1058" s="23">
        <v>819.0</v>
      </c>
      <c r="E1058" s="12" t="s">
        <v>2401</v>
      </c>
      <c r="F1058" s="12" t="s">
        <v>5532</v>
      </c>
      <c r="G1058" s="12" t="s">
        <v>2414</v>
      </c>
      <c r="H1058" s="12" t="s">
        <v>1026</v>
      </c>
      <c r="I1058" s="23" t="s">
        <v>5533</v>
      </c>
      <c r="J1058" s="12">
        <v>2009.0</v>
      </c>
      <c r="K1058" s="23" t="s">
        <v>2410</v>
      </c>
      <c r="L1058" s="24">
        <v>9.0</v>
      </c>
      <c r="M1058" s="38" t="s">
        <v>5534</v>
      </c>
      <c r="N1058" s="26" t="str">
        <f t="shared" si="2"/>
        <v>819
DAD
i</v>
      </c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</row>
    <row r="1059">
      <c r="A1059" s="10">
        <v>1058.0</v>
      </c>
      <c r="B1059" s="12" t="s">
        <v>5535</v>
      </c>
      <c r="C1059" s="12" t="s">
        <v>38</v>
      </c>
      <c r="D1059" s="23">
        <v>819.0</v>
      </c>
      <c r="E1059" s="12" t="s">
        <v>5311</v>
      </c>
      <c r="F1059" s="12" t="s">
        <v>5536</v>
      </c>
      <c r="G1059" s="12" t="s">
        <v>5380</v>
      </c>
      <c r="H1059" s="12" t="s">
        <v>2565</v>
      </c>
      <c r="I1059" s="23">
        <v>9.789792417432E12</v>
      </c>
      <c r="J1059" s="12">
        <v>2009.0</v>
      </c>
      <c r="K1059" s="23">
        <v>56.0</v>
      </c>
      <c r="L1059" s="24">
        <v>1.0</v>
      </c>
      <c r="M1059" s="12" t="s">
        <v>340</v>
      </c>
      <c r="N1059" s="26" t="str">
        <f t="shared" si="2"/>
        <v>819
ATA
j</v>
      </c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</row>
    <row r="1060">
      <c r="A1060" s="10">
        <v>1059.0</v>
      </c>
      <c r="B1060" s="12" t="s">
        <v>5537</v>
      </c>
      <c r="C1060" s="12" t="s">
        <v>38</v>
      </c>
      <c r="D1060" s="47">
        <v>809382.0</v>
      </c>
      <c r="E1060" s="12" t="s">
        <v>5538</v>
      </c>
      <c r="F1060" s="12" t="s">
        <v>5539</v>
      </c>
      <c r="G1060" s="12"/>
      <c r="H1060" s="12" t="s">
        <v>5540</v>
      </c>
      <c r="I1060" s="23" t="s">
        <v>5541</v>
      </c>
      <c r="J1060" s="12">
        <v>2005.0</v>
      </c>
      <c r="K1060" s="23">
        <v>88.0</v>
      </c>
      <c r="L1060" s="24">
        <v>1.0</v>
      </c>
      <c r="M1060" s="25" t="s">
        <v>5542</v>
      </c>
      <c r="N1060" s="26" t="str">
        <f t="shared" si="2"/>
        <v>809382
WIT
j</v>
      </c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</row>
    <row r="1061">
      <c r="A1061" s="10">
        <v>1060.0</v>
      </c>
      <c r="B1061" s="12" t="s">
        <v>5543</v>
      </c>
      <c r="C1061" s="12" t="s">
        <v>38</v>
      </c>
      <c r="D1061" s="23">
        <v>819.0</v>
      </c>
      <c r="E1061" s="12" t="s">
        <v>5429</v>
      </c>
      <c r="F1061" s="12" t="s">
        <v>5301</v>
      </c>
      <c r="G1061" s="12"/>
      <c r="H1061" s="12" t="s">
        <v>2420</v>
      </c>
      <c r="I1061" s="23"/>
      <c r="J1061" s="12">
        <v>2013.0</v>
      </c>
      <c r="K1061" s="23">
        <v>192.0</v>
      </c>
      <c r="L1061" s="24">
        <v>7.0</v>
      </c>
      <c r="M1061" s="38" t="s">
        <v>5544</v>
      </c>
      <c r="N1061" s="26" t="str">
        <f t="shared" si="2"/>
        <v>819
GOD
t</v>
      </c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</row>
    <row r="1062">
      <c r="A1062" s="10">
        <v>1061.0</v>
      </c>
      <c r="B1062" s="12" t="s">
        <v>5545</v>
      </c>
      <c r="C1062" s="12" t="s">
        <v>38</v>
      </c>
      <c r="D1062" s="23">
        <v>819.0</v>
      </c>
      <c r="E1062" s="12" t="s">
        <v>2463</v>
      </c>
      <c r="F1062" s="12" t="s">
        <v>5446</v>
      </c>
      <c r="G1062" s="12"/>
      <c r="H1062" s="12" t="s">
        <v>2420</v>
      </c>
      <c r="I1062" s="23"/>
      <c r="J1062" s="12">
        <v>2013.0</v>
      </c>
      <c r="K1062" s="23">
        <v>72.0</v>
      </c>
      <c r="L1062" s="24">
        <v>1.0</v>
      </c>
      <c r="M1062" s="12" t="s">
        <v>340</v>
      </c>
      <c r="N1062" s="26" t="str">
        <f t="shared" si="2"/>
        <v>819
TAT
j</v>
      </c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</row>
    <row r="1063">
      <c r="A1063" s="10">
        <v>1062.0</v>
      </c>
      <c r="B1063" s="12" t="s">
        <v>5546</v>
      </c>
      <c r="C1063" s="12" t="s">
        <v>38</v>
      </c>
      <c r="D1063" s="23">
        <v>819.0</v>
      </c>
      <c r="E1063" s="12" t="s">
        <v>5547</v>
      </c>
      <c r="F1063" s="12" t="s">
        <v>5548</v>
      </c>
      <c r="G1063" s="12"/>
      <c r="H1063" s="12" t="s">
        <v>5549</v>
      </c>
      <c r="I1063" s="23"/>
      <c r="J1063" s="12">
        <v>2017.0</v>
      </c>
      <c r="K1063" s="23">
        <v>112.0</v>
      </c>
      <c r="L1063" s="24">
        <v>2.0</v>
      </c>
      <c r="M1063" s="25" t="s">
        <v>5550</v>
      </c>
      <c r="N1063" s="26" t="str">
        <f t="shared" si="2"/>
        <v>819
DIA
1</v>
      </c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</row>
    <row r="1064">
      <c r="A1064" s="10">
        <v>1063.0</v>
      </c>
      <c r="B1064" s="12" t="s">
        <v>5551</v>
      </c>
      <c r="C1064" s="12" t="s">
        <v>38</v>
      </c>
      <c r="D1064" s="23">
        <v>819.0</v>
      </c>
      <c r="E1064" s="12" t="s">
        <v>5552</v>
      </c>
      <c r="F1064" s="12" t="s">
        <v>5553</v>
      </c>
      <c r="G1064" s="12" t="s">
        <v>340</v>
      </c>
      <c r="H1064" s="12" t="s">
        <v>2473</v>
      </c>
      <c r="I1064" s="23" t="s">
        <v>5554</v>
      </c>
      <c r="J1064" s="12">
        <v>2014.0</v>
      </c>
      <c r="K1064" s="23" t="s">
        <v>5555</v>
      </c>
      <c r="L1064" s="24">
        <v>1.0</v>
      </c>
      <c r="M1064" s="12" t="s">
        <v>340</v>
      </c>
      <c r="N1064" s="26" t="str">
        <f t="shared" si="2"/>
        <v>819
AAM
k</v>
      </c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</row>
    <row r="1065">
      <c r="A1065" s="10">
        <v>1064.0</v>
      </c>
      <c r="B1065" s="12" t="s">
        <v>5556</v>
      </c>
      <c r="C1065" s="12" t="s">
        <v>38</v>
      </c>
      <c r="D1065" s="23">
        <v>813.0</v>
      </c>
      <c r="E1065" s="12" t="s">
        <v>907</v>
      </c>
      <c r="F1065" s="12" t="s">
        <v>5557</v>
      </c>
      <c r="G1065" s="12" t="s">
        <v>5402</v>
      </c>
      <c r="H1065" s="12" t="s">
        <v>3469</v>
      </c>
      <c r="I1065" s="23" t="s">
        <v>5558</v>
      </c>
      <c r="J1065" s="12">
        <v>2014.0</v>
      </c>
      <c r="K1065" s="23">
        <v>52.0</v>
      </c>
      <c r="L1065" s="24">
        <v>1.0</v>
      </c>
      <c r="M1065" s="25" t="s">
        <v>5559</v>
      </c>
      <c r="N1065" s="26" t="str">
        <f t="shared" si="2"/>
        <v>813
IWA
k</v>
      </c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</row>
    <row r="1066">
      <c r="A1066" s="10">
        <v>1065.0</v>
      </c>
      <c r="B1066" s="12" t="s">
        <v>5560</v>
      </c>
      <c r="C1066" s="12" t="s">
        <v>38</v>
      </c>
      <c r="D1066" s="23">
        <v>819.0</v>
      </c>
      <c r="E1066" s="12" t="s">
        <v>2463</v>
      </c>
      <c r="F1066" s="12" t="s">
        <v>2413</v>
      </c>
      <c r="G1066" s="12" t="s">
        <v>3463</v>
      </c>
      <c r="H1066" s="12" t="s">
        <v>1026</v>
      </c>
      <c r="I1066" s="23"/>
      <c r="J1066" s="12">
        <v>2009.0</v>
      </c>
      <c r="K1066" s="23">
        <v>64.0</v>
      </c>
      <c r="L1066" s="24">
        <v>8.0</v>
      </c>
      <c r="M1066" s="25" t="s">
        <v>5561</v>
      </c>
      <c r="N1066" s="26" t="str">
        <f t="shared" si="2"/>
        <v>819
AKU
k</v>
      </c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</row>
    <row r="1067">
      <c r="A1067" s="10">
        <v>1066.0</v>
      </c>
      <c r="B1067" s="12" t="s">
        <v>5562</v>
      </c>
      <c r="C1067" s="12" t="s">
        <v>38</v>
      </c>
      <c r="D1067" s="23">
        <v>811.0</v>
      </c>
      <c r="E1067" s="12" t="s">
        <v>5563</v>
      </c>
      <c r="F1067" s="12" t="s">
        <v>5564</v>
      </c>
      <c r="G1067" s="12"/>
      <c r="H1067" s="12" t="s">
        <v>4124</v>
      </c>
      <c r="I1067" s="23" t="s">
        <v>5565</v>
      </c>
      <c r="J1067" s="12">
        <v>2013.0</v>
      </c>
      <c r="K1067" s="23">
        <v>52.0</v>
      </c>
      <c r="L1067" s="24">
        <v>3.0</v>
      </c>
      <c r="M1067" s="25" t="s">
        <v>5566</v>
      </c>
      <c r="N1067" s="26" t="str">
        <f t="shared" si="2"/>
        <v>811
AGU
k</v>
      </c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</row>
    <row r="1068">
      <c r="A1068" s="10">
        <v>1067.0</v>
      </c>
      <c r="B1068" s="12" t="s">
        <v>5567</v>
      </c>
      <c r="C1068" s="12" t="s">
        <v>38</v>
      </c>
      <c r="D1068" s="23"/>
      <c r="E1068" s="12"/>
      <c r="F1068" s="12" t="s">
        <v>5018</v>
      </c>
      <c r="G1068" s="12" t="s">
        <v>5380</v>
      </c>
      <c r="H1068" s="12" t="s">
        <v>1158</v>
      </c>
      <c r="I1068" s="23"/>
      <c r="J1068" s="12">
        <v>2009.0</v>
      </c>
      <c r="K1068" s="23">
        <v>112.0</v>
      </c>
      <c r="L1068" s="24">
        <v>1.0</v>
      </c>
      <c r="M1068" s="12" t="s">
        <v>340</v>
      </c>
      <c r="N1068" s="26" t="str">
        <f t="shared" si="2"/>
        <v>
DIA
k</v>
      </c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</row>
    <row r="1069">
      <c r="A1069" s="10">
        <v>1068.0</v>
      </c>
      <c r="B1069" s="12" t="s">
        <v>5568</v>
      </c>
      <c r="C1069" s="12" t="s">
        <v>38</v>
      </c>
      <c r="D1069" s="23">
        <v>819.0</v>
      </c>
      <c r="E1069" s="12" t="s">
        <v>2463</v>
      </c>
      <c r="F1069" s="12" t="s">
        <v>5569</v>
      </c>
      <c r="G1069" s="12"/>
      <c r="H1069" s="12" t="s">
        <v>2473</v>
      </c>
      <c r="I1069" s="23" t="s">
        <v>5570</v>
      </c>
      <c r="J1069" s="12">
        <v>2013.0</v>
      </c>
      <c r="K1069" s="23">
        <v>97.0</v>
      </c>
      <c r="L1069" s="24">
        <v>1.0</v>
      </c>
      <c r="M1069" s="25" t="s">
        <v>5571</v>
      </c>
      <c r="N1069" s="26" t="str">
        <f t="shared" si="2"/>
        <v>819
AHM
k</v>
      </c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</row>
    <row r="1070">
      <c r="A1070" s="10">
        <v>1069.0</v>
      </c>
      <c r="B1070" s="12" t="s">
        <v>5572</v>
      </c>
      <c r="C1070" s="12" t="s">
        <v>38</v>
      </c>
      <c r="D1070" s="23"/>
      <c r="E1070" s="12"/>
      <c r="F1070" s="12" t="s">
        <v>5446</v>
      </c>
      <c r="G1070" s="12"/>
      <c r="H1070" s="12" t="s">
        <v>2420</v>
      </c>
      <c r="I1070" s="23"/>
      <c r="J1070" s="12">
        <v>2013.0</v>
      </c>
      <c r="K1070" s="23">
        <v>96.0</v>
      </c>
      <c r="L1070" s="24">
        <v>1.0</v>
      </c>
      <c r="M1070" s="12" t="s">
        <v>340</v>
      </c>
      <c r="N1070" s="26" t="str">
        <f t="shared" si="2"/>
        <v>
TAT
k</v>
      </c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</row>
    <row r="1071">
      <c r="A1071" s="10">
        <v>1070.0</v>
      </c>
      <c r="B1071" s="12" t="s">
        <v>5573</v>
      </c>
      <c r="C1071" s="12" t="s">
        <v>38</v>
      </c>
      <c r="D1071" s="23">
        <v>813.0</v>
      </c>
      <c r="E1071" s="12" t="s">
        <v>5466</v>
      </c>
      <c r="F1071" s="12" t="s">
        <v>5574</v>
      </c>
      <c r="G1071" s="12" t="s">
        <v>2467</v>
      </c>
      <c r="H1071" s="12" t="s">
        <v>5575</v>
      </c>
      <c r="I1071" s="23" t="s">
        <v>5576</v>
      </c>
      <c r="J1071" s="12">
        <v>2015.0</v>
      </c>
      <c r="K1071" s="23">
        <v>64.0</v>
      </c>
      <c r="L1071" s="24">
        <v>2.0</v>
      </c>
      <c r="M1071" s="25" t="s">
        <v>5577</v>
      </c>
      <c r="N1071" s="26" t="str">
        <f t="shared" si="2"/>
        <v>813
SUS
k</v>
      </c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</row>
    <row r="1072">
      <c r="A1072" s="10">
        <v>1071.0</v>
      </c>
      <c r="B1072" s="12" t="s">
        <v>5578</v>
      </c>
      <c r="C1072" s="12" t="s">
        <v>38</v>
      </c>
      <c r="D1072" s="23">
        <v>813.0</v>
      </c>
      <c r="E1072" s="12" t="s">
        <v>5579</v>
      </c>
      <c r="F1072" s="12" t="s">
        <v>1932</v>
      </c>
      <c r="G1072" s="12" t="s">
        <v>1933</v>
      </c>
      <c r="H1072" s="12" t="s">
        <v>5580</v>
      </c>
      <c r="I1072" s="23" t="s">
        <v>5581</v>
      </c>
      <c r="J1072" s="12">
        <v>2015.0</v>
      </c>
      <c r="K1072" s="23">
        <v>60.0</v>
      </c>
      <c r="L1072" s="24">
        <v>6.0</v>
      </c>
      <c r="M1072" s="25" t="s">
        <v>5582</v>
      </c>
      <c r="N1072" s="26" t="str">
        <f t="shared" si="2"/>
        <v>813
BER
k</v>
      </c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</row>
    <row r="1073">
      <c r="A1073" s="10">
        <v>1072.0</v>
      </c>
      <c r="B1073" s="12" t="s">
        <v>5583</v>
      </c>
      <c r="C1073" s="12" t="s">
        <v>38</v>
      </c>
      <c r="D1073" s="23">
        <v>819.0</v>
      </c>
      <c r="E1073" s="12" t="s">
        <v>5485</v>
      </c>
      <c r="F1073" s="12" t="s">
        <v>5584</v>
      </c>
      <c r="G1073" s="12"/>
      <c r="H1073" s="12" t="s">
        <v>5585</v>
      </c>
      <c r="I1073" s="23"/>
      <c r="J1073" s="12">
        <v>2011.0</v>
      </c>
      <c r="K1073" s="23">
        <v>53.0</v>
      </c>
      <c r="L1073" s="24">
        <v>1.0</v>
      </c>
      <c r="M1073" s="38" t="s">
        <v>5586</v>
      </c>
      <c r="N1073" s="26" t="str">
        <f t="shared" si="2"/>
        <v>819
TIM
k</v>
      </c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</row>
    <row r="1074">
      <c r="A1074" s="10">
        <v>1073.0</v>
      </c>
      <c r="B1074" s="12" t="s">
        <v>5587</v>
      </c>
      <c r="C1074" s="12" t="s">
        <v>38</v>
      </c>
      <c r="D1074" s="23">
        <v>813.0</v>
      </c>
      <c r="E1074" s="12" t="s">
        <v>64</v>
      </c>
      <c r="F1074" s="12" t="s">
        <v>5588</v>
      </c>
      <c r="G1074" s="12"/>
      <c r="H1074" s="12" t="s">
        <v>5353</v>
      </c>
      <c r="I1074" s="23">
        <v>9.789795051952E12</v>
      </c>
      <c r="J1074" s="12">
        <v>2009.0</v>
      </c>
      <c r="K1074" s="23">
        <v>138.0</v>
      </c>
      <c r="L1074" s="24">
        <v>2.0</v>
      </c>
      <c r="M1074" s="38" t="s">
        <v>5589</v>
      </c>
      <c r="N1074" s="26" t="str">
        <f t="shared" si="2"/>
        <v>813
YUD
k</v>
      </c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</row>
    <row r="1075">
      <c r="A1075" s="10">
        <v>1074.0</v>
      </c>
      <c r="B1075" s="12" t="s">
        <v>5590</v>
      </c>
      <c r="C1075" s="12" t="s">
        <v>38</v>
      </c>
      <c r="D1075" s="23">
        <v>813.0</v>
      </c>
      <c r="E1075" s="12" t="s">
        <v>5466</v>
      </c>
      <c r="F1075" s="12" t="s">
        <v>5591</v>
      </c>
      <c r="G1075" s="12" t="s">
        <v>340</v>
      </c>
      <c r="H1075" s="12" t="s">
        <v>5353</v>
      </c>
      <c r="I1075" s="23">
        <v>9.789795051851E12</v>
      </c>
      <c r="J1075" s="12">
        <v>2009.0</v>
      </c>
      <c r="K1075" s="23" t="s">
        <v>2316</v>
      </c>
      <c r="L1075" s="24">
        <v>6.0</v>
      </c>
      <c r="M1075" s="25" t="s">
        <v>5592</v>
      </c>
      <c r="N1075" s="26" t="str">
        <f t="shared" si="2"/>
        <v>813
RAN
k</v>
      </c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</row>
    <row r="1076">
      <c r="A1076" s="10">
        <v>1075.0</v>
      </c>
      <c r="B1076" s="12" t="s">
        <v>5593</v>
      </c>
      <c r="C1076" s="12" t="s">
        <v>38</v>
      </c>
      <c r="D1076" s="23">
        <v>811.0</v>
      </c>
      <c r="E1076" s="12" t="s">
        <v>5594</v>
      </c>
      <c r="F1076" s="12" t="s">
        <v>5595</v>
      </c>
      <c r="G1076" s="12" t="s">
        <v>340</v>
      </c>
      <c r="H1076" s="12" t="s">
        <v>5596</v>
      </c>
      <c r="I1076" s="23" t="s">
        <v>5597</v>
      </c>
      <c r="J1076" s="12">
        <v>2012.0</v>
      </c>
      <c r="K1076" s="23" t="s">
        <v>5598</v>
      </c>
      <c r="L1076" s="24">
        <v>1.0</v>
      </c>
      <c r="M1076" s="25" t="s">
        <v>5599</v>
      </c>
      <c r="N1076" s="26" t="str">
        <f t="shared" si="2"/>
        <v>811
SUS
l</v>
      </c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</row>
    <row r="1077">
      <c r="A1077" s="10">
        <v>1076.0</v>
      </c>
      <c r="B1077" s="12" t="s">
        <v>5600</v>
      </c>
      <c r="C1077" s="12" t="s">
        <v>38</v>
      </c>
      <c r="D1077" s="23">
        <v>813.0</v>
      </c>
      <c r="E1077" s="12" t="s">
        <v>907</v>
      </c>
      <c r="F1077" s="12" t="s">
        <v>5601</v>
      </c>
      <c r="G1077" s="12" t="s">
        <v>5602</v>
      </c>
      <c r="H1077" s="12" t="s">
        <v>2314</v>
      </c>
      <c r="I1077" s="23" t="s">
        <v>5603</v>
      </c>
      <c r="J1077" s="12">
        <v>2007.0</v>
      </c>
      <c r="K1077" s="23">
        <v>100.0</v>
      </c>
      <c r="L1077" s="24">
        <v>1.0</v>
      </c>
      <c r="M1077" s="12" t="s">
        <v>340</v>
      </c>
      <c r="N1077" s="26" t="str">
        <f t="shared" si="2"/>
        <v>813
Drs
l</v>
      </c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</row>
    <row r="1078">
      <c r="A1078" s="10">
        <v>1077.0</v>
      </c>
      <c r="B1078" s="12" t="s">
        <v>5604</v>
      </c>
      <c r="C1078" s="12" t="s">
        <v>38</v>
      </c>
      <c r="D1078" s="23"/>
      <c r="E1078" s="12"/>
      <c r="F1078" s="12" t="s">
        <v>5605</v>
      </c>
      <c r="G1078" s="12" t="s">
        <v>5480</v>
      </c>
      <c r="H1078" s="12" t="s">
        <v>623</v>
      </c>
      <c r="I1078" s="23" t="s">
        <v>5606</v>
      </c>
      <c r="J1078" s="12">
        <v>2009.0</v>
      </c>
      <c r="K1078" s="23" t="s">
        <v>2410</v>
      </c>
      <c r="L1078" s="24">
        <v>3.0</v>
      </c>
      <c r="M1078" s="12" t="s">
        <v>340</v>
      </c>
      <c r="N1078" s="26" t="str">
        <f t="shared" si="2"/>
        <v>
MUH
l</v>
      </c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</row>
    <row r="1079">
      <c r="A1079" s="10">
        <v>1078.0</v>
      </c>
      <c r="B1079" s="12" t="s">
        <v>5607</v>
      </c>
      <c r="C1079" s="12" t="s">
        <v>38</v>
      </c>
      <c r="D1079" s="23">
        <v>819.0</v>
      </c>
      <c r="E1079" s="12" t="s">
        <v>2803</v>
      </c>
      <c r="F1079" s="12" t="s">
        <v>5608</v>
      </c>
      <c r="G1079" s="12" t="s">
        <v>5480</v>
      </c>
      <c r="H1079" s="12" t="s">
        <v>623</v>
      </c>
      <c r="I1079" s="23">
        <v>9.789796782857E12</v>
      </c>
      <c r="J1079" s="12">
        <v>2009.0</v>
      </c>
      <c r="K1079" s="23" t="s">
        <v>4233</v>
      </c>
      <c r="L1079" s="24">
        <v>5.0</v>
      </c>
      <c r="M1079" s="25" t="s">
        <v>5609</v>
      </c>
      <c r="N1079" s="26" t="str">
        <f t="shared" si="2"/>
        <v>819
MAR
m</v>
      </c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</row>
    <row r="1080">
      <c r="A1080" s="10">
        <v>1079.0</v>
      </c>
      <c r="B1080" s="12" t="s">
        <v>5610</v>
      </c>
      <c r="C1080" s="12" t="s">
        <v>38</v>
      </c>
      <c r="D1080" s="23">
        <v>823.0</v>
      </c>
      <c r="E1080" s="12" t="s">
        <v>2437</v>
      </c>
      <c r="F1080" s="12" t="s">
        <v>5611</v>
      </c>
      <c r="G1080" s="12" t="s">
        <v>2467</v>
      </c>
      <c r="H1080" s="12" t="s">
        <v>5612</v>
      </c>
      <c r="I1080" s="23" t="s">
        <v>5613</v>
      </c>
      <c r="J1080" s="12">
        <v>2010.0</v>
      </c>
      <c r="K1080" s="23" t="s">
        <v>5413</v>
      </c>
      <c r="L1080" s="24">
        <v>2.0</v>
      </c>
      <c r="M1080" s="38" t="s">
        <v>5614</v>
      </c>
      <c r="N1080" s="26" t="str">
        <f t="shared" si="2"/>
        <v>823
PER
m</v>
      </c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</row>
    <row r="1081">
      <c r="A1081" s="10">
        <v>1080.0</v>
      </c>
      <c r="B1081" s="12" t="s">
        <v>5615</v>
      </c>
      <c r="C1081" s="12" t="s">
        <v>38</v>
      </c>
      <c r="D1081" s="23">
        <v>813.0</v>
      </c>
      <c r="E1081" s="12" t="s">
        <v>64</v>
      </c>
      <c r="F1081" s="12" t="s">
        <v>2472</v>
      </c>
      <c r="G1081" s="12"/>
      <c r="H1081" s="12" t="s">
        <v>5207</v>
      </c>
      <c r="I1081" s="23" t="s">
        <v>5616</v>
      </c>
      <c r="J1081" s="12">
        <v>2006.0</v>
      </c>
      <c r="K1081" s="23">
        <v>144.0</v>
      </c>
      <c r="L1081" s="24">
        <v>1.0</v>
      </c>
      <c r="M1081" s="25" t="s">
        <v>5617</v>
      </c>
      <c r="N1081" s="26" t="str">
        <f t="shared" si="2"/>
        <v>813
AJI
m</v>
      </c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</row>
    <row r="1082">
      <c r="A1082" s="10">
        <v>1081.0</v>
      </c>
      <c r="B1082" s="12" t="s">
        <v>5618</v>
      </c>
      <c r="C1082" s="12" t="s">
        <v>38</v>
      </c>
      <c r="D1082" s="23">
        <v>819.0</v>
      </c>
      <c r="E1082" s="12" t="s">
        <v>2401</v>
      </c>
      <c r="F1082" s="12" t="s">
        <v>5619</v>
      </c>
      <c r="G1082" s="12" t="s">
        <v>5480</v>
      </c>
      <c r="H1082" s="12" t="s">
        <v>623</v>
      </c>
      <c r="I1082" s="23"/>
      <c r="J1082" s="12">
        <v>2009.0</v>
      </c>
      <c r="K1082" s="23">
        <v>64.0</v>
      </c>
      <c r="L1082" s="24">
        <v>7.0</v>
      </c>
      <c r="M1082" s="38" t="s">
        <v>5620</v>
      </c>
      <c r="N1082" s="26" t="str">
        <f t="shared" si="2"/>
        <v>819
DIA
b</v>
      </c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</row>
    <row r="1083">
      <c r="A1083" s="10">
        <v>1082.0</v>
      </c>
      <c r="B1083" s="12" t="s">
        <v>5621</v>
      </c>
      <c r="C1083" s="12" t="s">
        <v>38</v>
      </c>
      <c r="D1083" s="23">
        <v>812.0</v>
      </c>
      <c r="E1083" s="12" t="s">
        <v>5454</v>
      </c>
      <c r="F1083" s="12" t="s">
        <v>5622</v>
      </c>
      <c r="G1083" s="12"/>
      <c r="H1083" s="12" t="s">
        <v>3732</v>
      </c>
      <c r="I1083" s="23" t="s">
        <v>5623</v>
      </c>
      <c r="J1083" s="12"/>
      <c r="K1083" s="23">
        <v>108.0</v>
      </c>
      <c r="L1083" s="24">
        <v>1.0</v>
      </c>
      <c r="M1083" s="12" t="s">
        <v>340</v>
      </c>
      <c r="N1083" s="26" t="str">
        <f t="shared" si="2"/>
        <v>812
WIS
j</v>
      </c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</row>
    <row r="1084">
      <c r="A1084" s="10">
        <v>1083.0</v>
      </c>
      <c r="B1084" s="12" t="s">
        <v>5624</v>
      </c>
      <c r="C1084" s="12" t="s">
        <v>38</v>
      </c>
      <c r="D1084" s="23">
        <v>819.0</v>
      </c>
      <c r="E1084" s="12" t="s">
        <v>2401</v>
      </c>
      <c r="F1084" s="12" t="s">
        <v>5625</v>
      </c>
      <c r="G1084" s="12"/>
      <c r="H1084" s="12" t="s">
        <v>1158</v>
      </c>
      <c r="I1084" s="23"/>
      <c r="J1084" s="12">
        <v>2009.0</v>
      </c>
      <c r="K1084" s="23">
        <v>48.0</v>
      </c>
      <c r="L1084" s="24">
        <v>2.0</v>
      </c>
      <c r="M1084" s="25" t="s">
        <v>5626</v>
      </c>
      <c r="N1084" s="26" t="str">
        <f t="shared" si="2"/>
        <v>819
HIL
b</v>
      </c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</row>
    <row r="1085">
      <c r="A1085" s="10">
        <v>1084.0</v>
      </c>
      <c r="B1085" s="12" t="s">
        <v>5627</v>
      </c>
      <c r="C1085" s="12" t="s">
        <v>38</v>
      </c>
      <c r="D1085" s="23"/>
      <c r="E1085" s="12"/>
      <c r="F1085" s="12" t="s">
        <v>5628</v>
      </c>
      <c r="G1085" s="12"/>
      <c r="H1085" s="12" t="s">
        <v>5629</v>
      </c>
      <c r="I1085" s="23" t="s">
        <v>5630</v>
      </c>
      <c r="J1085" s="12">
        <v>1992.0</v>
      </c>
      <c r="K1085" s="23">
        <v>150.0</v>
      </c>
      <c r="L1085" s="24">
        <v>1.0</v>
      </c>
      <c r="M1085" s="12" t="s">
        <v>340</v>
      </c>
      <c r="N1085" s="26" t="str">
        <f t="shared" si="2"/>
        <v>
ARM
b</v>
      </c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</row>
    <row r="1086">
      <c r="A1086" s="10">
        <v>1085.0</v>
      </c>
      <c r="B1086" s="12" t="s">
        <v>5631</v>
      </c>
      <c r="C1086" s="12" t="s">
        <v>38</v>
      </c>
      <c r="D1086" s="23">
        <v>813.0</v>
      </c>
      <c r="E1086" s="12" t="s">
        <v>3933</v>
      </c>
      <c r="F1086" s="12" t="s">
        <v>5632</v>
      </c>
      <c r="G1086" s="12"/>
      <c r="H1086" s="12" t="s">
        <v>5353</v>
      </c>
      <c r="I1086" s="23">
        <v>9.789795051244E12</v>
      </c>
      <c r="J1086" s="12">
        <v>2009.0</v>
      </c>
      <c r="K1086" s="23" t="s">
        <v>5633</v>
      </c>
      <c r="L1086" s="24">
        <v>6.0</v>
      </c>
      <c r="M1086" s="25" t="s">
        <v>5634</v>
      </c>
      <c r="N1086" s="26" t="str">
        <f t="shared" si="2"/>
        <v>813
RIS
b</v>
      </c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</row>
    <row r="1087">
      <c r="A1087" s="10">
        <v>1086.0</v>
      </c>
      <c r="B1087" s="12" t="s">
        <v>5635</v>
      </c>
      <c r="C1087" s="12" t="s">
        <v>38</v>
      </c>
      <c r="D1087" s="23"/>
      <c r="E1087" s="12"/>
      <c r="F1087" s="12" t="s">
        <v>5486</v>
      </c>
      <c r="G1087" s="12" t="s">
        <v>5480</v>
      </c>
      <c r="H1087" s="12" t="s">
        <v>623</v>
      </c>
      <c r="I1087" s="23"/>
      <c r="J1087" s="12">
        <v>2009.0</v>
      </c>
      <c r="K1087" s="23">
        <v>63.0</v>
      </c>
      <c r="L1087" s="24">
        <v>1.0</v>
      </c>
      <c r="M1087" s="12" t="s">
        <v>340</v>
      </c>
      <c r="N1087" s="26" t="str">
        <f t="shared" si="2"/>
        <v>
SUP
b</v>
      </c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</row>
    <row r="1088">
      <c r="A1088" s="10">
        <v>1087.0</v>
      </c>
      <c r="B1088" s="12" t="s">
        <v>5636</v>
      </c>
      <c r="C1088" s="12" t="s">
        <v>38</v>
      </c>
      <c r="D1088" s="23">
        <v>819.0</v>
      </c>
      <c r="E1088" s="12" t="s">
        <v>2401</v>
      </c>
      <c r="F1088" s="12" t="s">
        <v>5637</v>
      </c>
      <c r="G1088" s="12"/>
      <c r="H1088" s="12" t="s">
        <v>2420</v>
      </c>
      <c r="I1088" s="23"/>
      <c r="J1088" s="12">
        <v>2019.0</v>
      </c>
      <c r="K1088" s="23">
        <v>64.0</v>
      </c>
      <c r="L1088" s="24">
        <v>1.0</v>
      </c>
      <c r="M1088" s="25" t="s">
        <v>5638</v>
      </c>
      <c r="N1088" s="26" t="str">
        <f t="shared" si="2"/>
        <v>819
HID
b</v>
      </c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</row>
    <row r="1089">
      <c r="A1089" s="10">
        <v>1088.0</v>
      </c>
      <c r="B1089" s="12" t="s">
        <v>5639</v>
      </c>
      <c r="C1089" s="12" t="s">
        <v>38</v>
      </c>
      <c r="D1089" s="23">
        <v>819.0</v>
      </c>
      <c r="E1089" s="12" t="s">
        <v>2401</v>
      </c>
      <c r="F1089" s="12" t="s">
        <v>5640</v>
      </c>
      <c r="G1089" s="12"/>
      <c r="H1089" s="12" t="s">
        <v>2909</v>
      </c>
      <c r="I1089" s="23"/>
      <c r="J1089" s="12">
        <v>2008.0</v>
      </c>
      <c r="K1089" s="23">
        <v>184.0</v>
      </c>
      <c r="L1089" s="24">
        <v>2.0</v>
      </c>
      <c r="M1089" s="38" t="s">
        <v>5641</v>
      </c>
      <c r="N1089" s="26" t="str">
        <f t="shared" si="2"/>
        <v>819
SAC
b</v>
      </c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</row>
    <row r="1090">
      <c r="A1090" s="10">
        <v>1089.0</v>
      </c>
      <c r="B1090" s="12" t="s">
        <v>5642</v>
      </c>
      <c r="C1090" s="12" t="s">
        <v>38</v>
      </c>
      <c r="D1090" s="23">
        <v>819.0</v>
      </c>
      <c r="E1090" s="12" t="s">
        <v>2463</v>
      </c>
      <c r="F1090" s="12" t="s">
        <v>5643</v>
      </c>
      <c r="G1090" s="12" t="s">
        <v>5487</v>
      </c>
      <c r="H1090" s="12" t="s">
        <v>1179</v>
      </c>
      <c r="I1090" s="23"/>
      <c r="J1090" s="12">
        <v>2009.0</v>
      </c>
      <c r="K1090" s="23">
        <v>32.0</v>
      </c>
      <c r="L1090" s="24">
        <v>8.0</v>
      </c>
      <c r="M1090" s="25" t="s">
        <v>5644</v>
      </c>
      <c r="N1090" s="26" t="str">
        <f t="shared" si="2"/>
        <v>819
AHM
b</v>
      </c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</row>
    <row r="1091">
      <c r="A1091" s="10">
        <v>1090.0</v>
      </c>
      <c r="B1091" s="12" t="s">
        <v>5645</v>
      </c>
      <c r="C1091" s="12" t="s">
        <v>229</v>
      </c>
      <c r="D1091" s="23" t="s">
        <v>1856</v>
      </c>
      <c r="E1091" s="12" t="s">
        <v>1898</v>
      </c>
      <c r="F1091" s="12" t="s">
        <v>5646</v>
      </c>
      <c r="G1091" s="12"/>
      <c r="H1091" s="12" t="s">
        <v>5647</v>
      </c>
      <c r="I1091" s="23"/>
      <c r="J1091" s="12"/>
      <c r="K1091" s="23">
        <v>64.0</v>
      </c>
      <c r="L1091" s="24">
        <v>1.0</v>
      </c>
      <c r="M1091" s="25" t="s">
        <v>5648</v>
      </c>
      <c r="N1091" s="26" t="str">
        <f t="shared" si="2"/>
        <v>398.2
MB.
m</v>
      </c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</row>
    <row r="1092">
      <c r="A1092" s="10">
        <v>1091.0</v>
      </c>
      <c r="B1092" s="12" t="s">
        <v>5649</v>
      </c>
      <c r="C1092" s="12" t="s">
        <v>38</v>
      </c>
      <c r="D1092" s="23">
        <v>819.0</v>
      </c>
      <c r="E1092" s="12" t="s">
        <v>2463</v>
      </c>
      <c r="F1092" s="12" t="s">
        <v>2413</v>
      </c>
      <c r="G1092" s="12"/>
      <c r="H1092" s="12" t="s">
        <v>2420</v>
      </c>
      <c r="I1092" s="23"/>
      <c r="J1092" s="12"/>
      <c r="K1092" s="23">
        <v>63.0</v>
      </c>
      <c r="L1092" s="24">
        <v>2.0</v>
      </c>
      <c r="M1092" s="25" t="s">
        <v>5650</v>
      </c>
      <c r="N1092" s="26" t="str">
        <f t="shared" si="2"/>
        <v>819
AKU
m</v>
      </c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</row>
    <row r="1093">
      <c r="A1093" s="10">
        <v>1092.0</v>
      </c>
      <c r="B1093" s="12" t="s">
        <v>5651</v>
      </c>
      <c r="C1093" s="12" t="s">
        <v>38</v>
      </c>
      <c r="D1093" s="23">
        <v>813.0</v>
      </c>
      <c r="E1093" s="12" t="s">
        <v>5107</v>
      </c>
      <c r="F1093" s="12" t="s">
        <v>5652</v>
      </c>
      <c r="G1093" s="12" t="s">
        <v>5653</v>
      </c>
      <c r="H1093" s="12" t="s">
        <v>5654</v>
      </c>
      <c r="I1093" s="23"/>
      <c r="J1093" s="12">
        <v>2015.0</v>
      </c>
      <c r="K1093" s="23">
        <v>112.0</v>
      </c>
      <c r="L1093" s="24">
        <v>3.0</v>
      </c>
      <c r="M1093" s="38" t="s">
        <v>5655</v>
      </c>
      <c r="N1093" s="26" t="str">
        <f t="shared" si="2"/>
        <v>813
RAS
m</v>
      </c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</row>
    <row r="1094">
      <c r="A1094" s="10">
        <v>1093.0</v>
      </c>
      <c r="B1094" s="12" t="s">
        <v>5656</v>
      </c>
      <c r="C1094" s="12" t="s">
        <v>38</v>
      </c>
      <c r="D1094" s="23">
        <v>813.0</v>
      </c>
      <c r="E1094" s="12" t="s">
        <v>64</v>
      </c>
      <c r="F1094" s="12" t="s">
        <v>5652</v>
      </c>
      <c r="G1094" s="12" t="s">
        <v>5653</v>
      </c>
      <c r="H1094" s="12" t="s">
        <v>5657</v>
      </c>
      <c r="I1094" s="23">
        <v>9.789790636095E12</v>
      </c>
      <c r="J1094" s="12">
        <v>2015.0</v>
      </c>
      <c r="K1094" s="23" t="s">
        <v>5658</v>
      </c>
      <c r="L1094" s="24">
        <v>2.0</v>
      </c>
      <c r="M1094" s="25" t="s">
        <v>5659</v>
      </c>
      <c r="N1094" s="26" t="str">
        <f t="shared" si="2"/>
        <v>813
RAS
m</v>
      </c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</row>
    <row r="1095">
      <c r="A1095" s="10">
        <v>1094.0</v>
      </c>
      <c r="B1095" s="12" t="s">
        <v>5660</v>
      </c>
      <c r="C1095" s="12" t="s">
        <v>38</v>
      </c>
      <c r="D1095" s="23">
        <v>813.0</v>
      </c>
      <c r="E1095" s="12" t="s">
        <v>64</v>
      </c>
      <c r="F1095" s="12" t="s">
        <v>5365</v>
      </c>
      <c r="G1095" s="12" t="s">
        <v>5661</v>
      </c>
      <c r="H1095" s="12" t="s">
        <v>762</v>
      </c>
      <c r="I1095" s="23" t="s">
        <v>5662</v>
      </c>
      <c r="J1095" s="12">
        <v>2015.0</v>
      </c>
      <c r="K1095" s="23" t="s">
        <v>5663</v>
      </c>
      <c r="L1095" s="24">
        <v>3.0</v>
      </c>
      <c r="M1095" s="25" t="s">
        <v>5664</v>
      </c>
      <c r="N1095" s="26" t="str">
        <f t="shared" si="2"/>
        <v>813
TIE
n</v>
      </c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</row>
    <row r="1096">
      <c r="A1096" s="10">
        <v>1095.0</v>
      </c>
      <c r="B1096" s="12" t="s">
        <v>5665</v>
      </c>
      <c r="C1096" s="12" t="s">
        <v>38</v>
      </c>
      <c r="D1096" s="23">
        <v>823.0</v>
      </c>
      <c r="E1096" s="12" t="s">
        <v>2437</v>
      </c>
      <c r="F1096" s="12" t="s">
        <v>5666</v>
      </c>
      <c r="G1096" s="12" t="s">
        <v>4455</v>
      </c>
      <c r="H1096" s="12" t="s">
        <v>4809</v>
      </c>
      <c r="I1096" s="23">
        <v>9.786029432954E12</v>
      </c>
      <c r="J1096" s="12">
        <v>2015.0</v>
      </c>
      <c r="K1096" s="23" t="s">
        <v>2410</v>
      </c>
      <c r="L1096" s="24">
        <v>5.0</v>
      </c>
      <c r="M1096" s="38" t="s">
        <v>5667</v>
      </c>
      <c r="N1096" s="26" t="str">
        <f t="shared" si="2"/>
        <v>823
KIN
m</v>
      </c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</row>
    <row r="1097">
      <c r="A1097" s="10">
        <v>1096.0</v>
      </c>
      <c r="B1097" s="12" t="s">
        <v>5668</v>
      </c>
      <c r="C1097" s="12" t="s">
        <v>38</v>
      </c>
      <c r="D1097" s="23"/>
      <c r="E1097" s="12"/>
      <c r="F1097" s="12" t="s">
        <v>5669</v>
      </c>
      <c r="G1097" s="12"/>
      <c r="H1097" s="12" t="s">
        <v>2420</v>
      </c>
      <c r="I1097" s="23"/>
      <c r="J1097" s="12">
        <v>2012.0</v>
      </c>
      <c r="K1097" s="23">
        <v>106.0</v>
      </c>
      <c r="L1097" s="24">
        <v>1.0</v>
      </c>
      <c r="M1097" s="12" t="s">
        <v>340</v>
      </c>
      <c r="N1097" s="26" t="str">
        <f t="shared" si="2"/>
        <v>
NAZ
n</v>
      </c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</row>
    <row r="1098">
      <c r="A1098" s="10">
        <v>1097.0</v>
      </c>
      <c r="B1098" s="12" t="s">
        <v>5670</v>
      </c>
      <c r="C1098" s="12" t="s">
        <v>38</v>
      </c>
      <c r="D1098" s="23">
        <v>819.0</v>
      </c>
      <c r="E1098" s="12" t="s">
        <v>5671</v>
      </c>
      <c r="F1098" s="12" t="s">
        <v>5672</v>
      </c>
      <c r="G1098" s="12" t="s">
        <v>3499</v>
      </c>
      <c r="H1098" s="12" t="s">
        <v>1026</v>
      </c>
      <c r="I1098" s="23" t="s">
        <v>5673</v>
      </c>
      <c r="J1098" s="12">
        <v>2009.0</v>
      </c>
      <c r="K1098" s="23" t="s">
        <v>5674</v>
      </c>
      <c r="L1098" s="24">
        <v>1.0</v>
      </c>
      <c r="M1098" s="25" t="s">
        <v>5675</v>
      </c>
      <c r="N1098" s="26" t="str">
        <f t="shared" si="2"/>
        <v>819
DED
n</v>
      </c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</row>
    <row r="1099">
      <c r="A1099" s="10">
        <v>1098.0</v>
      </c>
      <c r="B1099" s="12" t="s">
        <v>5676</v>
      </c>
      <c r="C1099" s="12" t="s">
        <v>38</v>
      </c>
      <c r="D1099" s="23">
        <v>819.0</v>
      </c>
      <c r="E1099" s="12" t="s">
        <v>2463</v>
      </c>
      <c r="F1099" s="12" t="s">
        <v>5677</v>
      </c>
      <c r="G1099" s="12" t="s">
        <v>5678</v>
      </c>
      <c r="H1099" s="12" t="s">
        <v>623</v>
      </c>
      <c r="I1099" s="23"/>
      <c r="J1099" s="12">
        <v>2009.0</v>
      </c>
      <c r="K1099" s="23">
        <v>64.0</v>
      </c>
      <c r="L1099" s="24">
        <v>1.0</v>
      </c>
      <c r="M1099" s="25" t="s">
        <v>5679</v>
      </c>
      <c r="N1099" s="26" t="str">
        <f t="shared" si="2"/>
        <v>819
SUG
n</v>
      </c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</row>
    <row r="1100">
      <c r="A1100" s="10">
        <v>1099.0</v>
      </c>
      <c r="B1100" s="12" t="s">
        <v>5680</v>
      </c>
      <c r="C1100" s="12" t="s">
        <v>38</v>
      </c>
      <c r="D1100" s="23">
        <v>819.0</v>
      </c>
      <c r="E1100" s="12" t="s">
        <v>2401</v>
      </c>
      <c r="F1100" s="12" t="s">
        <v>5473</v>
      </c>
      <c r="G1100" s="12" t="s">
        <v>340</v>
      </c>
      <c r="H1100" s="12" t="s">
        <v>2420</v>
      </c>
      <c r="I1100" s="23" t="s">
        <v>340</v>
      </c>
      <c r="J1100" s="12">
        <v>2009.0</v>
      </c>
      <c r="K1100" s="23" t="s">
        <v>5658</v>
      </c>
      <c r="L1100" s="24">
        <v>7.0</v>
      </c>
      <c r="M1100" s="38" t="s">
        <v>5681</v>
      </c>
      <c r="N1100" s="26" t="str">
        <f t="shared" si="2"/>
        <v>819
TAU
p</v>
      </c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</row>
    <row r="1101">
      <c r="A1101" s="10">
        <v>1100.0</v>
      </c>
      <c r="B1101" s="12" t="s">
        <v>5682</v>
      </c>
      <c r="C1101" s="12" t="s">
        <v>38</v>
      </c>
      <c r="D1101" s="23">
        <v>819.0</v>
      </c>
      <c r="E1101" s="12" t="s">
        <v>2463</v>
      </c>
      <c r="F1101" s="12" t="s">
        <v>5569</v>
      </c>
      <c r="G1101" s="12"/>
      <c r="H1101" s="12" t="s">
        <v>2473</v>
      </c>
      <c r="I1101" s="23" t="s">
        <v>5683</v>
      </c>
      <c r="J1101" s="12">
        <v>2013.0</v>
      </c>
      <c r="K1101" s="23">
        <v>64.0</v>
      </c>
      <c r="L1101" s="24">
        <v>1.0</v>
      </c>
      <c r="M1101" s="25" t="s">
        <v>5684</v>
      </c>
      <c r="N1101" s="26" t="str">
        <f t="shared" si="2"/>
        <v>819
AHM
p</v>
      </c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</row>
    <row r="1102">
      <c r="A1102" s="10">
        <v>1101.0</v>
      </c>
      <c r="B1102" s="12" t="s">
        <v>5685</v>
      </c>
      <c r="C1102" s="12" t="s">
        <v>38</v>
      </c>
      <c r="D1102" s="23">
        <v>813.0</v>
      </c>
      <c r="E1102" s="12" t="s">
        <v>5107</v>
      </c>
      <c r="F1102" s="12" t="s">
        <v>5686</v>
      </c>
      <c r="G1102" s="12"/>
      <c r="H1102" s="12" t="s">
        <v>1786</v>
      </c>
      <c r="I1102" s="23"/>
      <c r="J1102" s="12">
        <v>2001.0</v>
      </c>
      <c r="K1102" s="23">
        <v>104.0</v>
      </c>
      <c r="L1102" s="24">
        <v>5.0</v>
      </c>
      <c r="M1102" s="38" t="s">
        <v>5687</v>
      </c>
      <c r="N1102" s="26" t="str">
        <f t="shared" si="2"/>
        <v>813
IMA
p</v>
      </c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</row>
    <row r="1103">
      <c r="A1103" s="10">
        <v>1102.0</v>
      </c>
      <c r="B1103" s="12" t="s">
        <v>5688</v>
      </c>
      <c r="C1103" s="12" t="s">
        <v>38</v>
      </c>
      <c r="D1103" s="23">
        <v>819.0</v>
      </c>
      <c r="E1103" s="12" t="s">
        <v>2401</v>
      </c>
      <c r="F1103" s="12" t="s">
        <v>5689</v>
      </c>
      <c r="G1103" s="12" t="s">
        <v>5480</v>
      </c>
      <c r="H1103" s="12" t="s">
        <v>623</v>
      </c>
      <c r="I1103" s="23" t="s">
        <v>5690</v>
      </c>
      <c r="J1103" s="12">
        <v>2009.0</v>
      </c>
      <c r="K1103" s="23" t="s">
        <v>2415</v>
      </c>
      <c r="L1103" s="24">
        <v>7.0</v>
      </c>
      <c r="M1103" s="38" t="s">
        <v>5691</v>
      </c>
      <c r="N1103" s="26" t="str">
        <f t="shared" si="2"/>
        <v>819
MUH
p</v>
      </c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</row>
    <row r="1104">
      <c r="A1104" s="10">
        <v>1103.0</v>
      </c>
      <c r="B1104" s="12" t="s">
        <v>5692</v>
      </c>
      <c r="C1104" s="12" t="s">
        <v>38</v>
      </c>
      <c r="D1104" s="23" t="s">
        <v>5693</v>
      </c>
      <c r="E1104" s="12" t="s">
        <v>5694</v>
      </c>
      <c r="F1104" s="12" t="s">
        <v>5695</v>
      </c>
      <c r="G1104" s="12"/>
      <c r="H1104" s="12" t="s">
        <v>5696</v>
      </c>
      <c r="I1104" s="23" t="s">
        <v>5697</v>
      </c>
      <c r="J1104" s="12">
        <v>2009.0</v>
      </c>
      <c r="K1104" s="23">
        <v>140.0</v>
      </c>
      <c r="L1104" s="24">
        <v>1.0</v>
      </c>
      <c r="M1104" s="25" t="s">
        <v>5698</v>
      </c>
      <c r="N1104" s="26" t="str">
        <f t="shared" si="2"/>
        <v>809.1
SAP
p</v>
      </c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</row>
    <row r="1105">
      <c r="A1105" s="10">
        <v>1104.0</v>
      </c>
      <c r="B1105" s="12" t="s">
        <v>5699</v>
      </c>
      <c r="C1105" s="12" t="s">
        <v>38</v>
      </c>
      <c r="D1105" s="23">
        <v>811.0</v>
      </c>
      <c r="E1105" s="12" t="s">
        <v>486</v>
      </c>
      <c r="F1105" s="12" t="s">
        <v>5700</v>
      </c>
      <c r="G1105" s="12" t="s">
        <v>5701</v>
      </c>
      <c r="H1105" s="12" t="s">
        <v>5702</v>
      </c>
      <c r="I1105" s="23" t="s">
        <v>5703</v>
      </c>
      <c r="J1105" s="12">
        <v>2005.0</v>
      </c>
      <c r="K1105" s="23">
        <v>83.0</v>
      </c>
      <c r="L1105" s="24">
        <v>1.0</v>
      </c>
      <c r="M1105" s="25" t="s">
        <v>5704</v>
      </c>
      <c r="N1105" s="26" t="str">
        <f t="shared" si="2"/>
        <v>811
AND
k</v>
      </c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</row>
    <row r="1106">
      <c r="A1106" s="10">
        <v>1105.0</v>
      </c>
      <c r="B1106" s="12" t="s">
        <v>5705</v>
      </c>
      <c r="C1106" s="12" t="s">
        <v>38</v>
      </c>
      <c r="D1106" s="23">
        <v>823.0</v>
      </c>
      <c r="E1106" s="12" t="s">
        <v>2437</v>
      </c>
      <c r="F1106" s="12" t="s">
        <v>5706</v>
      </c>
      <c r="G1106" s="12" t="s">
        <v>2713</v>
      </c>
      <c r="H1106" s="12" t="s">
        <v>5528</v>
      </c>
      <c r="I1106" s="23" t="s">
        <v>5707</v>
      </c>
      <c r="J1106" s="12">
        <v>2010.0</v>
      </c>
      <c r="K1106" s="23" t="s">
        <v>5413</v>
      </c>
      <c r="L1106" s="24">
        <v>2.0</v>
      </c>
      <c r="M1106" s="38" t="s">
        <v>5708</v>
      </c>
      <c r="N1106" s="26" t="str">
        <f t="shared" si="2"/>
        <v>823
SON
p</v>
      </c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</row>
    <row r="1107">
      <c r="A1107" s="10">
        <v>1106.0</v>
      </c>
      <c r="B1107" s="12" t="s">
        <v>5709</v>
      </c>
      <c r="C1107" s="12" t="s">
        <v>38</v>
      </c>
      <c r="D1107" s="23">
        <v>813.0</v>
      </c>
      <c r="E1107" s="12" t="s">
        <v>5710</v>
      </c>
      <c r="F1107" s="12" t="s">
        <v>5711</v>
      </c>
      <c r="G1107" s="12"/>
      <c r="H1107" s="12" t="s">
        <v>1786</v>
      </c>
      <c r="I1107" s="23">
        <v>9.789795051994E12</v>
      </c>
      <c r="J1107" s="12">
        <v>2009.0</v>
      </c>
      <c r="K1107" s="23">
        <v>90.0</v>
      </c>
      <c r="L1107" s="24">
        <v>6.0</v>
      </c>
      <c r="M1107" s="25" t="s">
        <v>5712</v>
      </c>
      <c r="N1107" s="26" t="str">
        <f t="shared" si="2"/>
        <v>813
NUR
r</v>
      </c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</row>
    <row r="1108">
      <c r="A1108" s="10">
        <v>1107.0</v>
      </c>
      <c r="B1108" s="12" t="s">
        <v>5713</v>
      </c>
      <c r="C1108" s="12" t="s">
        <v>38</v>
      </c>
      <c r="D1108" s="23">
        <v>823.0</v>
      </c>
      <c r="E1108" s="12" t="s">
        <v>5714</v>
      </c>
      <c r="F1108" s="12" t="s">
        <v>5715</v>
      </c>
      <c r="G1108" s="12" t="s">
        <v>5716</v>
      </c>
      <c r="H1108" s="12" t="s">
        <v>5509</v>
      </c>
      <c r="I1108" s="23" t="s">
        <v>5510</v>
      </c>
      <c r="J1108" s="12">
        <v>2010.0</v>
      </c>
      <c r="K1108" s="23">
        <v>64.0</v>
      </c>
      <c r="L1108" s="24">
        <v>2.0</v>
      </c>
      <c r="M1108" s="25" t="s">
        <v>5717</v>
      </c>
      <c r="N1108" s="26" t="str">
        <f t="shared" si="2"/>
        <v>823
YOY
r</v>
      </c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</row>
    <row r="1109">
      <c r="A1109" s="10">
        <v>1108.0</v>
      </c>
      <c r="B1109" s="12" t="s">
        <v>5718</v>
      </c>
      <c r="C1109" s="12" t="s">
        <v>38</v>
      </c>
      <c r="D1109" s="23">
        <v>813.0</v>
      </c>
      <c r="E1109" s="12" t="s">
        <v>64</v>
      </c>
      <c r="F1109" s="12" t="s">
        <v>5719</v>
      </c>
      <c r="G1109" s="12"/>
      <c r="H1109" s="12" t="s">
        <v>5353</v>
      </c>
      <c r="I1109" s="23">
        <v>9.78979505121E12</v>
      </c>
      <c r="J1109" s="12">
        <v>2009.0</v>
      </c>
      <c r="K1109" s="23">
        <v>102.0</v>
      </c>
      <c r="L1109" s="24">
        <v>10.0</v>
      </c>
      <c r="M1109" s="25" t="s">
        <v>5720</v>
      </c>
      <c r="N1109" s="26" t="str">
        <f t="shared" si="2"/>
        <v>813
SYA
r</v>
      </c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</row>
    <row r="1110">
      <c r="A1110" s="10">
        <v>1109.0</v>
      </c>
      <c r="B1110" s="12" t="s">
        <v>5721</v>
      </c>
      <c r="C1110" s="12" t="s">
        <v>38</v>
      </c>
      <c r="D1110" s="23">
        <v>819.0</v>
      </c>
      <c r="E1110" s="12" t="s">
        <v>2463</v>
      </c>
      <c r="F1110" s="12" t="s">
        <v>5722</v>
      </c>
      <c r="G1110" s="12"/>
      <c r="H1110" s="12" t="s">
        <v>2420</v>
      </c>
      <c r="I1110" s="23"/>
      <c r="J1110" s="12">
        <v>2011.0</v>
      </c>
      <c r="K1110" s="23">
        <v>96.0</v>
      </c>
      <c r="L1110" s="24">
        <v>2.0</v>
      </c>
      <c r="M1110" s="25" t="s">
        <v>5723</v>
      </c>
      <c r="N1110" s="26" t="str">
        <f t="shared" si="2"/>
        <v>819
AAN
r</v>
      </c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</row>
    <row r="1111">
      <c r="A1111" s="10">
        <v>1110.0</v>
      </c>
      <c r="B1111" s="12" t="s">
        <v>5724</v>
      </c>
      <c r="C1111" s="12" t="s">
        <v>38</v>
      </c>
      <c r="D1111" s="23" t="s">
        <v>445</v>
      </c>
      <c r="E1111" s="12" t="s">
        <v>64</v>
      </c>
      <c r="F1111" s="12" t="s">
        <v>5725</v>
      </c>
      <c r="G1111" s="12" t="s">
        <v>340</v>
      </c>
      <c r="H1111" s="12" t="s">
        <v>5353</v>
      </c>
      <c r="I1111" s="23">
        <v>9.789795051236E12</v>
      </c>
      <c r="J1111" s="12">
        <v>2009.0</v>
      </c>
      <c r="K1111" s="23" t="s">
        <v>5726</v>
      </c>
      <c r="L1111" s="24">
        <v>6.0</v>
      </c>
      <c r="M1111" s="38" t="s">
        <v>5727</v>
      </c>
      <c r="N1111" s="26" t="str">
        <f t="shared" si="2"/>
        <v>813
GUG
r</v>
      </c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</row>
    <row r="1112">
      <c r="A1112" s="10">
        <v>1111.0</v>
      </c>
      <c r="B1112" s="12" t="s">
        <v>5728</v>
      </c>
      <c r="C1112" s="12" t="s">
        <v>38</v>
      </c>
      <c r="D1112" s="23">
        <v>819.0</v>
      </c>
      <c r="E1112" s="12" t="s">
        <v>5729</v>
      </c>
      <c r="F1112" s="12" t="s">
        <v>5730</v>
      </c>
      <c r="G1112" s="12" t="s">
        <v>2408</v>
      </c>
      <c r="H1112" s="12" t="s">
        <v>1158</v>
      </c>
      <c r="I1112" s="23" t="s">
        <v>5731</v>
      </c>
      <c r="J1112" s="12">
        <v>2009.0</v>
      </c>
      <c r="K1112" s="23" t="s">
        <v>2410</v>
      </c>
      <c r="L1112" s="24">
        <v>3.0</v>
      </c>
      <c r="M1112" s="12" t="s">
        <v>340</v>
      </c>
      <c r="N1112" s="26" t="str">
        <f t="shared" si="2"/>
        <v>819
Drs
s</v>
      </c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</row>
    <row r="1113">
      <c r="A1113" s="10">
        <v>1112.0</v>
      </c>
      <c r="B1113" s="12" t="s">
        <v>5732</v>
      </c>
      <c r="C1113" s="12" t="s">
        <v>38</v>
      </c>
      <c r="D1113" s="23" t="s">
        <v>445</v>
      </c>
      <c r="E1113" s="22" t="s">
        <v>5296</v>
      </c>
      <c r="F1113" s="12" t="s">
        <v>5733</v>
      </c>
      <c r="G1113" s="12" t="s">
        <v>340</v>
      </c>
      <c r="H1113" s="12" t="s">
        <v>5353</v>
      </c>
      <c r="I1113" s="23">
        <v>9.789795057986E12</v>
      </c>
      <c r="J1113" s="12">
        <v>2009.0</v>
      </c>
      <c r="K1113" s="23" t="s">
        <v>4212</v>
      </c>
      <c r="L1113" s="24">
        <v>9.0</v>
      </c>
      <c r="M1113" s="25" t="s">
        <v>5734</v>
      </c>
      <c r="N1113" s="26" t="str">
        <f t="shared" si="2"/>
        <v>813
MAR
s</v>
      </c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</row>
    <row r="1114">
      <c r="A1114" s="10">
        <v>1113.0</v>
      </c>
      <c r="B1114" s="12" t="s">
        <v>5735</v>
      </c>
      <c r="C1114" s="12" t="s">
        <v>38</v>
      </c>
      <c r="D1114" s="23"/>
      <c r="E1114" s="12"/>
      <c r="F1114" s="12" t="s">
        <v>5736</v>
      </c>
      <c r="G1114" s="12" t="s">
        <v>1933</v>
      </c>
      <c r="H1114" s="12" t="s">
        <v>5509</v>
      </c>
      <c r="I1114" s="23" t="s">
        <v>5737</v>
      </c>
      <c r="J1114" s="12">
        <v>2015.0</v>
      </c>
      <c r="K1114" s="23">
        <v>60.0</v>
      </c>
      <c r="L1114" s="24">
        <v>2.0</v>
      </c>
      <c r="M1114" s="12" t="s">
        <v>340</v>
      </c>
      <c r="N1114" s="26" t="str">
        <f t="shared" si="2"/>
        <v>
ARM
s</v>
      </c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</row>
    <row r="1115">
      <c r="A1115" s="10">
        <v>1114.0</v>
      </c>
      <c r="B1115" s="12" t="s">
        <v>5738</v>
      </c>
      <c r="C1115" s="12" t="s">
        <v>38</v>
      </c>
      <c r="D1115" s="23"/>
      <c r="E1115" s="12"/>
      <c r="F1115" s="12" t="s">
        <v>5739</v>
      </c>
      <c r="G1115" s="12" t="s">
        <v>1933</v>
      </c>
      <c r="H1115" s="12" t="s">
        <v>5740</v>
      </c>
      <c r="I1115" s="23" t="s">
        <v>5741</v>
      </c>
      <c r="J1115" s="12">
        <v>2012.0</v>
      </c>
      <c r="K1115" s="23">
        <v>64.0</v>
      </c>
      <c r="L1115" s="24">
        <v>1.0</v>
      </c>
      <c r="M1115" s="12" t="s">
        <v>340</v>
      </c>
      <c r="N1115" s="26" t="str">
        <f t="shared" si="2"/>
        <v>
SRI
a</v>
      </c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</row>
    <row r="1116">
      <c r="A1116" s="10">
        <v>1115.0</v>
      </c>
      <c r="B1116" s="12" t="s">
        <v>5742</v>
      </c>
      <c r="C1116" s="12" t="s">
        <v>38</v>
      </c>
      <c r="D1116" s="23">
        <v>819.0</v>
      </c>
      <c r="E1116" s="12" t="s">
        <v>2401</v>
      </c>
      <c r="F1116" s="12" t="s">
        <v>5743</v>
      </c>
      <c r="G1116" s="12" t="s">
        <v>5480</v>
      </c>
      <c r="H1116" s="12" t="s">
        <v>623</v>
      </c>
      <c r="I1116" s="23"/>
      <c r="J1116" s="12">
        <v>2009.0</v>
      </c>
      <c r="K1116" s="23">
        <v>80.0</v>
      </c>
      <c r="L1116" s="24">
        <v>1.0</v>
      </c>
      <c r="M1116" s="25" t="s">
        <v>5744</v>
      </c>
      <c r="N1116" s="26" t="str">
        <f t="shared" si="2"/>
        <v>819
NAZ
s</v>
      </c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</row>
    <row r="1117">
      <c r="A1117" s="10">
        <v>1116.0</v>
      </c>
      <c r="B1117" s="12" t="s">
        <v>5745</v>
      </c>
      <c r="C1117" s="12" t="s">
        <v>38</v>
      </c>
      <c r="D1117" s="23"/>
      <c r="E1117" s="12"/>
      <c r="F1117" s="12" t="s">
        <v>5341</v>
      </c>
      <c r="G1117" s="12" t="s">
        <v>2472</v>
      </c>
      <c r="H1117" s="12" t="s">
        <v>2473</v>
      </c>
      <c r="I1117" s="23"/>
      <c r="J1117" s="12">
        <v>2009.0</v>
      </c>
      <c r="K1117" s="23">
        <v>71.0</v>
      </c>
      <c r="L1117" s="24">
        <v>3.0</v>
      </c>
      <c r="M1117" s="12" t="s">
        <v>340</v>
      </c>
      <c r="N1117" s="26" t="str">
        <f t="shared" si="2"/>
        <v>
MOH
s</v>
      </c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</row>
    <row r="1118">
      <c r="A1118" s="10">
        <v>1117.0</v>
      </c>
      <c r="B1118" s="12" t="s">
        <v>5746</v>
      </c>
      <c r="C1118" s="12" t="s">
        <v>38</v>
      </c>
      <c r="D1118" s="23" t="s">
        <v>5484</v>
      </c>
      <c r="E1118" s="12" t="s">
        <v>2463</v>
      </c>
      <c r="F1118" s="12" t="s">
        <v>5747</v>
      </c>
      <c r="G1118" s="12" t="s">
        <v>340</v>
      </c>
      <c r="H1118" s="12" t="s">
        <v>5748</v>
      </c>
      <c r="I1118" s="23" t="s">
        <v>340</v>
      </c>
      <c r="J1118" s="12">
        <v>2003.0</v>
      </c>
      <c r="K1118" s="23" t="s">
        <v>5749</v>
      </c>
      <c r="L1118" s="24">
        <v>3.0</v>
      </c>
      <c r="M1118" s="38" t="s">
        <v>5750</v>
      </c>
      <c r="N1118" s="26" t="str">
        <f t="shared" si="2"/>
        <v>819
UMB
s</v>
      </c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</row>
    <row r="1119">
      <c r="A1119" s="10">
        <v>1118.0</v>
      </c>
      <c r="B1119" s="12" t="s">
        <v>5751</v>
      </c>
      <c r="C1119" s="12" t="s">
        <v>38</v>
      </c>
      <c r="D1119" s="23">
        <v>819.0</v>
      </c>
      <c r="E1119" s="12" t="s">
        <v>5671</v>
      </c>
      <c r="F1119" s="12" t="s">
        <v>5752</v>
      </c>
      <c r="G1119" s="12" t="s">
        <v>3669</v>
      </c>
      <c r="H1119" s="12" t="s">
        <v>1026</v>
      </c>
      <c r="I1119" s="23" t="s">
        <v>5753</v>
      </c>
      <c r="J1119" s="12">
        <v>2009.0</v>
      </c>
      <c r="K1119" s="23" t="s">
        <v>2415</v>
      </c>
      <c r="L1119" s="24">
        <v>6.0</v>
      </c>
      <c r="M1119" s="25" t="s">
        <v>5754</v>
      </c>
      <c r="N1119" s="26" t="str">
        <f t="shared" si="2"/>
        <v>819
NAR
s</v>
      </c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</row>
    <row r="1120">
      <c r="A1120" s="10">
        <v>1119.0</v>
      </c>
      <c r="B1120" s="12" t="s">
        <v>5755</v>
      </c>
      <c r="C1120" s="12" t="s">
        <v>38</v>
      </c>
      <c r="D1120" s="23">
        <v>819.0</v>
      </c>
      <c r="E1120" s="12" t="s">
        <v>2463</v>
      </c>
      <c r="F1120" s="12" t="s">
        <v>5756</v>
      </c>
      <c r="G1120" s="12" t="s">
        <v>2408</v>
      </c>
      <c r="H1120" s="12" t="s">
        <v>1158</v>
      </c>
      <c r="I1120" s="23" t="s">
        <v>5757</v>
      </c>
      <c r="J1120" s="12">
        <v>2009.0</v>
      </c>
      <c r="K1120" s="23" t="s">
        <v>2410</v>
      </c>
      <c r="L1120" s="24">
        <v>1.0</v>
      </c>
      <c r="M1120" s="12" t="s">
        <v>340</v>
      </c>
      <c r="N1120" s="26" t="str">
        <f t="shared" si="2"/>
        <v>819
Y. 
s</v>
      </c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</row>
    <row r="1121">
      <c r="A1121" s="10">
        <v>1120.0</v>
      </c>
      <c r="B1121" s="12" t="s">
        <v>5758</v>
      </c>
      <c r="C1121" s="12" t="s">
        <v>38</v>
      </c>
      <c r="D1121" s="23" t="s">
        <v>5484</v>
      </c>
      <c r="E1121" s="12" t="s">
        <v>2401</v>
      </c>
      <c r="F1121" s="12" t="s">
        <v>5759</v>
      </c>
      <c r="G1121" s="12" t="s">
        <v>5760</v>
      </c>
      <c r="H1121" s="12" t="s">
        <v>1158</v>
      </c>
      <c r="I1121" s="23" t="s">
        <v>5761</v>
      </c>
      <c r="J1121" s="12">
        <v>2009.0</v>
      </c>
      <c r="K1121" s="23" t="s">
        <v>2453</v>
      </c>
      <c r="L1121" s="24">
        <v>6.0</v>
      </c>
      <c r="M1121" s="25" t="s">
        <v>5762</v>
      </c>
      <c r="N1121" s="26" t="str">
        <f t="shared" si="2"/>
        <v>819
KAR
k</v>
      </c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</row>
    <row r="1122">
      <c r="A1122" s="10">
        <v>1121.0</v>
      </c>
      <c r="B1122" s="12" t="s">
        <v>5763</v>
      </c>
      <c r="C1122" s="12" t="s">
        <v>38</v>
      </c>
      <c r="D1122" s="23"/>
      <c r="E1122" s="12"/>
      <c r="F1122" s="12" t="s">
        <v>2847</v>
      </c>
      <c r="G1122" s="12" t="s">
        <v>5524</v>
      </c>
      <c r="H1122" s="12" t="s">
        <v>1026</v>
      </c>
      <c r="I1122" s="23"/>
      <c r="J1122" s="12">
        <v>2009.0</v>
      </c>
      <c r="K1122" s="23">
        <v>96.0</v>
      </c>
      <c r="L1122" s="24">
        <v>5.0</v>
      </c>
      <c r="M1122" s="12" t="s">
        <v>340</v>
      </c>
      <c r="N1122" s="26" t="str">
        <f t="shared" si="2"/>
        <v>
AHM
s</v>
      </c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</row>
    <row r="1123">
      <c r="A1123" s="10">
        <v>1122.0</v>
      </c>
      <c r="B1123" s="12" t="s">
        <v>5764</v>
      </c>
      <c r="C1123" s="12" t="s">
        <v>38</v>
      </c>
      <c r="D1123" s="23" t="s">
        <v>5310</v>
      </c>
      <c r="E1123" s="12" t="s">
        <v>5311</v>
      </c>
      <c r="F1123" s="12" t="s">
        <v>5765</v>
      </c>
      <c r="G1123" s="12" t="s">
        <v>2408</v>
      </c>
      <c r="H1123" s="12" t="s">
        <v>1158</v>
      </c>
      <c r="I1123" s="23">
        <v>9.789792417487E12</v>
      </c>
      <c r="J1123" s="12">
        <v>2009.0</v>
      </c>
      <c r="K1123" s="23">
        <v>63.0</v>
      </c>
      <c r="L1123" s="24">
        <v>1.0</v>
      </c>
      <c r="M1123" s="25" t="s">
        <v>5766</v>
      </c>
      <c r="N1123" s="26" t="str">
        <f t="shared" si="2"/>
        <v>899
RUS
s</v>
      </c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</row>
    <row r="1124">
      <c r="A1124" s="10">
        <v>1123.0</v>
      </c>
      <c r="B1124" s="12" t="s">
        <v>5767</v>
      </c>
      <c r="C1124" s="12" t="s">
        <v>38</v>
      </c>
      <c r="D1124" s="23">
        <v>819.0</v>
      </c>
      <c r="E1124" s="12" t="s">
        <v>2463</v>
      </c>
      <c r="F1124" s="12" t="s">
        <v>5768</v>
      </c>
      <c r="G1124" s="12" t="s">
        <v>3499</v>
      </c>
      <c r="H1124" s="12" t="s">
        <v>1026</v>
      </c>
      <c r="I1124" s="23"/>
      <c r="J1124" s="12">
        <v>2011.0</v>
      </c>
      <c r="K1124" s="23">
        <v>64.0</v>
      </c>
      <c r="L1124" s="24">
        <v>4.0</v>
      </c>
      <c r="M1124" s="25" t="s">
        <v>5769</v>
      </c>
      <c r="N1124" s="26" t="str">
        <f t="shared" si="2"/>
        <v>819
NIL
s</v>
      </c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</row>
    <row r="1125">
      <c r="A1125" s="10">
        <v>1124.0</v>
      </c>
      <c r="B1125" s="12" t="s">
        <v>5770</v>
      </c>
      <c r="C1125" s="12" t="s">
        <v>38</v>
      </c>
      <c r="D1125" s="23">
        <v>819.0</v>
      </c>
      <c r="E1125" s="12" t="s">
        <v>2401</v>
      </c>
      <c r="F1125" s="12" t="s">
        <v>5771</v>
      </c>
      <c r="G1125" s="12" t="s">
        <v>5480</v>
      </c>
      <c r="H1125" s="12" t="s">
        <v>623</v>
      </c>
      <c r="I1125" s="23"/>
      <c r="J1125" s="12">
        <v>2009.0</v>
      </c>
      <c r="K1125" s="23">
        <v>56.0</v>
      </c>
      <c r="L1125" s="24">
        <v>1.0</v>
      </c>
      <c r="M1125" s="38" t="s">
        <v>5772</v>
      </c>
      <c r="N1125" s="26" t="str">
        <f t="shared" si="2"/>
        <v>819
ARK
t</v>
      </c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</row>
    <row r="1126">
      <c r="A1126" s="10">
        <v>1125.0</v>
      </c>
      <c r="B1126" s="12" t="s">
        <v>5773</v>
      </c>
      <c r="C1126" s="12" t="s">
        <v>38</v>
      </c>
      <c r="D1126" s="23">
        <v>823.0</v>
      </c>
      <c r="E1126" s="12" t="s">
        <v>5774</v>
      </c>
      <c r="F1126" s="12" t="s">
        <v>1932</v>
      </c>
      <c r="G1126" s="12" t="s">
        <v>5775</v>
      </c>
      <c r="H1126" s="12" t="s">
        <v>5528</v>
      </c>
      <c r="I1126" s="23" t="s">
        <v>5776</v>
      </c>
      <c r="J1126" s="12">
        <v>2010.0</v>
      </c>
      <c r="K1126" s="23" t="s">
        <v>5413</v>
      </c>
      <c r="L1126" s="24">
        <v>2.0</v>
      </c>
      <c r="M1126" s="38" t="s">
        <v>5777</v>
      </c>
      <c r="N1126" s="26" t="str">
        <f t="shared" si="2"/>
        <v>823
BER
t</v>
      </c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</row>
    <row r="1127">
      <c r="A1127" s="10">
        <v>1126.0</v>
      </c>
      <c r="B1127" s="12" t="s">
        <v>5778</v>
      </c>
      <c r="C1127" s="12" t="s">
        <v>38</v>
      </c>
      <c r="D1127" s="23">
        <v>823.0</v>
      </c>
      <c r="E1127" s="12" t="s">
        <v>5714</v>
      </c>
      <c r="F1127" s="12" t="s">
        <v>5779</v>
      </c>
      <c r="G1127" s="12" t="s">
        <v>5345</v>
      </c>
      <c r="H1127" s="12" t="s">
        <v>5612</v>
      </c>
      <c r="I1127" s="23" t="s">
        <v>5780</v>
      </c>
      <c r="J1127" s="12">
        <v>2010.0</v>
      </c>
      <c r="K1127" s="23" t="s">
        <v>5413</v>
      </c>
      <c r="L1127" s="24">
        <v>2.0</v>
      </c>
      <c r="M1127" s="25" t="s">
        <v>5781</v>
      </c>
      <c r="N1127" s="26" t="str">
        <f t="shared" si="2"/>
        <v>823
N. 
a</v>
      </c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</row>
    <row r="1128">
      <c r="A1128" s="10">
        <v>1127.0</v>
      </c>
      <c r="B1128" s="12" t="s">
        <v>5782</v>
      </c>
      <c r="C1128" s="12" t="s">
        <v>38</v>
      </c>
      <c r="D1128" s="23">
        <v>823.0</v>
      </c>
      <c r="E1128" s="12" t="s">
        <v>2437</v>
      </c>
      <c r="F1128" s="12" t="s">
        <v>5783</v>
      </c>
      <c r="G1128" s="12" t="s">
        <v>1948</v>
      </c>
      <c r="H1128" s="12" t="s">
        <v>3264</v>
      </c>
      <c r="I1128" s="23" t="s">
        <v>5784</v>
      </c>
      <c r="J1128" s="12">
        <v>2010.0</v>
      </c>
      <c r="K1128" s="23" t="s">
        <v>5413</v>
      </c>
      <c r="L1128" s="24">
        <v>2.0</v>
      </c>
      <c r="M1128" s="38" t="s">
        <v>5785</v>
      </c>
      <c r="N1128" s="26" t="str">
        <f t="shared" si="2"/>
        <v>823
FER
t</v>
      </c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</row>
    <row r="1129">
      <c r="A1129" s="10">
        <v>1128.0</v>
      </c>
      <c r="B1129" s="12" t="s">
        <v>5786</v>
      </c>
      <c r="C1129" s="12" t="s">
        <v>38</v>
      </c>
      <c r="D1129" s="23">
        <v>811.0</v>
      </c>
      <c r="E1129" s="12" t="s">
        <v>486</v>
      </c>
      <c r="F1129" s="12" t="s">
        <v>5787</v>
      </c>
      <c r="G1129" s="12" t="s">
        <v>481</v>
      </c>
      <c r="H1129" s="12" t="s">
        <v>534</v>
      </c>
      <c r="I1129" s="23" t="s">
        <v>5788</v>
      </c>
      <c r="J1129" s="12">
        <v>2015.0</v>
      </c>
      <c r="K1129" s="23">
        <v>74.0</v>
      </c>
      <c r="L1129" s="24">
        <v>3.0</v>
      </c>
      <c r="M1129" s="25" t="s">
        <v>5789</v>
      </c>
      <c r="N1129" s="26" t="str">
        <f t="shared" si="2"/>
        <v>811
EFD
k</v>
      </c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</row>
    <row r="1130">
      <c r="A1130" s="10">
        <v>1129.0</v>
      </c>
      <c r="B1130" s="12" t="s">
        <v>5790</v>
      </c>
      <c r="C1130" s="12" t="s">
        <v>38</v>
      </c>
      <c r="D1130" s="23">
        <v>819.0</v>
      </c>
      <c r="E1130" s="12" t="s">
        <v>2401</v>
      </c>
      <c r="F1130" s="12" t="s">
        <v>5486</v>
      </c>
      <c r="G1130" s="12" t="s">
        <v>3499</v>
      </c>
      <c r="H1130" s="12" t="s">
        <v>1026</v>
      </c>
      <c r="I1130" s="23" t="s">
        <v>5791</v>
      </c>
      <c r="J1130" s="12">
        <v>2009.0</v>
      </c>
      <c r="K1130" s="23" t="s">
        <v>2849</v>
      </c>
      <c r="L1130" s="24">
        <v>8.0</v>
      </c>
      <c r="M1130" s="25" t="s">
        <v>5792</v>
      </c>
      <c r="N1130" s="26" t="str">
        <f t="shared" si="2"/>
        <v>819
SUP
t</v>
      </c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</row>
    <row r="1131">
      <c r="A1131" s="10">
        <v>1130.0</v>
      </c>
      <c r="B1131" s="12" t="s">
        <v>5793</v>
      </c>
      <c r="C1131" s="12" t="s">
        <v>38</v>
      </c>
      <c r="D1131" s="23">
        <v>819.0</v>
      </c>
      <c r="E1131" s="12" t="s">
        <v>2463</v>
      </c>
      <c r="F1131" s="12" t="s">
        <v>2413</v>
      </c>
      <c r="G1131" s="12"/>
      <c r="H1131" s="12" t="s">
        <v>2420</v>
      </c>
      <c r="I1131" s="23"/>
      <c r="J1131" s="12">
        <v>2013.0</v>
      </c>
      <c r="K1131" s="23">
        <v>67.0</v>
      </c>
      <c r="L1131" s="24">
        <v>1.0</v>
      </c>
      <c r="M1131" s="25" t="s">
        <v>5794</v>
      </c>
      <c r="N1131" s="26" t="str">
        <f t="shared" si="2"/>
        <v>819
AKU
t</v>
      </c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</row>
    <row r="1132">
      <c r="A1132" s="10">
        <v>1131.0</v>
      </c>
      <c r="B1132" s="12" t="s">
        <v>5795</v>
      </c>
      <c r="C1132" s="12" t="s">
        <v>38</v>
      </c>
      <c r="D1132" s="23">
        <v>819.0</v>
      </c>
      <c r="E1132" s="12" t="s">
        <v>2401</v>
      </c>
      <c r="F1132" s="12" t="s">
        <v>5796</v>
      </c>
      <c r="G1132" s="12" t="s">
        <v>3499</v>
      </c>
      <c r="H1132" s="12" t="s">
        <v>1026</v>
      </c>
      <c r="I1132" s="23"/>
      <c r="J1132" s="12">
        <v>2009.0</v>
      </c>
      <c r="K1132" s="23">
        <v>80.0</v>
      </c>
      <c r="L1132" s="24">
        <v>1.0</v>
      </c>
      <c r="M1132" s="38" t="s">
        <v>5797</v>
      </c>
      <c r="N1132" s="26" t="str">
        <f t="shared" si="2"/>
        <v>819
FIR
t</v>
      </c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</row>
    <row r="1133">
      <c r="A1133" s="10">
        <v>1132.0</v>
      </c>
      <c r="B1133" s="12" t="s">
        <v>5798</v>
      </c>
      <c r="C1133" s="12" t="s">
        <v>38</v>
      </c>
      <c r="D1133" s="23">
        <v>819.0</v>
      </c>
      <c r="E1133" s="12" t="s">
        <v>5594</v>
      </c>
      <c r="F1133" s="12" t="s">
        <v>5799</v>
      </c>
      <c r="G1133" s="12"/>
      <c r="H1133" s="12" t="s">
        <v>2420</v>
      </c>
      <c r="I1133" s="23"/>
      <c r="J1133" s="12">
        <v>2011.0</v>
      </c>
      <c r="K1133" s="23">
        <v>68.0</v>
      </c>
      <c r="L1133" s="24">
        <v>1.0</v>
      </c>
      <c r="M1133" s="25" t="s">
        <v>5800</v>
      </c>
      <c r="N1133" s="26" t="str">
        <f t="shared" si="2"/>
        <v>819
WAH
u</v>
      </c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</row>
    <row r="1134">
      <c r="A1134" s="10">
        <v>1133.0</v>
      </c>
      <c r="B1134" s="12" t="s">
        <v>5801</v>
      </c>
      <c r="C1134" s="12" t="s">
        <v>38</v>
      </c>
      <c r="D1134" s="23"/>
      <c r="E1134" s="12"/>
      <c r="F1134" s="12" t="s">
        <v>5802</v>
      </c>
      <c r="G1134" s="12" t="s">
        <v>5380</v>
      </c>
      <c r="H1134" s="12" t="s">
        <v>1158</v>
      </c>
      <c r="I1134" s="23"/>
      <c r="J1134" s="12">
        <v>2009.0</v>
      </c>
      <c r="K1134" s="23">
        <v>64.0</v>
      </c>
      <c r="L1134" s="24">
        <v>2.0</v>
      </c>
      <c r="M1134" s="12" t="s">
        <v>340</v>
      </c>
      <c r="N1134" s="26" t="str">
        <f t="shared" si="2"/>
        <v>
M.K
w</v>
      </c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</row>
    <row r="1135">
      <c r="A1135" s="10">
        <v>1134.0</v>
      </c>
      <c r="B1135" s="12" t="s">
        <v>5803</v>
      </c>
      <c r="C1135" s="12" t="s">
        <v>38</v>
      </c>
      <c r="D1135" s="23">
        <v>823.0</v>
      </c>
      <c r="E1135" s="12" t="s">
        <v>2437</v>
      </c>
      <c r="F1135" s="12" t="s">
        <v>5739</v>
      </c>
      <c r="G1135" s="12" t="s">
        <v>1933</v>
      </c>
      <c r="H1135" s="12" t="s">
        <v>5740</v>
      </c>
      <c r="I1135" s="23" t="s">
        <v>5804</v>
      </c>
      <c r="J1135" s="12"/>
      <c r="K1135" s="23">
        <v>80.0</v>
      </c>
      <c r="L1135" s="24">
        <v>1.0</v>
      </c>
      <c r="M1135" s="38" t="s">
        <v>5805</v>
      </c>
      <c r="N1135" s="26" t="str">
        <f t="shared" si="2"/>
        <v>823
SRI
t</v>
      </c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</row>
    <row r="1136">
      <c r="A1136" s="10">
        <v>1135.0</v>
      </c>
      <c r="B1136" s="12" t="s">
        <v>5806</v>
      </c>
      <c r="C1136" s="12" t="s">
        <v>38</v>
      </c>
      <c r="D1136" s="23">
        <v>813.0</v>
      </c>
      <c r="E1136" s="12" t="s">
        <v>3933</v>
      </c>
      <c r="F1136" s="12" t="s">
        <v>5807</v>
      </c>
      <c r="G1136" s="12" t="s">
        <v>5808</v>
      </c>
      <c r="H1136" s="12" t="s">
        <v>2457</v>
      </c>
      <c r="I1136" s="23" t="s">
        <v>5809</v>
      </c>
      <c r="J1136" s="12">
        <v>2014.0</v>
      </c>
      <c r="K1136" s="23">
        <v>108.0</v>
      </c>
      <c r="L1136" s="24">
        <v>1.0</v>
      </c>
      <c r="M1136" s="25" t="s">
        <v>5810</v>
      </c>
      <c r="N1136" s="26" t="str">
        <f t="shared" si="2"/>
        <v>813
S. 
y</v>
      </c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</row>
    <row r="1137">
      <c r="A1137" s="10">
        <v>1136.0</v>
      </c>
      <c r="B1137" s="12" t="s">
        <v>5811</v>
      </c>
      <c r="C1137" s="12" t="s">
        <v>38</v>
      </c>
      <c r="D1137" s="23">
        <v>823.0</v>
      </c>
      <c r="E1137" s="12" t="s">
        <v>2437</v>
      </c>
      <c r="F1137" s="12" t="s">
        <v>5812</v>
      </c>
      <c r="G1137" s="12" t="s">
        <v>5813</v>
      </c>
      <c r="H1137" s="12" t="s">
        <v>5509</v>
      </c>
      <c r="I1137" s="23" t="s">
        <v>5814</v>
      </c>
      <c r="J1137" s="12">
        <v>2010.0</v>
      </c>
      <c r="K1137" s="23" t="s">
        <v>2410</v>
      </c>
      <c r="L1137" s="24">
        <v>1.0</v>
      </c>
      <c r="M1137" s="38" t="s">
        <v>5815</v>
      </c>
      <c r="N1137" s="26" t="str">
        <f t="shared" si="2"/>
        <v>823
WID
y</v>
      </c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</row>
    <row r="1138">
      <c r="A1138" s="10">
        <v>1137.0</v>
      </c>
      <c r="B1138" s="12" t="s">
        <v>5816</v>
      </c>
      <c r="C1138" s="12" t="s">
        <v>38</v>
      </c>
      <c r="D1138" s="23" t="s">
        <v>5817</v>
      </c>
      <c r="E1138" s="12" t="s">
        <v>5818</v>
      </c>
      <c r="F1138" s="12" t="s">
        <v>5819</v>
      </c>
      <c r="G1138" s="12" t="s">
        <v>1933</v>
      </c>
      <c r="H1138" s="12" t="s">
        <v>5820</v>
      </c>
      <c r="I1138" s="23" t="s">
        <v>5821</v>
      </c>
      <c r="J1138" s="12">
        <v>2015.0</v>
      </c>
      <c r="K1138" s="23">
        <v>64.0</v>
      </c>
      <c r="L1138" s="24">
        <v>1.0</v>
      </c>
      <c r="M1138" s="25" t="s">
        <v>5822</v>
      </c>
      <c r="N1138" s="26" t="str">
        <f t="shared" si="2"/>
        <v>808.1
WAH
d</v>
      </c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</row>
    <row r="1139">
      <c r="A1139" s="10">
        <v>1138.0</v>
      </c>
      <c r="B1139" s="12" t="s">
        <v>5823</v>
      </c>
      <c r="C1139" s="12" t="s">
        <v>38</v>
      </c>
      <c r="D1139" s="23"/>
      <c r="E1139" s="12"/>
      <c r="F1139" s="12" t="s">
        <v>5824</v>
      </c>
      <c r="G1139" s="12"/>
      <c r="H1139" s="12" t="s">
        <v>5825</v>
      </c>
      <c r="I1139" s="23" t="s">
        <v>5826</v>
      </c>
      <c r="J1139" s="12">
        <v>1993.0</v>
      </c>
      <c r="K1139" s="23">
        <v>63.0</v>
      </c>
      <c r="L1139" s="24">
        <v>1.0</v>
      </c>
      <c r="M1139" s="12" t="s">
        <v>340</v>
      </c>
      <c r="N1139" s="26" t="str">
        <f t="shared" si="2"/>
        <v>
MED
i</v>
      </c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</row>
    <row r="1140">
      <c r="A1140" s="10">
        <v>1139.0</v>
      </c>
      <c r="B1140" s="12" t="s">
        <v>5827</v>
      </c>
      <c r="C1140" s="12" t="s">
        <v>38</v>
      </c>
      <c r="D1140" s="23">
        <v>820.0</v>
      </c>
      <c r="E1140" s="12" t="s">
        <v>5828</v>
      </c>
      <c r="F1140" s="12" t="s">
        <v>5829</v>
      </c>
      <c r="G1140" s="12" t="s">
        <v>5830</v>
      </c>
      <c r="H1140" s="12" t="s">
        <v>2432</v>
      </c>
      <c r="I1140" s="23" t="s">
        <v>5831</v>
      </c>
      <c r="J1140" s="12">
        <v>2008.0</v>
      </c>
      <c r="K1140" s="23">
        <v>72.0</v>
      </c>
      <c r="L1140" s="24">
        <v>1.0</v>
      </c>
      <c r="M1140" s="25" t="s">
        <v>5832</v>
      </c>
      <c r="N1140" s="26" t="str">
        <f t="shared" si="2"/>
        <v>820
AHM
i</v>
      </c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</row>
    <row r="1141">
      <c r="A1141" s="10">
        <v>1140.0</v>
      </c>
      <c r="B1141" s="12" t="s">
        <v>5833</v>
      </c>
      <c r="C1141" s="12" t="s">
        <v>229</v>
      </c>
      <c r="D1141" s="23" t="s">
        <v>1856</v>
      </c>
      <c r="E1141" s="12" t="s">
        <v>1898</v>
      </c>
      <c r="F1141" s="12" t="s">
        <v>5829</v>
      </c>
      <c r="G1141" s="12" t="s">
        <v>5830</v>
      </c>
      <c r="H1141" s="12" t="s">
        <v>2432</v>
      </c>
      <c r="I1141" s="23" t="s">
        <v>5834</v>
      </c>
      <c r="J1141" s="12">
        <v>2008.0</v>
      </c>
      <c r="K1141" s="23">
        <v>76.0</v>
      </c>
      <c r="L1141" s="24">
        <v>3.0</v>
      </c>
      <c r="M1141" s="25" t="s">
        <v>5835</v>
      </c>
      <c r="N1141" s="26" t="str">
        <f t="shared" si="2"/>
        <v>398.2
AHM
i</v>
      </c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</row>
    <row r="1142">
      <c r="A1142" s="10">
        <v>1141.0</v>
      </c>
      <c r="B1142" s="12" t="s">
        <v>5836</v>
      </c>
      <c r="C1142" s="12" t="s">
        <v>38</v>
      </c>
      <c r="D1142" s="23">
        <v>811.0</v>
      </c>
      <c r="E1142" s="12" t="s">
        <v>486</v>
      </c>
      <c r="F1142" s="12" t="s">
        <v>5837</v>
      </c>
      <c r="G1142" s="12" t="s">
        <v>5838</v>
      </c>
      <c r="H1142" s="12" t="s">
        <v>5702</v>
      </c>
      <c r="I1142" s="23" t="s">
        <v>5839</v>
      </c>
      <c r="J1142" s="12">
        <v>2005.0</v>
      </c>
      <c r="K1142" s="23">
        <v>51.0</v>
      </c>
      <c r="L1142" s="24">
        <v>1.0</v>
      </c>
      <c r="M1142" s="25" t="s">
        <v>5840</v>
      </c>
      <c r="N1142" s="26" t="str">
        <f t="shared" si="2"/>
        <v>811
FEB
k</v>
      </c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</row>
    <row r="1143">
      <c r="A1143" s="10">
        <v>1142.0</v>
      </c>
      <c r="B1143" s="12" t="s">
        <v>5841</v>
      </c>
      <c r="C1143" s="12" t="s">
        <v>38</v>
      </c>
      <c r="D1143" s="23">
        <v>811.0</v>
      </c>
      <c r="E1143" s="12" t="s">
        <v>5563</v>
      </c>
      <c r="F1143" s="12" t="s">
        <v>5842</v>
      </c>
      <c r="G1143" s="12" t="s">
        <v>5843</v>
      </c>
      <c r="H1143" s="12" t="s">
        <v>5844</v>
      </c>
      <c r="I1143" s="23" t="s">
        <v>5845</v>
      </c>
      <c r="J1143" s="12">
        <v>2011.0</v>
      </c>
      <c r="K1143" s="23">
        <v>299.0</v>
      </c>
      <c r="L1143" s="24">
        <v>1.0</v>
      </c>
      <c r="M1143" s="25" t="s">
        <v>5846</v>
      </c>
      <c r="N1143" s="26" t="str">
        <f t="shared" si="2"/>
        <v>811
YOS
k</v>
      </c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</row>
    <row r="1144">
      <c r="A1144" s="10">
        <v>1143.0</v>
      </c>
      <c r="B1144" s="12" t="s">
        <v>5847</v>
      </c>
      <c r="C1144" s="12" t="s">
        <v>38</v>
      </c>
      <c r="D1144" s="23">
        <v>811.0</v>
      </c>
      <c r="E1144" s="12" t="s">
        <v>5563</v>
      </c>
      <c r="F1144" s="12" t="s">
        <v>5848</v>
      </c>
      <c r="G1144" s="12" t="s">
        <v>3048</v>
      </c>
      <c r="H1144" s="12" t="s">
        <v>554</v>
      </c>
      <c r="I1144" s="23" t="s">
        <v>5849</v>
      </c>
      <c r="J1144" s="12">
        <v>2015.0</v>
      </c>
      <c r="K1144" s="23">
        <v>64.0</v>
      </c>
      <c r="L1144" s="24">
        <v>4.0</v>
      </c>
      <c r="M1144" s="25" t="s">
        <v>5850</v>
      </c>
      <c r="N1144" s="26" t="str">
        <f t="shared" si="2"/>
        <v>811
NUR
k</v>
      </c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</row>
    <row r="1145">
      <c r="A1145" s="10">
        <v>1144.0</v>
      </c>
      <c r="B1145" s="12" t="s">
        <v>5851</v>
      </c>
      <c r="C1145" s="12" t="s">
        <v>38</v>
      </c>
      <c r="D1145" s="23">
        <v>811.0</v>
      </c>
      <c r="E1145" s="12" t="s">
        <v>5594</v>
      </c>
      <c r="F1145" s="12" t="s">
        <v>5852</v>
      </c>
      <c r="G1145" s="12" t="s">
        <v>5853</v>
      </c>
      <c r="H1145" s="12" t="s">
        <v>5854</v>
      </c>
      <c r="I1145" s="23"/>
      <c r="J1145" s="12">
        <v>2001.0</v>
      </c>
      <c r="K1145" s="23">
        <v>124.0</v>
      </c>
      <c r="L1145" s="24">
        <v>1.0</v>
      </c>
      <c r="M1145" s="25" t="s">
        <v>5855</v>
      </c>
      <c r="N1145" s="26" t="str">
        <f t="shared" si="2"/>
        <v>811
TOT
k</v>
      </c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</row>
    <row r="1146">
      <c r="A1146" s="10">
        <v>1145.0</v>
      </c>
      <c r="B1146" s="12" t="s">
        <v>5856</v>
      </c>
      <c r="C1146" s="12" t="s">
        <v>226</v>
      </c>
      <c r="D1146" s="23" t="s">
        <v>1406</v>
      </c>
      <c r="E1146" s="12" t="s">
        <v>5857</v>
      </c>
      <c r="F1146" s="12" t="s">
        <v>771</v>
      </c>
      <c r="G1146" s="12"/>
      <c r="H1146" s="12" t="s">
        <v>433</v>
      </c>
      <c r="I1146" s="23"/>
      <c r="J1146" s="12"/>
      <c r="K1146" s="23"/>
      <c r="L1146" s="24">
        <v>1.0</v>
      </c>
      <c r="M1146" s="12" t="s">
        <v>340</v>
      </c>
      <c r="N1146" s="26" t="str">
        <f t="shared" si="2"/>
        <v>297.1
ISM
2</v>
      </c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</row>
    <row r="1147">
      <c r="A1147" s="10">
        <v>1146.0</v>
      </c>
      <c r="B1147" s="12" t="s">
        <v>5858</v>
      </c>
      <c r="C1147" s="12" t="s">
        <v>38</v>
      </c>
      <c r="D1147" s="23">
        <v>811.0</v>
      </c>
      <c r="E1147" s="12" t="s">
        <v>5594</v>
      </c>
      <c r="F1147" s="12" t="s">
        <v>5859</v>
      </c>
      <c r="G1147" s="12"/>
      <c r="H1147" s="12" t="s">
        <v>2613</v>
      </c>
      <c r="I1147" s="23"/>
      <c r="J1147" s="12">
        <v>2009.0</v>
      </c>
      <c r="K1147" s="23">
        <v>87.0</v>
      </c>
      <c r="L1147" s="24">
        <v>1.0</v>
      </c>
      <c r="M1147" s="25" t="s">
        <v>5860</v>
      </c>
      <c r="N1147" s="26" t="str">
        <f t="shared" si="2"/>
        <v>811
CEC
p</v>
      </c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</row>
    <row r="1148">
      <c r="A1148" s="10">
        <v>1147.0</v>
      </c>
      <c r="B1148" s="12" t="s">
        <v>5861</v>
      </c>
      <c r="C1148" s="12" t="s">
        <v>38</v>
      </c>
      <c r="D1148" s="23"/>
      <c r="E1148" s="12"/>
      <c r="F1148" s="12" t="s">
        <v>5206</v>
      </c>
      <c r="G1148" s="12"/>
      <c r="H1148" s="12" t="s">
        <v>5207</v>
      </c>
      <c r="I1148" s="23" t="s">
        <v>5862</v>
      </c>
      <c r="J1148" s="12">
        <v>2013.0</v>
      </c>
      <c r="K1148" s="23">
        <v>72.0</v>
      </c>
      <c r="L1148" s="24">
        <v>1.0</v>
      </c>
      <c r="M1148" s="12" t="s">
        <v>340</v>
      </c>
      <c r="N1148" s="26" t="str">
        <f t="shared" si="2"/>
        <v>
REN
s</v>
      </c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</row>
    <row r="1149">
      <c r="A1149" s="10">
        <v>1148.0</v>
      </c>
      <c r="B1149" s="12" t="s">
        <v>5863</v>
      </c>
      <c r="C1149" s="12" t="s">
        <v>38</v>
      </c>
      <c r="D1149" s="23">
        <v>819.0</v>
      </c>
      <c r="E1149" s="12" t="s">
        <v>2463</v>
      </c>
      <c r="F1149" s="12" t="s">
        <v>5018</v>
      </c>
      <c r="G1149" s="12"/>
      <c r="H1149" s="12" t="s">
        <v>382</v>
      </c>
      <c r="I1149" s="23">
        <v>9.786027785946E12</v>
      </c>
      <c r="J1149" s="12">
        <v>2016.0</v>
      </c>
      <c r="K1149" s="23">
        <v>68.0</v>
      </c>
      <c r="L1149" s="24">
        <v>5.0</v>
      </c>
      <c r="M1149" s="25" t="s">
        <v>5864</v>
      </c>
      <c r="N1149" s="26" t="str">
        <f t="shared" si="2"/>
        <v>819
DIA
b</v>
      </c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</row>
    <row r="1150">
      <c r="A1150" s="10">
        <v>1149.0</v>
      </c>
      <c r="B1150" s="12" t="s">
        <v>5865</v>
      </c>
      <c r="C1150" s="12" t="s">
        <v>38</v>
      </c>
      <c r="D1150" s="23">
        <v>819.0</v>
      </c>
      <c r="E1150" s="12" t="s">
        <v>2463</v>
      </c>
      <c r="F1150" s="12" t="s">
        <v>2413</v>
      </c>
      <c r="G1150" s="12"/>
      <c r="H1150" s="12" t="s">
        <v>382</v>
      </c>
      <c r="I1150" s="23"/>
      <c r="J1150" s="12">
        <v>2018.0</v>
      </c>
      <c r="K1150" s="23">
        <v>48.0</v>
      </c>
      <c r="L1150" s="24">
        <v>6.0</v>
      </c>
      <c r="M1150" s="25" t="s">
        <v>5866</v>
      </c>
      <c r="N1150" s="26" t="str">
        <f t="shared" si="2"/>
        <v>819
AKU
t</v>
      </c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</row>
    <row r="1151">
      <c r="A1151" s="10">
        <v>1150.0</v>
      </c>
      <c r="B1151" s="12" t="s">
        <v>5867</v>
      </c>
      <c r="C1151" s="12" t="s">
        <v>38</v>
      </c>
      <c r="D1151" s="23">
        <v>819.0</v>
      </c>
      <c r="E1151" s="12" t="s">
        <v>2803</v>
      </c>
      <c r="F1151" s="12" t="s">
        <v>1596</v>
      </c>
      <c r="G1151" s="12"/>
      <c r="H1151" s="12" t="s">
        <v>382</v>
      </c>
      <c r="I1151" s="23"/>
      <c r="J1151" s="12">
        <v>2017.0</v>
      </c>
      <c r="K1151" s="23">
        <v>76.0</v>
      </c>
      <c r="L1151" s="24">
        <v>5.0</v>
      </c>
      <c r="M1151" s="25" t="s">
        <v>5868</v>
      </c>
      <c r="N1151" s="26" t="str">
        <f t="shared" si="2"/>
        <v>819
ABD
l</v>
      </c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</row>
    <row r="1152">
      <c r="A1152" s="10">
        <v>1151.0</v>
      </c>
      <c r="B1152" s="12" t="s">
        <v>5869</v>
      </c>
      <c r="C1152" s="12" t="s">
        <v>38</v>
      </c>
      <c r="D1152" s="23">
        <v>819.0</v>
      </c>
      <c r="E1152" s="12" t="s">
        <v>2401</v>
      </c>
      <c r="F1152" s="12" t="s">
        <v>5870</v>
      </c>
      <c r="G1152" s="12" t="s">
        <v>5871</v>
      </c>
      <c r="H1152" s="12" t="s">
        <v>382</v>
      </c>
      <c r="I1152" s="23"/>
      <c r="J1152" s="12">
        <v>2013.0</v>
      </c>
      <c r="K1152" s="23">
        <v>228.0</v>
      </c>
      <c r="L1152" s="24">
        <v>5.0</v>
      </c>
      <c r="M1152" s="38" t="s">
        <v>5872</v>
      </c>
      <c r="N1152" s="26" t="str">
        <f t="shared" si="2"/>
        <v>819
TAT
d</v>
      </c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</row>
    <row r="1153">
      <c r="A1153" s="10">
        <v>1152.0</v>
      </c>
      <c r="B1153" s="12" t="s">
        <v>5873</v>
      </c>
      <c r="C1153" s="12" t="s">
        <v>38</v>
      </c>
      <c r="D1153" s="23">
        <v>819.0</v>
      </c>
      <c r="E1153" s="12" t="s">
        <v>2463</v>
      </c>
      <c r="F1153" s="12" t="s">
        <v>5446</v>
      </c>
      <c r="G1153" s="12" t="s">
        <v>1597</v>
      </c>
      <c r="H1153" s="12" t="s">
        <v>382</v>
      </c>
      <c r="I1153" s="23"/>
      <c r="J1153" s="12">
        <v>2017.0</v>
      </c>
      <c r="K1153" s="23">
        <v>80.0</v>
      </c>
      <c r="L1153" s="24">
        <v>5.0</v>
      </c>
      <c r="M1153" s="38" t="s">
        <v>5874</v>
      </c>
      <c r="N1153" s="26" t="str">
        <f t="shared" si="2"/>
        <v>819
TAT
s</v>
      </c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</row>
    <row r="1154">
      <c r="A1154" s="10">
        <v>1153.0</v>
      </c>
      <c r="B1154" s="12" t="s">
        <v>5875</v>
      </c>
      <c r="C1154" s="12" t="s">
        <v>38</v>
      </c>
      <c r="D1154" s="23"/>
      <c r="E1154" s="12"/>
      <c r="F1154" s="12" t="s">
        <v>5876</v>
      </c>
      <c r="G1154" s="12" t="s">
        <v>5877</v>
      </c>
      <c r="H1154" s="12" t="s">
        <v>5878</v>
      </c>
      <c r="I1154" s="23"/>
      <c r="J1154" s="12">
        <v>2013.0</v>
      </c>
      <c r="K1154" s="23">
        <v>116.0</v>
      </c>
      <c r="L1154" s="24">
        <v>1.0</v>
      </c>
      <c r="M1154" s="12" t="s">
        <v>340</v>
      </c>
      <c r="N1154" s="26" t="str">
        <f t="shared" si="2"/>
        <v>
VAN
m</v>
      </c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</row>
    <row r="1155">
      <c r="A1155" s="10">
        <v>1154.0</v>
      </c>
      <c r="B1155" s="12" t="s">
        <v>5879</v>
      </c>
      <c r="C1155" s="12" t="s">
        <v>38</v>
      </c>
      <c r="D1155" s="23">
        <v>813.0</v>
      </c>
      <c r="E1155" s="12" t="s">
        <v>64</v>
      </c>
      <c r="F1155" s="12" t="s">
        <v>5880</v>
      </c>
      <c r="G1155" s="12" t="s">
        <v>5881</v>
      </c>
      <c r="H1155" s="12" t="s">
        <v>5882</v>
      </c>
      <c r="I1155" s="23" t="s">
        <v>5883</v>
      </c>
      <c r="J1155" s="12">
        <v>2012.0</v>
      </c>
      <c r="K1155" s="23">
        <v>90.0</v>
      </c>
      <c r="L1155" s="24">
        <v>1.0</v>
      </c>
      <c r="M1155" s="25" t="s">
        <v>5884</v>
      </c>
      <c r="N1155" s="26" t="str">
        <f t="shared" si="2"/>
        <v>813
AVI
k</v>
      </c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</row>
    <row r="1156">
      <c r="A1156" s="10">
        <v>1155.0</v>
      </c>
      <c r="B1156" s="12" t="s">
        <v>5885</v>
      </c>
      <c r="C1156" s="12" t="s">
        <v>38</v>
      </c>
      <c r="D1156" s="23">
        <v>819.0</v>
      </c>
      <c r="E1156" s="12" t="s">
        <v>2401</v>
      </c>
      <c r="F1156" s="12" t="s">
        <v>5886</v>
      </c>
      <c r="G1156" s="12"/>
      <c r="H1156" s="12" t="s">
        <v>2613</v>
      </c>
      <c r="I1156" s="23"/>
      <c r="J1156" s="12">
        <v>2011.0</v>
      </c>
      <c r="K1156" s="23">
        <v>72.0</v>
      </c>
      <c r="L1156" s="24">
        <v>1.0</v>
      </c>
      <c r="M1156" s="38" t="s">
        <v>5887</v>
      </c>
      <c r="N1156" s="26" t="str">
        <f t="shared" si="2"/>
        <v>819
SAM
b</v>
      </c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</row>
    <row r="1157">
      <c r="A1157" s="10">
        <v>1156.0</v>
      </c>
      <c r="B1157" s="12" t="s">
        <v>5888</v>
      </c>
      <c r="C1157" s="12" t="s">
        <v>38</v>
      </c>
      <c r="D1157" s="23">
        <v>813.0</v>
      </c>
      <c r="E1157" s="12" t="s">
        <v>5466</v>
      </c>
      <c r="F1157" s="12" t="s">
        <v>5889</v>
      </c>
      <c r="G1157" s="12"/>
      <c r="H1157" s="12" t="s">
        <v>2890</v>
      </c>
      <c r="I1157" s="23" t="s">
        <v>5890</v>
      </c>
      <c r="J1157" s="12">
        <v>2014.0</v>
      </c>
      <c r="K1157" s="23">
        <v>56.0</v>
      </c>
      <c r="L1157" s="24">
        <v>1.0</v>
      </c>
      <c r="M1157" s="25" t="s">
        <v>5891</v>
      </c>
      <c r="N1157" s="26" t="str">
        <f t="shared" si="2"/>
        <v>813
ADH
a</v>
      </c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</row>
    <row r="1158">
      <c r="A1158" s="10">
        <v>1157.0</v>
      </c>
      <c r="B1158" s="12" t="s">
        <v>5892</v>
      </c>
      <c r="C1158" s="12" t="s">
        <v>38</v>
      </c>
      <c r="D1158" s="23">
        <v>813.0</v>
      </c>
      <c r="E1158" s="12" t="s">
        <v>64</v>
      </c>
      <c r="F1158" s="12" t="s">
        <v>5893</v>
      </c>
      <c r="G1158" s="12" t="s">
        <v>2247</v>
      </c>
      <c r="H1158" s="12" t="s">
        <v>5894</v>
      </c>
      <c r="I1158" s="23"/>
      <c r="J1158" s="12">
        <v>2006.0</v>
      </c>
      <c r="K1158" s="23">
        <v>112.0</v>
      </c>
      <c r="L1158" s="24">
        <v>1.0</v>
      </c>
      <c r="M1158" s="25" t="s">
        <v>5895</v>
      </c>
      <c r="N1158" s="26" t="str">
        <f t="shared" si="2"/>
        <v>813
FAH
m</v>
      </c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</row>
    <row r="1159">
      <c r="A1159" s="10">
        <v>1158.0</v>
      </c>
      <c r="B1159" s="12" t="s">
        <v>5896</v>
      </c>
      <c r="C1159" s="12" t="s">
        <v>38</v>
      </c>
      <c r="D1159" s="23">
        <v>813.0</v>
      </c>
      <c r="E1159" s="12" t="s">
        <v>64</v>
      </c>
      <c r="F1159" s="12" t="s">
        <v>5897</v>
      </c>
      <c r="G1159" s="12"/>
      <c r="H1159" s="12" t="s">
        <v>4105</v>
      </c>
      <c r="I1159" s="23" t="s">
        <v>5898</v>
      </c>
      <c r="J1159" s="12">
        <v>2011.0</v>
      </c>
      <c r="K1159" s="23">
        <v>224.0</v>
      </c>
      <c r="L1159" s="24">
        <v>1.0</v>
      </c>
      <c r="M1159" s="25" t="s">
        <v>5899</v>
      </c>
      <c r="N1159" s="26" t="str">
        <f t="shared" si="2"/>
        <v>813
RIS
t</v>
      </c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</row>
    <row r="1160">
      <c r="A1160" s="10">
        <v>1159.0</v>
      </c>
      <c r="B1160" s="12" t="s">
        <v>5900</v>
      </c>
      <c r="C1160" s="12" t="s">
        <v>38</v>
      </c>
      <c r="D1160" s="23"/>
      <c r="E1160" s="12"/>
      <c r="F1160" s="12" t="s">
        <v>5901</v>
      </c>
      <c r="G1160" s="12" t="s">
        <v>5902</v>
      </c>
      <c r="H1160" s="12" t="s">
        <v>5654</v>
      </c>
      <c r="I1160" s="23" t="s">
        <v>5903</v>
      </c>
      <c r="J1160" s="12">
        <v>2015.0</v>
      </c>
      <c r="K1160" s="23">
        <v>112.0</v>
      </c>
      <c r="L1160" s="24">
        <v>1.0</v>
      </c>
      <c r="M1160" s="12" t="s">
        <v>340</v>
      </c>
      <c r="N1160" s="26" t="str">
        <f t="shared" si="2"/>
        <v>
BAM
h</v>
      </c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</row>
    <row r="1161">
      <c r="A1161" s="10">
        <v>1160.0</v>
      </c>
      <c r="B1161" s="12" t="s">
        <v>5904</v>
      </c>
      <c r="C1161" s="12" t="s">
        <v>38</v>
      </c>
      <c r="D1161" s="23" t="s">
        <v>445</v>
      </c>
      <c r="E1161" s="12" t="s">
        <v>64</v>
      </c>
      <c r="F1161" s="12" t="s">
        <v>5365</v>
      </c>
      <c r="G1161" s="12" t="s">
        <v>3240</v>
      </c>
      <c r="H1161" s="12" t="s">
        <v>762</v>
      </c>
      <c r="I1161" s="23" t="s">
        <v>5905</v>
      </c>
      <c r="J1161" s="12">
        <v>2015.0</v>
      </c>
      <c r="K1161" s="23">
        <v>112.0</v>
      </c>
      <c r="L1161" s="24">
        <v>1.0</v>
      </c>
      <c r="M1161" s="38" t="s">
        <v>5906</v>
      </c>
      <c r="N1161" s="26" t="str">
        <f t="shared" si="2"/>
        <v>813
TIE
t</v>
      </c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</row>
    <row r="1162">
      <c r="A1162" s="10">
        <v>1161.0</v>
      </c>
      <c r="B1162" s="12" t="s">
        <v>5907</v>
      </c>
      <c r="C1162" s="12" t="s">
        <v>38</v>
      </c>
      <c r="D1162" s="23">
        <v>811.0</v>
      </c>
      <c r="E1162" s="12" t="s">
        <v>486</v>
      </c>
      <c r="F1162" s="12" t="s">
        <v>5206</v>
      </c>
      <c r="G1162" s="12"/>
      <c r="H1162" s="12" t="s">
        <v>5372</v>
      </c>
      <c r="I1162" s="23">
        <v>9.789794194058E12</v>
      </c>
      <c r="J1162" s="12">
        <v>2013.0</v>
      </c>
      <c r="K1162" s="23">
        <v>48.0</v>
      </c>
      <c r="L1162" s="24">
        <v>2.0</v>
      </c>
      <c r="M1162" s="25" t="s">
        <v>5908</v>
      </c>
      <c r="N1162" s="26" t="str">
        <f t="shared" si="2"/>
        <v>811
REN
r</v>
      </c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</row>
    <row r="1163">
      <c r="A1163" s="10">
        <v>1162.0</v>
      </c>
      <c r="B1163" s="12" t="s">
        <v>5909</v>
      </c>
      <c r="C1163" s="12" t="s">
        <v>38</v>
      </c>
      <c r="D1163" s="23" t="s">
        <v>5817</v>
      </c>
      <c r="E1163" s="12" t="s">
        <v>5910</v>
      </c>
      <c r="F1163" s="12" t="s">
        <v>5911</v>
      </c>
      <c r="G1163" s="12"/>
      <c r="H1163" s="12" t="s">
        <v>2510</v>
      </c>
      <c r="I1163" s="23" t="s">
        <v>5912</v>
      </c>
      <c r="J1163" s="12">
        <v>1995.0</v>
      </c>
      <c r="K1163" s="23">
        <v>38.0</v>
      </c>
      <c r="L1163" s="24">
        <v>1.0</v>
      </c>
      <c r="M1163" s="25" t="s">
        <v>5913</v>
      </c>
      <c r="N1163" s="26" t="str">
        <f t="shared" si="2"/>
        <v>808.1
DJU
s</v>
      </c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</row>
    <row r="1164">
      <c r="A1164" s="10">
        <v>1163.0</v>
      </c>
      <c r="B1164" s="12" t="s">
        <v>5914</v>
      </c>
      <c r="C1164" s="12" t="s">
        <v>38</v>
      </c>
      <c r="D1164" s="23">
        <v>811.0</v>
      </c>
      <c r="E1164" s="12" t="s">
        <v>5915</v>
      </c>
      <c r="F1164" s="12" t="s">
        <v>5916</v>
      </c>
      <c r="G1164" s="12"/>
      <c r="H1164" s="12" t="s">
        <v>5917</v>
      </c>
      <c r="I1164" s="23" t="s">
        <v>5918</v>
      </c>
      <c r="J1164" s="12">
        <v>2006.0</v>
      </c>
      <c r="K1164" s="23">
        <v>62.0</v>
      </c>
      <c r="L1164" s="24">
        <v>1.0</v>
      </c>
      <c r="M1164" s="12" t="s">
        <v>340</v>
      </c>
      <c r="N1164" s="26" t="str">
        <f t="shared" si="2"/>
        <v>811
ABD
p</v>
      </c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</row>
    <row r="1165">
      <c r="A1165" s="10">
        <v>1164.0</v>
      </c>
      <c r="B1165" s="12" t="s">
        <v>5919</v>
      </c>
      <c r="C1165" s="12" t="s">
        <v>38</v>
      </c>
      <c r="D1165" s="23" t="s">
        <v>5817</v>
      </c>
      <c r="E1165" s="12" t="s">
        <v>5920</v>
      </c>
      <c r="F1165" s="12" t="s">
        <v>5695</v>
      </c>
      <c r="G1165" s="12"/>
      <c r="H1165" s="12" t="s">
        <v>5921</v>
      </c>
      <c r="I1165" s="23" t="s">
        <v>5922</v>
      </c>
      <c r="J1165" s="12">
        <v>2006.0</v>
      </c>
      <c r="K1165" s="23">
        <v>149.0</v>
      </c>
      <c r="L1165" s="24">
        <v>3.0</v>
      </c>
      <c r="M1165" s="12" t="s">
        <v>340</v>
      </c>
      <c r="N1165" s="26" t="str">
        <f t="shared" si="2"/>
        <v>808.1
SAP
a</v>
      </c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</row>
    <row r="1166">
      <c r="A1166" s="10">
        <v>1165.0</v>
      </c>
      <c r="B1166" s="12" t="s">
        <v>5923</v>
      </c>
      <c r="C1166" s="12" t="s">
        <v>38</v>
      </c>
      <c r="D1166" s="23">
        <v>819.0</v>
      </c>
      <c r="E1166" s="12" t="s">
        <v>5485</v>
      </c>
      <c r="F1166" s="12" t="s">
        <v>5473</v>
      </c>
      <c r="G1166" s="12"/>
      <c r="H1166" s="12" t="s">
        <v>2560</v>
      </c>
      <c r="I1166" s="23"/>
      <c r="J1166" s="12">
        <v>2013.0</v>
      </c>
      <c r="K1166" s="23">
        <v>152.0</v>
      </c>
      <c r="L1166" s="24">
        <v>6.0</v>
      </c>
      <c r="M1166" s="38" t="s">
        <v>5924</v>
      </c>
      <c r="N1166" s="26" t="str">
        <f t="shared" si="2"/>
        <v>819
TAU
h</v>
      </c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</row>
    <row r="1167">
      <c r="A1167" s="10">
        <v>1166.0</v>
      </c>
      <c r="B1167" s="12" t="s">
        <v>5925</v>
      </c>
      <c r="C1167" s="12" t="s">
        <v>38</v>
      </c>
      <c r="D1167" s="23">
        <v>819.0</v>
      </c>
      <c r="E1167" s="12" t="s">
        <v>2401</v>
      </c>
      <c r="F1167" s="12" t="s">
        <v>2446</v>
      </c>
      <c r="G1167" s="12"/>
      <c r="H1167" s="12" t="s">
        <v>2560</v>
      </c>
      <c r="I1167" s="23"/>
      <c r="J1167" s="12">
        <v>2009.0</v>
      </c>
      <c r="K1167" s="23">
        <v>160.0</v>
      </c>
      <c r="L1167" s="24">
        <v>1.0</v>
      </c>
      <c r="M1167" s="25" t="s">
        <v>5926</v>
      </c>
      <c r="N1167" s="26" t="str">
        <f t="shared" si="2"/>
        <v>819
BUD
k</v>
      </c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</row>
    <row r="1168">
      <c r="A1168" s="10">
        <v>1167.0</v>
      </c>
      <c r="B1168" s="12" t="s">
        <v>5927</v>
      </c>
      <c r="C1168" s="12" t="s">
        <v>38</v>
      </c>
      <c r="D1168" s="23">
        <v>813.0</v>
      </c>
      <c r="E1168" s="12" t="s">
        <v>5466</v>
      </c>
      <c r="F1168" s="12" t="s">
        <v>5928</v>
      </c>
      <c r="G1168" s="12"/>
      <c r="H1168" s="12" t="s">
        <v>2069</v>
      </c>
      <c r="I1168" s="23"/>
      <c r="J1168" s="12">
        <v>2009.0</v>
      </c>
      <c r="K1168" s="23">
        <v>84.0</v>
      </c>
      <c r="L1168" s="24">
        <v>1.0</v>
      </c>
      <c r="M1168" s="25" t="s">
        <v>5929</v>
      </c>
      <c r="N1168" s="26" t="str">
        <f t="shared" si="2"/>
        <v>813
SUW
m</v>
      </c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</row>
    <row r="1169">
      <c r="A1169" s="10">
        <v>1168.0</v>
      </c>
      <c r="B1169" s="12" t="s">
        <v>5930</v>
      </c>
      <c r="C1169" s="12" t="s">
        <v>38</v>
      </c>
      <c r="D1169" s="23">
        <v>811.0</v>
      </c>
      <c r="E1169" s="12" t="s">
        <v>486</v>
      </c>
      <c r="F1169" s="12" t="s">
        <v>5931</v>
      </c>
      <c r="G1169" s="12" t="s">
        <v>5362</v>
      </c>
      <c r="H1169" s="12" t="s">
        <v>5882</v>
      </c>
      <c r="I1169" s="23" t="s">
        <v>5932</v>
      </c>
      <c r="J1169" s="12">
        <v>2009.0</v>
      </c>
      <c r="K1169" s="23">
        <v>128.0</v>
      </c>
      <c r="L1169" s="24">
        <v>1.0</v>
      </c>
      <c r="M1169" s="12" t="s">
        <v>340</v>
      </c>
      <c r="N1169" s="26" t="str">
        <f t="shared" si="2"/>
        <v>811
DEW
k</v>
      </c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</row>
    <row r="1170">
      <c r="A1170" s="10">
        <v>1169.0</v>
      </c>
      <c r="B1170" s="12" t="s">
        <v>5933</v>
      </c>
      <c r="C1170" s="12" t="s">
        <v>229</v>
      </c>
      <c r="D1170" s="23" t="s">
        <v>1856</v>
      </c>
      <c r="E1170" s="12" t="s">
        <v>1898</v>
      </c>
      <c r="F1170" s="12" t="s">
        <v>5934</v>
      </c>
      <c r="G1170" s="12"/>
      <c r="H1170" s="12" t="s">
        <v>5935</v>
      </c>
      <c r="I1170" s="23"/>
      <c r="J1170" s="12">
        <v>1987.0</v>
      </c>
      <c r="K1170" s="23">
        <v>48.0</v>
      </c>
      <c r="L1170" s="24">
        <v>1.0</v>
      </c>
      <c r="M1170" s="25" t="s">
        <v>5936</v>
      </c>
      <c r="N1170" s="26" t="str">
        <f t="shared" si="2"/>
        <v>398.2
S. 
h</v>
      </c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</row>
    <row r="1171">
      <c r="A1171" s="10">
        <v>1170.0</v>
      </c>
      <c r="B1171" s="12" t="s">
        <v>5937</v>
      </c>
      <c r="C1171" s="12" t="s">
        <v>38</v>
      </c>
      <c r="D1171" s="23"/>
      <c r="E1171" s="12"/>
      <c r="F1171" s="12" t="s">
        <v>5938</v>
      </c>
      <c r="G1171" s="12" t="s">
        <v>4475</v>
      </c>
      <c r="H1171" s="12" t="s">
        <v>5469</v>
      </c>
      <c r="I1171" s="23" t="s">
        <v>5939</v>
      </c>
      <c r="J1171" s="12">
        <v>2015.0</v>
      </c>
      <c r="K1171" s="23">
        <v>92.0</v>
      </c>
      <c r="L1171" s="24">
        <v>1.0</v>
      </c>
      <c r="M1171" s="12" t="s">
        <v>340</v>
      </c>
      <c r="N1171" s="26" t="str">
        <f t="shared" si="2"/>
        <v>
B. 
m</v>
      </c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</row>
    <row r="1172">
      <c r="A1172" s="10">
        <v>1171.0</v>
      </c>
      <c r="B1172" s="12" t="s">
        <v>5940</v>
      </c>
      <c r="C1172" s="12" t="s">
        <v>38</v>
      </c>
      <c r="D1172" s="23">
        <v>819.0</v>
      </c>
      <c r="E1172" s="12" t="s">
        <v>2401</v>
      </c>
      <c r="F1172" s="12" t="s">
        <v>5941</v>
      </c>
      <c r="G1172" s="12" t="s">
        <v>5380</v>
      </c>
      <c r="H1172" s="12" t="s">
        <v>2565</v>
      </c>
      <c r="I1172" s="23"/>
      <c r="J1172" s="12">
        <v>2009.0</v>
      </c>
      <c r="K1172" s="23">
        <v>112.0</v>
      </c>
      <c r="L1172" s="24">
        <v>1.0</v>
      </c>
      <c r="M1172" s="38" t="s">
        <v>5942</v>
      </c>
      <c r="N1172" s="26" t="str">
        <f t="shared" si="2"/>
        <v>819
ING
c</v>
      </c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</row>
    <row r="1173">
      <c r="A1173" s="10">
        <v>1172.0</v>
      </c>
      <c r="B1173" s="12" t="s">
        <v>5943</v>
      </c>
      <c r="C1173" s="12" t="s">
        <v>38</v>
      </c>
      <c r="D1173" s="23">
        <v>811.0</v>
      </c>
      <c r="E1173" s="12" t="s">
        <v>486</v>
      </c>
      <c r="F1173" s="12" t="s">
        <v>5944</v>
      </c>
      <c r="G1173" s="12"/>
      <c r="H1173" s="12" t="s">
        <v>4487</v>
      </c>
      <c r="I1173" s="23">
        <v>9.796665565E9</v>
      </c>
      <c r="J1173" s="12">
        <v>2001.0</v>
      </c>
      <c r="K1173" s="23">
        <v>80.0</v>
      </c>
      <c r="L1173" s="24">
        <v>1.0</v>
      </c>
      <c r="M1173" s="25" t="s">
        <v>5945</v>
      </c>
      <c r="N1173" s="26" t="str">
        <f t="shared" si="2"/>
        <v>811
SLA
c</v>
      </c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</row>
    <row r="1174">
      <c r="A1174" s="10">
        <v>1173.0</v>
      </c>
      <c r="B1174" s="12" t="s">
        <v>5946</v>
      </c>
      <c r="C1174" s="12" t="s">
        <v>38</v>
      </c>
      <c r="D1174" s="23">
        <v>819.0</v>
      </c>
      <c r="E1174" s="12" t="s">
        <v>2463</v>
      </c>
      <c r="F1174" s="12" t="s">
        <v>5947</v>
      </c>
      <c r="G1174" s="12" t="s">
        <v>2896</v>
      </c>
      <c r="H1174" s="12" t="s">
        <v>382</v>
      </c>
      <c r="I1174" s="23"/>
      <c r="J1174" s="12">
        <v>2016.0</v>
      </c>
      <c r="K1174" s="23">
        <v>216.0</v>
      </c>
      <c r="L1174" s="24">
        <v>5.0</v>
      </c>
      <c r="M1174" s="25" t="s">
        <v>5948</v>
      </c>
      <c r="N1174" s="26" t="str">
        <f t="shared" si="2"/>
        <v>819
RAF
4</v>
      </c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</row>
    <row r="1175">
      <c r="A1175" s="10">
        <v>1174.0</v>
      </c>
      <c r="B1175" s="12" t="s">
        <v>5949</v>
      </c>
      <c r="C1175" s="12" t="s">
        <v>38</v>
      </c>
      <c r="D1175" s="23">
        <v>819.0</v>
      </c>
      <c r="E1175" s="12" t="s">
        <v>2803</v>
      </c>
      <c r="F1175" s="12" t="s">
        <v>5473</v>
      </c>
      <c r="G1175" s="12" t="s">
        <v>5950</v>
      </c>
      <c r="H1175" s="12" t="s">
        <v>382</v>
      </c>
      <c r="I1175" s="23"/>
      <c r="J1175" s="12">
        <v>2017.0</v>
      </c>
      <c r="K1175" s="23">
        <v>112.0</v>
      </c>
      <c r="L1175" s="24">
        <v>5.0</v>
      </c>
      <c r="M1175" s="25" t="s">
        <v>5951</v>
      </c>
      <c r="N1175" s="26" t="str">
        <f t="shared" si="2"/>
        <v>819
TAU
b</v>
      </c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</row>
    <row r="1176">
      <c r="A1176" s="10">
        <v>1175.0</v>
      </c>
      <c r="B1176" s="12" t="s">
        <v>5952</v>
      </c>
      <c r="C1176" s="12" t="s">
        <v>38</v>
      </c>
      <c r="D1176" s="23">
        <v>819.0</v>
      </c>
      <c r="E1176" s="12" t="s">
        <v>2401</v>
      </c>
      <c r="F1176" s="12" t="s">
        <v>5953</v>
      </c>
      <c r="G1176" s="12" t="s">
        <v>1597</v>
      </c>
      <c r="H1176" s="12" t="s">
        <v>382</v>
      </c>
      <c r="I1176" s="23"/>
      <c r="J1176" s="12">
        <v>2017.0</v>
      </c>
      <c r="K1176" s="23">
        <v>120.0</v>
      </c>
      <c r="L1176" s="24">
        <v>5.0</v>
      </c>
      <c r="M1176" s="38" t="s">
        <v>5954</v>
      </c>
      <c r="N1176" s="26" t="str">
        <f t="shared" si="2"/>
        <v>819
YUY
j</v>
      </c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</row>
    <row r="1177">
      <c r="A1177" s="10">
        <v>1176.0</v>
      </c>
      <c r="B1177" s="12" t="s">
        <v>5955</v>
      </c>
      <c r="C1177" s="12" t="s">
        <v>38</v>
      </c>
      <c r="D1177" s="23"/>
      <c r="E1177" s="12"/>
      <c r="F1177" s="12" t="s">
        <v>5956</v>
      </c>
      <c r="G1177" s="12"/>
      <c r="H1177" s="12" t="s">
        <v>600</v>
      </c>
      <c r="I1177" s="23" t="s">
        <v>5957</v>
      </c>
      <c r="J1177" s="12">
        <v>2013.0</v>
      </c>
      <c r="K1177" s="23">
        <v>224.0</v>
      </c>
      <c r="L1177" s="24">
        <v>1.0</v>
      </c>
      <c r="M1177" s="12" t="s">
        <v>340</v>
      </c>
      <c r="N1177" s="26" t="str">
        <f t="shared" si="2"/>
        <v>
NET
y</v>
      </c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</row>
    <row r="1178">
      <c r="A1178" s="10">
        <v>1177.0</v>
      </c>
      <c r="B1178" s="12" t="s">
        <v>5958</v>
      </c>
      <c r="C1178" s="12" t="s">
        <v>38</v>
      </c>
      <c r="D1178" s="23" t="s">
        <v>445</v>
      </c>
      <c r="E1178" s="12" t="s">
        <v>64</v>
      </c>
      <c r="F1178" s="12" t="s">
        <v>5959</v>
      </c>
      <c r="G1178" s="12" t="s">
        <v>5960</v>
      </c>
      <c r="H1178" s="12" t="s">
        <v>600</v>
      </c>
      <c r="I1178" s="23">
        <v>9.789792262865E12</v>
      </c>
      <c r="J1178" s="12">
        <v>2010.0</v>
      </c>
      <c r="K1178" s="23">
        <v>216.0</v>
      </c>
      <c r="L1178" s="24">
        <v>1.0</v>
      </c>
      <c r="M1178" s="38" t="s">
        <v>5961</v>
      </c>
      <c r="N1178" s="26" t="str">
        <f t="shared" si="2"/>
        <v>813
LIS
t</v>
      </c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</row>
    <row r="1179">
      <c r="A1179" s="10">
        <v>1178.0</v>
      </c>
      <c r="B1179" s="12" t="s">
        <v>5962</v>
      </c>
      <c r="C1179" s="12" t="s">
        <v>38</v>
      </c>
      <c r="D1179" s="23" t="s">
        <v>445</v>
      </c>
      <c r="E1179" s="12" t="s">
        <v>64</v>
      </c>
      <c r="F1179" s="12" t="s">
        <v>5963</v>
      </c>
      <c r="G1179" s="12"/>
      <c r="H1179" s="12" t="s">
        <v>5964</v>
      </c>
      <c r="I1179" s="23" t="s">
        <v>5965</v>
      </c>
      <c r="J1179" s="12">
        <v>2012.0</v>
      </c>
      <c r="K1179" s="23">
        <v>328.0</v>
      </c>
      <c r="L1179" s="24">
        <v>1.0</v>
      </c>
      <c r="M1179" s="25" t="s">
        <v>5966</v>
      </c>
      <c r="N1179" s="26" t="str">
        <f t="shared" si="2"/>
        <v>813
MAR
h</v>
      </c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</row>
    <row r="1180">
      <c r="A1180" s="10">
        <v>1179.0</v>
      </c>
      <c r="B1180" s="12" t="s">
        <v>5967</v>
      </c>
      <c r="C1180" s="12" t="s">
        <v>38</v>
      </c>
      <c r="D1180" s="23" t="s">
        <v>1155</v>
      </c>
      <c r="E1180" s="12"/>
      <c r="F1180" s="12" t="s">
        <v>5968</v>
      </c>
      <c r="G1180" s="12"/>
      <c r="H1180" s="12" t="s">
        <v>600</v>
      </c>
      <c r="I1180" s="23" t="s">
        <v>5965</v>
      </c>
      <c r="J1180" s="12">
        <v>2012.0</v>
      </c>
      <c r="K1180" s="23">
        <v>328.0</v>
      </c>
      <c r="L1180" s="24">
        <v>1.0</v>
      </c>
      <c r="M1180" s="12" t="s">
        <v>340</v>
      </c>
      <c r="N1180" s="26" t="str">
        <f t="shared" si="2"/>
        <v>
MEG
r</v>
      </c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</row>
    <row r="1181">
      <c r="A1181" s="10">
        <v>1180.0</v>
      </c>
      <c r="B1181" s="12" t="s">
        <v>5969</v>
      </c>
      <c r="C1181" s="12" t="s">
        <v>38</v>
      </c>
      <c r="D1181" s="23">
        <v>813.0</v>
      </c>
      <c r="E1181" s="12" t="s">
        <v>64</v>
      </c>
      <c r="F1181" s="12" t="s">
        <v>5970</v>
      </c>
      <c r="G1181" s="12" t="s">
        <v>5971</v>
      </c>
      <c r="H1181" s="12" t="s">
        <v>5972</v>
      </c>
      <c r="I1181" s="23">
        <v>9.789792924329E12</v>
      </c>
      <c r="J1181" s="12">
        <v>2011.0</v>
      </c>
      <c r="K1181" s="23">
        <v>236.0</v>
      </c>
      <c r="L1181" s="24">
        <v>1.0</v>
      </c>
      <c r="M1181" s="25" t="s">
        <v>5973</v>
      </c>
      <c r="N1181" s="26" t="str">
        <f t="shared" si="2"/>
        <v>813
SAN
t</v>
      </c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</row>
    <row r="1182">
      <c r="A1182" s="10">
        <v>1181.0</v>
      </c>
      <c r="B1182" s="12" t="s">
        <v>5974</v>
      </c>
      <c r="C1182" s="12" t="s">
        <v>38</v>
      </c>
      <c r="D1182" s="23" t="s">
        <v>5975</v>
      </c>
      <c r="E1182" s="12" t="s">
        <v>5976</v>
      </c>
      <c r="F1182" s="12" t="s">
        <v>5977</v>
      </c>
      <c r="G1182" s="12"/>
      <c r="H1182" s="12" t="s">
        <v>5978</v>
      </c>
      <c r="I1182" s="23"/>
      <c r="J1182" s="12">
        <v>1993.0</v>
      </c>
      <c r="K1182" s="23">
        <v>74.0</v>
      </c>
      <c r="L1182" s="24">
        <v>1.0</v>
      </c>
      <c r="M1182" s="25" t="s">
        <v>5979</v>
      </c>
      <c r="N1182" s="26" t="str">
        <f t="shared" si="2"/>
        <v>808.7
TIM
c</v>
      </c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</row>
    <row r="1183">
      <c r="A1183" s="10">
        <v>1182.0</v>
      </c>
      <c r="B1183" s="12" t="s">
        <v>5980</v>
      </c>
      <c r="C1183" s="12" t="s">
        <v>38</v>
      </c>
      <c r="D1183" s="23" t="s">
        <v>445</v>
      </c>
      <c r="E1183" s="12" t="s">
        <v>64</v>
      </c>
      <c r="F1183" s="12" t="s">
        <v>5981</v>
      </c>
      <c r="G1183" s="12" t="s">
        <v>5982</v>
      </c>
      <c r="H1183" s="12" t="s">
        <v>3392</v>
      </c>
      <c r="I1183" s="23">
        <v>9.786021139172E12</v>
      </c>
      <c r="J1183" s="12">
        <v>2014.0</v>
      </c>
      <c r="K1183" s="23">
        <v>424.0</v>
      </c>
      <c r="L1183" s="24">
        <v>4.0</v>
      </c>
      <c r="M1183" s="38" t="s">
        <v>5983</v>
      </c>
      <c r="N1183" s="26" t="str">
        <f t="shared" si="2"/>
        <v>813
MAS
t</v>
      </c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</row>
    <row r="1184">
      <c r="A1184" s="10">
        <v>1183.0</v>
      </c>
      <c r="B1184" s="12" t="s">
        <v>5984</v>
      </c>
      <c r="C1184" s="12" t="s">
        <v>38</v>
      </c>
      <c r="D1184" s="23" t="s">
        <v>445</v>
      </c>
      <c r="E1184" s="12" t="s">
        <v>64</v>
      </c>
      <c r="F1184" s="12" t="s">
        <v>5985</v>
      </c>
      <c r="G1184" s="12"/>
      <c r="H1184" s="12" t="s">
        <v>1501</v>
      </c>
      <c r="I1184" s="23" t="s">
        <v>5986</v>
      </c>
      <c r="J1184" s="12">
        <v>2007.0</v>
      </c>
      <c r="K1184" s="23">
        <v>581.0</v>
      </c>
      <c r="L1184" s="24">
        <v>1.0</v>
      </c>
      <c r="M1184" s="38" t="s">
        <v>5987</v>
      </c>
      <c r="N1184" s="26" t="str">
        <f t="shared" si="2"/>
        <v>813
IBR
d</v>
      </c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</row>
    <row r="1185">
      <c r="A1185" s="10">
        <v>1184.0</v>
      </c>
      <c r="B1185" s="12" t="s">
        <v>5988</v>
      </c>
      <c r="C1185" s="12" t="s">
        <v>38</v>
      </c>
      <c r="D1185" s="23" t="s">
        <v>445</v>
      </c>
      <c r="E1185" s="12" t="s">
        <v>64</v>
      </c>
      <c r="F1185" s="12" t="s">
        <v>5989</v>
      </c>
      <c r="G1185" s="12"/>
      <c r="H1185" s="12" t="s">
        <v>600</v>
      </c>
      <c r="I1185" s="23">
        <v>9.789792284294E12</v>
      </c>
      <c r="J1185" s="12">
        <v>2012.0</v>
      </c>
      <c r="K1185" s="23">
        <v>368.0</v>
      </c>
      <c r="L1185" s="24">
        <v>1.0</v>
      </c>
      <c r="M1185" s="25" t="s">
        <v>5990</v>
      </c>
      <c r="N1185" s="26" t="str">
        <f t="shared" si="2"/>
        <v>813
HAR
t</v>
      </c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</row>
    <row r="1186">
      <c r="A1186" s="10">
        <v>1185.0</v>
      </c>
      <c r="B1186" s="12" t="s">
        <v>5991</v>
      </c>
      <c r="C1186" s="12" t="s">
        <v>246</v>
      </c>
      <c r="D1186" s="36" t="s">
        <v>5992</v>
      </c>
      <c r="E1186" s="12" t="s">
        <v>5993</v>
      </c>
      <c r="F1186" s="12" t="s">
        <v>2346</v>
      </c>
      <c r="G1186" s="12" t="s">
        <v>715</v>
      </c>
      <c r="H1186" s="12" t="s">
        <v>2309</v>
      </c>
      <c r="I1186" s="23">
        <v>9.786027932005E12</v>
      </c>
      <c r="J1186" s="12">
        <v>2013.0</v>
      </c>
      <c r="K1186" s="23">
        <v>60.0</v>
      </c>
      <c r="L1186" s="24">
        <v>1.0</v>
      </c>
      <c r="M1186" s="25" t="s">
        <v>5994</v>
      </c>
      <c r="N1186" s="26" t="str">
        <f t="shared" si="2"/>
        <v>551.577
IRA
a</v>
      </c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</row>
    <row r="1187">
      <c r="A1187" s="10">
        <v>1186.0</v>
      </c>
      <c r="B1187" s="12" t="s">
        <v>5995</v>
      </c>
      <c r="C1187" s="12" t="s">
        <v>38</v>
      </c>
      <c r="D1187" s="23" t="s">
        <v>445</v>
      </c>
      <c r="E1187" s="12" t="s">
        <v>64</v>
      </c>
      <c r="F1187" s="12" t="s">
        <v>5996</v>
      </c>
      <c r="G1187" s="12" t="s">
        <v>5997</v>
      </c>
      <c r="H1187" s="12" t="s">
        <v>5998</v>
      </c>
      <c r="I1187" s="23">
        <v>9.786027888982E12</v>
      </c>
      <c r="J1187" s="12">
        <v>2017.0</v>
      </c>
      <c r="K1187" s="23">
        <v>290.0</v>
      </c>
      <c r="L1187" s="24">
        <v>1.0</v>
      </c>
      <c r="M1187" s="38" t="s">
        <v>5999</v>
      </c>
      <c r="N1187" s="26" t="str">
        <f t="shared" si="2"/>
        <v>813
AND
e</v>
      </c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</row>
    <row r="1188">
      <c r="A1188" s="10">
        <v>1187.0</v>
      </c>
      <c r="B1188" s="12" t="s">
        <v>6000</v>
      </c>
      <c r="C1188" s="12" t="s">
        <v>38</v>
      </c>
      <c r="D1188" s="23" t="s">
        <v>1155</v>
      </c>
      <c r="E1188" s="12"/>
      <c r="F1188" s="12" t="s">
        <v>6001</v>
      </c>
      <c r="G1188" s="12" t="s">
        <v>6002</v>
      </c>
      <c r="H1188" s="12" t="s">
        <v>6003</v>
      </c>
      <c r="I1188" s="23" t="s">
        <v>6004</v>
      </c>
      <c r="J1188" s="12">
        <v>2015.0</v>
      </c>
      <c r="K1188" s="23">
        <v>336.0</v>
      </c>
      <c r="L1188" s="24">
        <v>1.0</v>
      </c>
      <c r="M1188" s="12" t="s">
        <v>340</v>
      </c>
      <c r="N1188" s="26" t="str">
        <f t="shared" si="2"/>
        <v>
P.L
m</v>
      </c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</row>
    <row r="1189">
      <c r="A1189" s="10">
        <v>1188.0</v>
      </c>
      <c r="B1189" s="12" t="s">
        <v>6005</v>
      </c>
      <c r="C1189" s="12" t="s">
        <v>38</v>
      </c>
      <c r="D1189" s="23" t="s">
        <v>445</v>
      </c>
      <c r="E1189" s="12" t="s">
        <v>64</v>
      </c>
      <c r="F1189" s="12" t="s">
        <v>6006</v>
      </c>
      <c r="G1189" s="12" t="s">
        <v>6007</v>
      </c>
      <c r="H1189" s="12" t="s">
        <v>600</v>
      </c>
      <c r="I1189" s="23">
        <v>9.786022511724E12</v>
      </c>
      <c r="J1189" s="12">
        <v>2013.0</v>
      </c>
      <c r="K1189" s="23">
        <v>354.0</v>
      </c>
      <c r="L1189" s="24">
        <v>1.0</v>
      </c>
      <c r="M1189" s="38" t="s">
        <v>6008</v>
      </c>
      <c r="N1189" s="26" t="str">
        <f t="shared" si="2"/>
        <v>813
AYA
m</v>
      </c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</row>
    <row r="1190">
      <c r="A1190" s="10">
        <v>1189.0</v>
      </c>
      <c r="B1190" s="12" t="s">
        <v>6009</v>
      </c>
      <c r="C1190" s="12" t="s">
        <v>38</v>
      </c>
      <c r="D1190" s="23">
        <v>813.0</v>
      </c>
      <c r="E1190" s="12" t="s">
        <v>64</v>
      </c>
      <c r="F1190" s="12" t="s">
        <v>6010</v>
      </c>
      <c r="G1190" s="12" t="s">
        <v>6011</v>
      </c>
      <c r="H1190" s="12" t="s">
        <v>6012</v>
      </c>
      <c r="I1190" s="23">
        <v>9.786029854961E12</v>
      </c>
      <c r="J1190" s="12">
        <v>2011.0</v>
      </c>
      <c r="K1190" s="23">
        <v>270.0</v>
      </c>
      <c r="L1190" s="24">
        <v>1.0</v>
      </c>
      <c r="M1190" s="25" t="s">
        <v>6013</v>
      </c>
      <c r="N1190" s="26" t="str">
        <f t="shared" si="2"/>
        <v>813
EMJ
m</v>
      </c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</row>
    <row r="1191">
      <c r="A1191" s="10">
        <v>1190.0</v>
      </c>
      <c r="B1191" s="12" t="s">
        <v>6014</v>
      </c>
      <c r="C1191" s="12" t="s">
        <v>38</v>
      </c>
      <c r="D1191" s="23">
        <v>813.0</v>
      </c>
      <c r="E1191" s="12" t="s">
        <v>6015</v>
      </c>
      <c r="F1191" s="12" t="s">
        <v>6016</v>
      </c>
      <c r="G1191" s="12" t="s">
        <v>5960</v>
      </c>
      <c r="H1191" s="12" t="s">
        <v>596</v>
      </c>
      <c r="I1191" s="23" t="s">
        <v>6017</v>
      </c>
      <c r="J1191" s="12">
        <v>2014.0</v>
      </c>
      <c r="K1191" s="23">
        <v>576.0</v>
      </c>
      <c r="L1191" s="24">
        <v>1.0</v>
      </c>
      <c r="M1191" s="12" t="s">
        <v>340</v>
      </c>
      <c r="N1191" s="26" t="str">
        <f t="shared" si="2"/>
        <v>813
JON
t</v>
      </c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</row>
    <row r="1192">
      <c r="A1192" s="10">
        <v>1191.0</v>
      </c>
      <c r="B1192" s="12" t="s">
        <v>6018</v>
      </c>
      <c r="C1192" s="12" t="s">
        <v>38</v>
      </c>
      <c r="D1192" s="23" t="s">
        <v>445</v>
      </c>
      <c r="E1192" s="12" t="s">
        <v>64</v>
      </c>
      <c r="F1192" s="12" t="s">
        <v>6019</v>
      </c>
      <c r="G1192" s="12" t="s">
        <v>6020</v>
      </c>
      <c r="H1192" s="12" t="s">
        <v>596</v>
      </c>
      <c r="I1192" s="23">
        <v>9.789792278989E12</v>
      </c>
      <c r="J1192" s="12">
        <v>2012.0</v>
      </c>
      <c r="K1192" s="23">
        <v>464.0</v>
      </c>
      <c r="L1192" s="24">
        <v>1.0</v>
      </c>
      <c r="M1192" s="38" t="s">
        <v>6021</v>
      </c>
      <c r="N1192" s="26" t="str">
        <f t="shared" si="2"/>
        <v>813
PRI
t</v>
      </c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</row>
    <row r="1193">
      <c r="A1193" s="10">
        <v>1192.0</v>
      </c>
      <c r="B1193" s="12" t="s">
        <v>6022</v>
      </c>
      <c r="C1193" s="12" t="s">
        <v>38</v>
      </c>
      <c r="D1193" s="23" t="s">
        <v>445</v>
      </c>
      <c r="E1193" s="12" t="s">
        <v>64</v>
      </c>
      <c r="F1193" s="12" t="s">
        <v>6023</v>
      </c>
      <c r="G1193" s="12"/>
      <c r="H1193" s="12" t="s">
        <v>3896</v>
      </c>
      <c r="I1193" s="23" t="s">
        <v>6024</v>
      </c>
      <c r="J1193" s="12">
        <v>2013.0</v>
      </c>
      <c r="K1193" s="23">
        <v>545.0</v>
      </c>
      <c r="L1193" s="24">
        <v>1.0</v>
      </c>
      <c r="M1193" s="38" t="s">
        <v>6025</v>
      </c>
      <c r="N1193" s="26" t="str">
        <f t="shared" si="2"/>
        <v>813
TER
f</v>
      </c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</row>
    <row r="1194">
      <c r="A1194" s="10">
        <v>1193.0</v>
      </c>
      <c r="B1194" s="12" t="s">
        <v>6026</v>
      </c>
      <c r="C1194" s="12" t="s">
        <v>38</v>
      </c>
      <c r="D1194" s="23"/>
      <c r="E1194" s="12"/>
      <c r="F1194" s="12" t="s">
        <v>6027</v>
      </c>
      <c r="G1194" s="12"/>
      <c r="H1194" s="12" t="s">
        <v>600</v>
      </c>
      <c r="I1194" s="23" t="s">
        <v>6028</v>
      </c>
      <c r="J1194" s="12">
        <v>2013.0</v>
      </c>
      <c r="K1194" s="23">
        <v>245.0</v>
      </c>
      <c r="L1194" s="24">
        <v>1.0</v>
      </c>
      <c r="M1194" s="12" t="s">
        <v>340</v>
      </c>
      <c r="N1194" s="26" t="str">
        <f t="shared" si="2"/>
        <v>
UKI
t</v>
      </c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</row>
    <row r="1195">
      <c r="A1195" s="10">
        <v>1194.0</v>
      </c>
      <c r="B1195" s="12" t="s">
        <v>6029</v>
      </c>
      <c r="C1195" s="12" t="s">
        <v>38</v>
      </c>
      <c r="D1195" s="23"/>
      <c r="E1195" s="12"/>
      <c r="F1195" s="12" t="s">
        <v>6030</v>
      </c>
      <c r="G1195" s="12"/>
      <c r="H1195" s="12" t="s">
        <v>600</v>
      </c>
      <c r="I1195" s="23" t="s">
        <v>6031</v>
      </c>
      <c r="J1195" s="12">
        <v>2010.0</v>
      </c>
      <c r="K1195" s="23">
        <v>368.0</v>
      </c>
      <c r="L1195" s="24">
        <v>1.0</v>
      </c>
      <c r="M1195" s="38" t="s">
        <v>6032</v>
      </c>
      <c r="N1195" s="26" t="str">
        <f t="shared" si="2"/>
        <v>
M.G
t</v>
      </c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</row>
    <row r="1196">
      <c r="A1196" s="10">
        <v>1195.0</v>
      </c>
      <c r="B1196" s="12" t="s">
        <v>6033</v>
      </c>
      <c r="C1196" s="12" t="s">
        <v>38</v>
      </c>
      <c r="D1196" s="23"/>
      <c r="E1196" s="12"/>
      <c r="F1196" s="12" t="s">
        <v>6034</v>
      </c>
      <c r="G1196" s="12" t="s">
        <v>6035</v>
      </c>
      <c r="H1196" s="12" t="s">
        <v>596</v>
      </c>
      <c r="I1196" s="23" t="s">
        <v>6036</v>
      </c>
      <c r="J1196" s="12">
        <v>2014.0</v>
      </c>
      <c r="K1196" s="23">
        <v>384.0</v>
      </c>
      <c r="L1196" s="24">
        <v>1.0</v>
      </c>
      <c r="M1196" s="12" t="s">
        <v>340</v>
      </c>
      <c r="N1196" s="26" t="str">
        <f t="shared" si="2"/>
        <v>
AKM
i</v>
      </c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</row>
    <row r="1197">
      <c r="A1197" s="10">
        <v>1196.0</v>
      </c>
      <c r="B1197" s="12" t="s">
        <v>6037</v>
      </c>
      <c r="C1197" s="12" t="s">
        <v>38</v>
      </c>
      <c r="D1197" s="23" t="s">
        <v>445</v>
      </c>
      <c r="E1197" s="12" t="s">
        <v>64</v>
      </c>
      <c r="F1197" s="12" t="s">
        <v>6038</v>
      </c>
      <c r="G1197" s="12" t="s">
        <v>6039</v>
      </c>
      <c r="H1197" s="12" t="s">
        <v>4487</v>
      </c>
      <c r="I1197" s="23" t="s">
        <v>6040</v>
      </c>
      <c r="J1197" s="12">
        <v>2006.0</v>
      </c>
      <c r="K1197" s="23">
        <v>262.0</v>
      </c>
      <c r="L1197" s="24">
        <v>2.0</v>
      </c>
      <c r="M1197" s="25" t="s">
        <v>6041</v>
      </c>
      <c r="N1197" s="26" t="str">
        <f t="shared" si="2"/>
        <v>813
NUR
s</v>
      </c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</row>
    <row r="1198">
      <c r="A1198" s="10">
        <v>1197.0</v>
      </c>
      <c r="B1198" s="12" t="s">
        <v>6042</v>
      </c>
      <c r="C1198" s="12" t="s">
        <v>38</v>
      </c>
      <c r="D1198" s="23"/>
      <c r="E1198" s="12"/>
      <c r="F1198" s="12" t="s">
        <v>177</v>
      </c>
      <c r="G1198" s="12" t="s">
        <v>6043</v>
      </c>
      <c r="H1198" s="12" t="s">
        <v>3417</v>
      </c>
      <c r="I1198" s="23" t="s">
        <v>6044</v>
      </c>
      <c r="J1198" s="12">
        <v>2014.0</v>
      </c>
      <c r="K1198" s="23">
        <v>544.0</v>
      </c>
      <c r="L1198" s="24">
        <v>1.0</v>
      </c>
      <c r="M1198" s="12" t="s">
        <v>340</v>
      </c>
      <c r="N1198" s="26" t="str">
        <f t="shared" si="2"/>
        <v>
TER
r</v>
      </c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</row>
    <row r="1199">
      <c r="A1199" s="10">
        <v>1198.0</v>
      </c>
      <c r="B1199" s="12" t="s">
        <v>6045</v>
      </c>
      <c r="C1199" s="12" t="s">
        <v>38</v>
      </c>
      <c r="D1199" s="23"/>
      <c r="E1199" s="12"/>
      <c r="F1199" s="12" t="s">
        <v>6046</v>
      </c>
      <c r="G1199" s="12" t="s">
        <v>6047</v>
      </c>
      <c r="H1199" s="12" t="s">
        <v>6048</v>
      </c>
      <c r="I1199" s="23" t="s">
        <v>6049</v>
      </c>
      <c r="J1199" s="12">
        <v>2017.0</v>
      </c>
      <c r="K1199" s="23">
        <v>410.0</v>
      </c>
      <c r="L1199" s="24">
        <v>1.0</v>
      </c>
      <c r="M1199" s="12" t="s">
        <v>340</v>
      </c>
      <c r="N1199" s="26" t="str">
        <f t="shared" si="2"/>
        <v>
HEN
p</v>
      </c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</row>
    <row r="1200">
      <c r="A1200" s="10">
        <v>1199.0</v>
      </c>
      <c r="B1200" s="12" t="s">
        <v>6050</v>
      </c>
      <c r="C1200" s="12" t="s">
        <v>38</v>
      </c>
      <c r="D1200" s="23"/>
      <c r="E1200" s="12"/>
      <c r="F1200" s="12" t="s">
        <v>6051</v>
      </c>
      <c r="G1200" s="12" t="s">
        <v>6052</v>
      </c>
      <c r="H1200" s="12" t="s">
        <v>600</v>
      </c>
      <c r="I1200" s="23" t="s">
        <v>6053</v>
      </c>
      <c r="J1200" s="12">
        <v>2014.0</v>
      </c>
      <c r="K1200" s="23">
        <v>172.0</v>
      </c>
      <c r="L1200" s="24">
        <v>1.0</v>
      </c>
      <c r="M1200" s="12" t="s">
        <v>340</v>
      </c>
      <c r="N1200" s="26" t="str">
        <f t="shared" si="2"/>
        <v>
YOV
m</v>
      </c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</row>
    <row r="1201">
      <c r="A1201" s="10">
        <v>1200.0</v>
      </c>
      <c r="B1201" s="12" t="s">
        <v>6054</v>
      </c>
      <c r="C1201" s="12" t="s">
        <v>38</v>
      </c>
      <c r="D1201" s="23"/>
      <c r="E1201" s="12"/>
      <c r="F1201" s="12" t="s">
        <v>6055</v>
      </c>
      <c r="G1201" s="12" t="s">
        <v>6056</v>
      </c>
      <c r="H1201" s="12" t="s">
        <v>600</v>
      </c>
      <c r="I1201" s="23" t="s">
        <v>6057</v>
      </c>
      <c r="J1201" s="12">
        <v>2014.0</v>
      </c>
      <c r="K1201" s="23">
        <v>312.0</v>
      </c>
      <c r="L1201" s="24">
        <v>1.0</v>
      </c>
      <c r="M1201" s="12" t="s">
        <v>340</v>
      </c>
      <c r="N1201" s="26" t="str">
        <f t="shared" si="2"/>
        <v>
NOV
f</v>
      </c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</row>
    <row r="1202">
      <c r="A1202" s="10">
        <v>1201.0</v>
      </c>
      <c r="B1202" s="12" t="s">
        <v>6058</v>
      </c>
      <c r="C1202" s="12" t="s">
        <v>38</v>
      </c>
      <c r="D1202" s="23" t="s">
        <v>445</v>
      </c>
      <c r="E1202" s="12" t="s">
        <v>64</v>
      </c>
      <c r="F1202" s="12" t="s">
        <v>6059</v>
      </c>
      <c r="G1202" s="12" t="s">
        <v>6060</v>
      </c>
      <c r="H1202" s="12" t="s">
        <v>6061</v>
      </c>
      <c r="I1202" s="23" t="s">
        <v>6062</v>
      </c>
      <c r="J1202" s="12">
        <v>2016.0</v>
      </c>
      <c r="K1202" s="23">
        <v>444.0</v>
      </c>
      <c r="L1202" s="24">
        <v>1.0</v>
      </c>
      <c r="M1202" s="38" t="s">
        <v>6063</v>
      </c>
      <c r="N1202" s="26" t="str">
        <f t="shared" si="2"/>
        <v>813
MAR
s</v>
      </c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</row>
    <row r="1203">
      <c r="A1203" s="10">
        <v>1202.0</v>
      </c>
      <c r="B1203" s="12" t="s">
        <v>6064</v>
      </c>
      <c r="C1203" s="12" t="s">
        <v>38</v>
      </c>
      <c r="D1203" s="23"/>
      <c r="E1203" s="12"/>
      <c r="F1203" s="12" t="s">
        <v>6065</v>
      </c>
      <c r="G1203" s="12"/>
      <c r="H1203" s="12" t="s">
        <v>596</v>
      </c>
      <c r="I1203" s="23">
        <v>9.789792289893E12</v>
      </c>
      <c r="J1203" s="12">
        <v>2012.0</v>
      </c>
      <c r="K1203" s="23">
        <v>283.0</v>
      </c>
      <c r="L1203" s="24">
        <v>1.0</v>
      </c>
      <c r="M1203" s="12" t="s">
        <v>340</v>
      </c>
      <c r="N1203" s="26" t="str">
        <f t="shared" si="2"/>
        <v>
HAN
m</v>
      </c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</row>
    <row r="1204">
      <c r="A1204" s="10">
        <v>1203.0</v>
      </c>
      <c r="B1204" s="12" t="s">
        <v>6066</v>
      </c>
      <c r="C1204" s="12" t="s">
        <v>38</v>
      </c>
      <c r="D1204" s="23"/>
      <c r="E1204" s="12"/>
      <c r="F1204" s="12" t="s">
        <v>6067</v>
      </c>
      <c r="G1204" s="12"/>
      <c r="H1204" s="12" t="s">
        <v>596</v>
      </c>
      <c r="I1204" s="23" t="s">
        <v>6068</v>
      </c>
      <c r="J1204" s="12">
        <v>2007.0</v>
      </c>
      <c r="K1204" s="23">
        <v>264.0</v>
      </c>
      <c r="L1204" s="24">
        <v>1.0</v>
      </c>
      <c r="M1204" s="12" t="s">
        <v>340</v>
      </c>
      <c r="N1204" s="26" t="str">
        <f t="shared" si="2"/>
        <v>
TRI
t</v>
      </c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</row>
    <row r="1205">
      <c r="A1205" s="10">
        <v>1204.0</v>
      </c>
      <c r="B1205" s="12" t="s">
        <v>6069</v>
      </c>
      <c r="C1205" s="12" t="s">
        <v>38</v>
      </c>
      <c r="D1205" s="23"/>
      <c r="E1205" s="12"/>
      <c r="F1205" s="12" t="s">
        <v>6070</v>
      </c>
      <c r="G1205" s="12"/>
      <c r="H1205" s="12" t="s">
        <v>600</v>
      </c>
      <c r="I1205" s="23" t="s">
        <v>6071</v>
      </c>
      <c r="J1205" s="12">
        <v>2007.0</v>
      </c>
      <c r="K1205" s="23">
        <v>368.0</v>
      </c>
      <c r="L1205" s="24">
        <v>1.0</v>
      </c>
      <c r="M1205" s="12" t="s">
        <v>340</v>
      </c>
      <c r="N1205" s="26" t="str">
        <f t="shared" si="2"/>
        <v>
GEO
m</v>
      </c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</row>
    <row r="1206">
      <c r="A1206" s="10">
        <v>1205.0</v>
      </c>
      <c r="B1206" s="12" t="s">
        <v>6072</v>
      </c>
      <c r="C1206" s="12" t="s">
        <v>38</v>
      </c>
      <c r="D1206" s="23"/>
      <c r="E1206" s="12"/>
      <c r="F1206" s="12" t="s">
        <v>6073</v>
      </c>
      <c r="G1206" s="12" t="s">
        <v>6074</v>
      </c>
      <c r="H1206" s="12" t="s">
        <v>6075</v>
      </c>
      <c r="I1206" s="23" t="s">
        <v>6076</v>
      </c>
      <c r="J1206" s="12">
        <v>2018.0</v>
      </c>
      <c r="K1206" s="23">
        <v>332.0</v>
      </c>
      <c r="L1206" s="24">
        <v>1.0</v>
      </c>
      <c r="M1206" s="12" t="s">
        <v>340</v>
      </c>
      <c r="N1206" s="26" t="str">
        <f t="shared" si="2"/>
        <v>
BOY
c</v>
      </c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</row>
    <row r="1207">
      <c r="A1207" s="10">
        <v>1206.0</v>
      </c>
      <c r="B1207" s="12" t="s">
        <v>6077</v>
      </c>
      <c r="C1207" s="12" t="s">
        <v>38</v>
      </c>
      <c r="D1207" s="23" t="s">
        <v>445</v>
      </c>
      <c r="E1207" s="12" t="s">
        <v>64</v>
      </c>
      <c r="F1207" s="12" t="s">
        <v>6078</v>
      </c>
      <c r="G1207" s="12" t="s">
        <v>6079</v>
      </c>
      <c r="H1207" s="12" t="s">
        <v>596</v>
      </c>
      <c r="I1207" s="23" t="s">
        <v>6080</v>
      </c>
      <c r="J1207" s="12">
        <v>2013.0</v>
      </c>
      <c r="K1207" s="23">
        <v>328.0</v>
      </c>
      <c r="L1207" s="24">
        <v>1.0</v>
      </c>
      <c r="M1207" s="25" t="s">
        <v>6081</v>
      </c>
      <c r="N1207" s="26" t="str">
        <f t="shared" si="2"/>
        <v>813
FIS
b</v>
      </c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</row>
    <row r="1208">
      <c r="A1208" s="10">
        <v>1207.0</v>
      </c>
      <c r="B1208" s="12" t="s">
        <v>6082</v>
      </c>
      <c r="C1208" s="12" t="s">
        <v>38</v>
      </c>
      <c r="D1208" s="23"/>
      <c r="E1208" s="12"/>
      <c r="F1208" s="12" t="s">
        <v>177</v>
      </c>
      <c r="G1208" s="12" t="s">
        <v>6083</v>
      </c>
      <c r="H1208" s="12" t="s">
        <v>3417</v>
      </c>
      <c r="I1208" s="23"/>
      <c r="J1208" s="12">
        <v>2018.0</v>
      </c>
      <c r="K1208" s="23">
        <v>455.0</v>
      </c>
      <c r="L1208" s="24">
        <v>1.0</v>
      </c>
      <c r="M1208" s="12" t="s">
        <v>340</v>
      </c>
      <c r="N1208" s="26" t="str">
        <f t="shared" si="2"/>
        <v>
TER
p</v>
      </c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</row>
    <row r="1209">
      <c r="A1209" s="10">
        <v>1208.0</v>
      </c>
      <c r="B1209" s="12" t="s">
        <v>6084</v>
      </c>
      <c r="C1209" s="12" t="s">
        <v>38</v>
      </c>
      <c r="D1209" s="23"/>
      <c r="E1209" s="12"/>
      <c r="F1209" s="12" t="s">
        <v>6085</v>
      </c>
      <c r="G1209" s="12" t="s">
        <v>6086</v>
      </c>
      <c r="H1209" s="12" t="s">
        <v>596</v>
      </c>
      <c r="I1209" s="23" t="s">
        <v>6087</v>
      </c>
      <c r="J1209" s="12">
        <v>2014.0</v>
      </c>
      <c r="K1209" s="23">
        <v>256.0</v>
      </c>
      <c r="L1209" s="24">
        <v>1.0</v>
      </c>
      <c r="M1209" s="12" t="s">
        <v>340</v>
      </c>
      <c r="N1209" s="26" t="str">
        <f t="shared" si="2"/>
        <v>
LOM
t</v>
      </c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</row>
    <row r="1210">
      <c r="A1210" s="10">
        <v>1209.0</v>
      </c>
      <c r="B1210" s="12" t="s">
        <v>6088</v>
      </c>
      <c r="C1210" s="12" t="s">
        <v>38</v>
      </c>
      <c r="D1210" s="23"/>
      <c r="E1210" s="12"/>
      <c r="F1210" s="12" t="s">
        <v>6073</v>
      </c>
      <c r="G1210" s="12" t="s">
        <v>6089</v>
      </c>
      <c r="H1210" s="12" t="s">
        <v>6090</v>
      </c>
      <c r="I1210" s="23">
        <v>9.789797945305E12</v>
      </c>
      <c r="J1210" s="12">
        <v>2016.0</v>
      </c>
      <c r="K1210" s="23">
        <v>128.0</v>
      </c>
      <c r="L1210" s="24">
        <v>1.0</v>
      </c>
      <c r="M1210" s="12" t="s">
        <v>340</v>
      </c>
      <c r="N1210" s="26" t="str">
        <f t="shared" si="2"/>
        <v>
BOY
k</v>
      </c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</row>
    <row r="1211">
      <c r="A1211" s="10">
        <v>1210.0</v>
      </c>
      <c r="B1211" s="12" t="s">
        <v>6091</v>
      </c>
      <c r="C1211" s="12" t="s">
        <v>38</v>
      </c>
      <c r="D1211" s="23"/>
      <c r="E1211" s="12"/>
      <c r="F1211" s="12" t="s">
        <v>5956</v>
      </c>
      <c r="G1211" s="12"/>
      <c r="H1211" s="12" t="s">
        <v>5854</v>
      </c>
      <c r="I1211" s="23">
        <v>9.786022514886E12</v>
      </c>
      <c r="J1211" s="12">
        <v>2014.0</v>
      </c>
      <c r="K1211" s="23">
        <v>162.0</v>
      </c>
      <c r="L1211" s="24">
        <v>1.0</v>
      </c>
      <c r="M1211" s="12" t="s">
        <v>340</v>
      </c>
      <c r="N1211" s="26" t="str">
        <f t="shared" si="2"/>
        <v>
NET
t</v>
      </c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</row>
    <row r="1212">
      <c r="A1212" s="10">
        <v>1211.0</v>
      </c>
      <c r="B1212" s="12" t="s">
        <v>6092</v>
      </c>
      <c r="C1212" s="12" t="s">
        <v>38</v>
      </c>
      <c r="D1212" s="23">
        <v>811.0</v>
      </c>
      <c r="E1212" s="12" t="s">
        <v>486</v>
      </c>
      <c r="F1212" s="12" t="s">
        <v>6093</v>
      </c>
      <c r="G1212" s="12" t="s">
        <v>6094</v>
      </c>
      <c r="H1212" s="12" t="s">
        <v>6095</v>
      </c>
      <c r="I1212" s="23" t="s">
        <v>6096</v>
      </c>
      <c r="J1212" s="12">
        <v>2011.0</v>
      </c>
      <c r="K1212" s="23">
        <v>302.0</v>
      </c>
      <c r="L1212" s="24">
        <v>1.0</v>
      </c>
      <c r="M1212" s="25" t="s">
        <v>6097</v>
      </c>
      <c r="N1212" s="26" t="str">
        <f t="shared" si="2"/>
        <v>811
YAP
p</v>
      </c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</row>
    <row r="1213">
      <c r="A1213" s="10">
        <v>1212.0</v>
      </c>
      <c r="B1213" s="12" t="s">
        <v>6098</v>
      </c>
      <c r="C1213" s="12" t="s">
        <v>38</v>
      </c>
      <c r="D1213" s="23"/>
      <c r="E1213" s="12"/>
      <c r="F1213" s="12" t="s">
        <v>6099</v>
      </c>
      <c r="G1213" s="12" t="s">
        <v>6100</v>
      </c>
      <c r="H1213" s="12" t="s">
        <v>600</v>
      </c>
      <c r="I1213" s="23" t="s">
        <v>6101</v>
      </c>
      <c r="J1213" s="12">
        <v>2013.0</v>
      </c>
      <c r="K1213" s="23">
        <v>225.0</v>
      </c>
      <c r="L1213" s="24">
        <v>1.0</v>
      </c>
      <c r="M1213" s="12" t="s">
        <v>340</v>
      </c>
      <c r="N1213" s="26" t="str">
        <f t="shared" si="2"/>
        <v>
GUN
m</v>
      </c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</row>
    <row r="1214">
      <c r="A1214" s="10">
        <v>1213.0</v>
      </c>
      <c r="B1214" s="12" t="s">
        <v>6102</v>
      </c>
      <c r="C1214" s="12" t="s">
        <v>38</v>
      </c>
      <c r="D1214" s="23">
        <v>813.0</v>
      </c>
      <c r="E1214" s="12" t="s">
        <v>6103</v>
      </c>
      <c r="F1214" s="12" t="s">
        <v>6104</v>
      </c>
      <c r="G1214" s="12"/>
      <c r="H1214" s="12" t="s">
        <v>600</v>
      </c>
      <c r="I1214" s="23" t="s">
        <v>6105</v>
      </c>
      <c r="J1214" s="12">
        <v>2014.0</v>
      </c>
      <c r="K1214" s="23">
        <v>216.0</v>
      </c>
      <c r="L1214" s="24">
        <v>1.0</v>
      </c>
      <c r="M1214" s="25" t="s">
        <v>6106</v>
      </c>
      <c r="N1214" s="26" t="str">
        <f t="shared" si="2"/>
        <v>813
LUN
l</v>
      </c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</row>
    <row r="1215">
      <c r="A1215" s="10">
        <v>1214.0</v>
      </c>
      <c r="B1215" s="12" t="s">
        <v>6107</v>
      </c>
      <c r="C1215" s="12" t="s">
        <v>38</v>
      </c>
      <c r="D1215" s="23"/>
      <c r="E1215" s="12"/>
      <c r="F1215" s="12" t="s">
        <v>6108</v>
      </c>
      <c r="G1215" s="12" t="s">
        <v>6109</v>
      </c>
      <c r="H1215" s="12" t="s">
        <v>6090</v>
      </c>
      <c r="I1215" s="23" t="s">
        <v>6110</v>
      </c>
      <c r="J1215" s="12">
        <v>2018.0</v>
      </c>
      <c r="K1215" s="23">
        <v>300.0</v>
      </c>
      <c r="L1215" s="24">
        <v>1.0</v>
      </c>
      <c r="M1215" s="12" t="s">
        <v>340</v>
      </c>
      <c r="N1215" s="26" t="str">
        <f t="shared" si="2"/>
        <v>
FIE
a</v>
      </c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</row>
    <row r="1216">
      <c r="A1216" s="10">
        <v>1215.0</v>
      </c>
      <c r="B1216" s="12" t="s">
        <v>6111</v>
      </c>
      <c r="C1216" s="12" t="s">
        <v>38</v>
      </c>
      <c r="D1216" s="23" t="s">
        <v>445</v>
      </c>
      <c r="E1216" s="12" t="s">
        <v>64</v>
      </c>
      <c r="F1216" s="12" t="s">
        <v>6112</v>
      </c>
      <c r="G1216" s="12"/>
      <c r="H1216" s="12" t="s">
        <v>1965</v>
      </c>
      <c r="I1216" s="23" t="s">
        <v>6113</v>
      </c>
      <c r="J1216" s="12">
        <v>2011.0</v>
      </c>
      <c r="K1216" s="23">
        <v>143.0</v>
      </c>
      <c r="L1216" s="24">
        <v>1.0</v>
      </c>
      <c r="M1216" s="38" t="s">
        <v>6114</v>
      </c>
      <c r="N1216" s="26" t="str">
        <f t="shared" si="2"/>
        <v>813
PUT
v</v>
      </c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</row>
    <row r="1217">
      <c r="A1217" s="10">
        <v>1216.0</v>
      </c>
      <c r="B1217" s="12" t="s">
        <v>6115</v>
      </c>
      <c r="C1217" s="12" t="s">
        <v>38</v>
      </c>
      <c r="D1217" s="23"/>
      <c r="E1217" s="12"/>
      <c r="F1217" s="12" t="s">
        <v>6116</v>
      </c>
      <c r="G1217" s="12"/>
      <c r="H1217" s="12" t="s">
        <v>6117</v>
      </c>
      <c r="I1217" s="23" t="s">
        <v>6118</v>
      </c>
      <c r="J1217" s="12">
        <v>2007.0</v>
      </c>
      <c r="K1217" s="23">
        <v>216.0</v>
      </c>
      <c r="L1217" s="24">
        <v>1.0</v>
      </c>
      <c r="M1217" s="12" t="s">
        <v>340</v>
      </c>
      <c r="N1217" s="26" t="str">
        <f t="shared" si="2"/>
        <v>
DEW
i</v>
      </c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</row>
    <row r="1218">
      <c r="A1218" s="10">
        <v>1217.0</v>
      </c>
      <c r="B1218" s="12" t="s">
        <v>6119</v>
      </c>
      <c r="C1218" s="12" t="s">
        <v>38</v>
      </c>
      <c r="D1218" s="23">
        <v>811.0</v>
      </c>
      <c r="E1218" s="12" t="s">
        <v>486</v>
      </c>
      <c r="F1218" s="12" t="s">
        <v>6120</v>
      </c>
      <c r="G1218" s="12"/>
      <c r="H1218" s="12" t="s">
        <v>6121</v>
      </c>
      <c r="I1218" s="23"/>
      <c r="J1218" s="12">
        <v>1995.0</v>
      </c>
      <c r="K1218" s="23">
        <v>103.0</v>
      </c>
      <c r="L1218" s="24">
        <v>2.0</v>
      </c>
      <c r="M1218" s="25" t="s">
        <v>6122</v>
      </c>
      <c r="N1218" s="26" t="str">
        <f t="shared" si="2"/>
        <v>811
ADE
t</v>
      </c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</row>
    <row r="1219">
      <c r="A1219" s="10">
        <v>1218.0</v>
      </c>
      <c r="B1219" s="12" t="s">
        <v>6123</v>
      </c>
      <c r="C1219" s="12" t="s">
        <v>38</v>
      </c>
      <c r="D1219" s="23"/>
      <c r="E1219" s="12"/>
      <c r="F1219" s="12" t="s">
        <v>6124</v>
      </c>
      <c r="G1219" s="12"/>
      <c r="H1219" s="12" t="s">
        <v>6125</v>
      </c>
      <c r="I1219" s="23" t="s">
        <v>6126</v>
      </c>
      <c r="J1219" s="12">
        <v>2010.0</v>
      </c>
      <c r="K1219" s="23">
        <v>534.0</v>
      </c>
      <c r="L1219" s="24">
        <v>1.0</v>
      </c>
      <c r="M1219" s="12" t="s">
        <v>340</v>
      </c>
      <c r="N1219" s="26" t="str">
        <f t="shared" si="2"/>
        <v>
OLI
a</v>
      </c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</row>
    <row r="1220">
      <c r="A1220" s="10">
        <v>1219.0</v>
      </c>
      <c r="B1220" s="12" t="s">
        <v>6127</v>
      </c>
      <c r="C1220" s="12" t="s">
        <v>38</v>
      </c>
      <c r="D1220" s="23">
        <v>823.0</v>
      </c>
      <c r="E1220" s="12" t="s">
        <v>6128</v>
      </c>
      <c r="F1220" s="12" t="s">
        <v>6129</v>
      </c>
      <c r="G1220" s="12"/>
      <c r="H1220" s="12" t="s">
        <v>5629</v>
      </c>
      <c r="I1220" s="23">
        <v>9.795230123E9</v>
      </c>
      <c r="J1220" s="12">
        <v>1992.0</v>
      </c>
      <c r="K1220" s="23">
        <v>56.0</v>
      </c>
      <c r="L1220" s="24">
        <v>1.0</v>
      </c>
      <c r="M1220" s="25" t="s">
        <v>6130</v>
      </c>
      <c r="N1220" s="26" t="str">
        <f t="shared" si="2"/>
        <v>823
BRA
t</v>
      </c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</row>
    <row r="1221">
      <c r="A1221" s="10">
        <v>1220.0</v>
      </c>
      <c r="B1221" s="12" t="s">
        <v>6131</v>
      </c>
      <c r="C1221" s="12" t="s">
        <v>38</v>
      </c>
      <c r="D1221" s="23" t="s">
        <v>5344</v>
      </c>
      <c r="E1221" s="12" t="s">
        <v>2437</v>
      </c>
      <c r="F1221" s="12" t="s">
        <v>6132</v>
      </c>
      <c r="G1221" s="12"/>
      <c r="H1221" s="12" t="s">
        <v>5629</v>
      </c>
      <c r="I1221" s="23" t="s">
        <v>6133</v>
      </c>
      <c r="J1221" s="12">
        <v>1991.0</v>
      </c>
      <c r="K1221" s="23">
        <v>49.0</v>
      </c>
      <c r="L1221" s="24">
        <v>1.0</v>
      </c>
      <c r="M1221" s="38" t="s">
        <v>6134</v>
      </c>
      <c r="N1221" s="26" t="str">
        <f t="shared" si="2"/>
        <v>823
JOH
t</v>
      </c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</row>
    <row r="1222">
      <c r="A1222" s="10">
        <v>1221.0</v>
      </c>
      <c r="B1222" s="12" t="s">
        <v>6135</v>
      </c>
      <c r="C1222" s="12" t="s">
        <v>38</v>
      </c>
      <c r="D1222" s="23" t="s">
        <v>5344</v>
      </c>
      <c r="E1222" s="12" t="s">
        <v>2437</v>
      </c>
      <c r="F1222" s="12" t="s">
        <v>6136</v>
      </c>
      <c r="G1222" s="12"/>
      <c r="H1222" s="12" t="s">
        <v>5629</v>
      </c>
      <c r="I1222" s="23">
        <v>9.795230034E9</v>
      </c>
      <c r="J1222" s="12">
        <v>1993.0</v>
      </c>
      <c r="K1222" s="23">
        <v>70.0</v>
      </c>
      <c r="L1222" s="24">
        <v>1.0</v>
      </c>
      <c r="M1222" s="38" t="s">
        <v>6137</v>
      </c>
      <c r="N1222" s="26" t="str">
        <f t="shared" si="2"/>
        <v>823
PIE
t</v>
      </c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</row>
    <row r="1223">
      <c r="A1223" s="10">
        <v>1222.0</v>
      </c>
      <c r="B1223" s="12" t="s">
        <v>6138</v>
      </c>
      <c r="C1223" s="12" t="s">
        <v>38</v>
      </c>
      <c r="D1223" s="23">
        <v>823.0</v>
      </c>
      <c r="E1223" s="12" t="s">
        <v>6128</v>
      </c>
      <c r="F1223" s="12" t="s">
        <v>6132</v>
      </c>
      <c r="G1223" s="12"/>
      <c r="H1223" s="12" t="s">
        <v>5629</v>
      </c>
      <c r="I1223" s="23" t="s">
        <v>6139</v>
      </c>
      <c r="J1223" s="12">
        <v>1982.0</v>
      </c>
      <c r="K1223" s="23">
        <v>70.0</v>
      </c>
      <c r="L1223" s="24">
        <v>1.0</v>
      </c>
      <c r="M1223" s="25" t="s">
        <v>6140</v>
      </c>
      <c r="N1223" s="26" t="str">
        <f t="shared" si="2"/>
        <v>823
JOH
t</v>
      </c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</row>
    <row r="1224">
      <c r="A1224" s="10">
        <v>1223.0</v>
      </c>
      <c r="B1224" s="12" t="s">
        <v>6141</v>
      </c>
      <c r="C1224" s="12" t="s">
        <v>38</v>
      </c>
      <c r="D1224" s="23" t="s">
        <v>445</v>
      </c>
      <c r="E1224" s="12" t="s">
        <v>64</v>
      </c>
      <c r="F1224" s="12" t="s">
        <v>6142</v>
      </c>
      <c r="G1224" s="12" t="s">
        <v>6143</v>
      </c>
      <c r="H1224" s="12" t="s">
        <v>4487</v>
      </c>
      <c r="I1224" s="23">
        <v>9.789794072189E12</v>
      </c>
      <c r="J1224" s="12">
        <v>2010.0</v>
      </c>
      <c r="K1224" s="23">
        <v>176.0</v>
      </c>
      <c r="L1224" s="24">
        <v>3.0</v>
      </c>
      <c r="M1224" s="38" t="s">
        <v>6144</v>
      </c>
      <c r="N1224" s="26" t="str">
        <f t="shared" si="2"/>
        <v>813
IDR
d</v>
      </c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</row>
    <row r="1225">
      <c r="A1225" s="10">
        <v>1224.0</v>
      </c>
      <c r="B1225" s="12" t="s">
        <v>6145</v>
      </c>
      <c r="C1225" s="12" t="s">
        <v>38</v>
      </c>
      <c r="D1225" s="23">
        <v>813.0</v>
      </c>
      <c r="E1225" s="12" t="s">
        <v>64</v>
      </c>
      <c r="F1225" s="12" t="s">
        <v>6146</v>
      </c>
      <c r="G1225" s="12" t="s">
        <v>6147</v>
      </c>
      <c r="H1225" s="12" t="s">
        <v>6148</v>
      </c>
      <c r="I1225" s="23">
        <v>9.786022202264E12</v>
      </c>
      <c r="J1225" s="12">
        <v>2017.0</v>
      </c>
      <c r="K1225" s="23">
        <v>208.0</v>
      </c>
      <c r="L1225" s="24">
        <v>2.0</v>
      </c>
      <c r="M1225" s="25" t="s">
        <v>6149</v>
      </c>
      <c r="N1225" s="26" t="str">
        <f t="shared" si="2"/>
        <v>813
RIS
w</v>
      </c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</row>
    <row r="1226">
      <c r="A1226" s="10">
        <v>1225.0</v>
      </c>
      <c r="B1226" s="12" t="s">
        <v>6150</v>
      </c>
      <c r="C1226" s="12" t="s">
        <v>38</v>
      </c>
      <c r="D1226" s="23"/>
      <c r="E1226" s="12"/>
      <c r="F1226" s="12" t="s">
        <v>6151</v>
      </c>
      <c r="G1226" s="12" t="s">
        <v>6152</v>
      </c>
      <c r="H1226" s="12" t="s">
        <v>6153</v>
      </c>
      <c r="I1226" s="23" t="s">
        <v>6154</v>
      </c>
      <c r="J1226" s="12">
        <v>2018.0</v>
      </c>
      <c r="K1226" s="23">
        <v>341.0</v>
      </c>
      <c r="L1226" s="24">
        <v>1.0</v>
      </c>
      <c r="M1226" s="12" t="s">
        <v>340</v>
      </c>
      <c r="N1226" s="26" t="str">
        <f t="shared" si="2"/>
        <v>
NAB
n</v>
      </c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</row>
    <row r="1227">
      <c r="A1227" s="10">
        <v>1226.0</v>
      </c>
      <c r="B1227" s="12" t="s">
        <v>6155</v>
      </c>
      <c r="C1227" s="12" t="s">
        <v>38</v>
      </c>
      <c r="D1227" s="23"/>
      <c r="E1227" s="12"/>
      <c r="F1227" s="12" t="s">
        <v>6156</v>
      </c>
      <c r="G1227" s="12" t="s">
        <v>6157</v>
      </c>
      <c r="H1227" s="12" t="s">
        <v>6158</v>
      </c>
      <c r="I1227" s="23" t="s">
        <v>6159</v>
      </c>
      <c r="J1227" s="12">
        <v>2015.0</v>
      </c>
      <c r="K1227" s="23">
        <v>282.0</v>
      </c>
      <c r="L1227" s="24">
        <v>1.0</v>
      </c>
      <c r="M1227" s="12" t="s">
        <v>340</v>
      </c>
      <c r="N1227" s="26" t="str">
        <f t="shared" si="2"/>
        <v>
H. 
r</v>
      </c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</row>
    <row r="1228">
      <c r="A1228" s="10">
        <v>1227.0</v>
      </c>
      <c r="B1228" s="12" t="s">
        <v>6160</v>
      </c>
      <c r="C1228" s="12" t="s">
        <v>38</v>
      </c>
      <c r="D1228" s="23">
        <v>813.0</v>
      </c>
      <c r="E1228" s="12" t="s">
        <v>64</v>
      </c>
      <c r="F1228" s="12" t="s">
        <v>6161</v>
      </c>
      <c r="G1228" s="12" t="s">
        <v>6162</v>
      </c>
      <c r="H1228" s="12" t="s">
        <v>2510</v>
      </c>
      <c r="I1228" s="23">
        <v>9.789794073605E12</v>
      </c>
      <c r="J1228" s="12">
        <v>2010.0</v>
      </c>
      <c r="K1228" s="23">
        <v>206.0</v>
      </c>
      <c r="L1228" s="24">
        <v>1.0</v>
      </c>
      <c r="M1228" s="38" t="s">
        <v>6163</v>
      </c>
      <c r="N1228" s="26" t="str">
        <f t="shared" si="2"/>
        <v>813
SUT
s</v>
      </c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</row>
    <row r="1229">
      <c r="A1229" s="10">
        <v>1228.0</v>
      </c>
      <c r="B1229" s="12" t="s">
        <v>6164</v>
      </c>
      <c r="C1229" s="12" t="s">
        <v>38</v>
      </c>
      <c r="D1229" s="23">
        <v>811.0</v>
      </c>
      <c r="E1229" s="12" t="s">
        <v>5563</v>
      </c>
      <c r="F1229" s="12" t="s">
        <v>5491</v>
      </c>
      <c r="G1229" s="12"/>
      <c r="H1229" s="12" t="s">
        <v>600</v>
      </c>
      <c r="I1229" s="23">
        <v>9.786020312873E12</v>
      </c>
      <c r="J1229" s="12">
        <v>2015.0</v>
      </c>
      <c r="K1229" s="23">
        <v>131.0</v>
      </c>
      <c r="L1229" s="24">
        <v>3.0</v>
      </c>
      <c r="M1229" s="25" t="s">
        <v>6165</v>
      </c>
      <c r="N1229" s="26" t="str">
        <f t="shared" si="2"/>
        <v>811
CHA
a</v>
      </c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</row>
    <row r="1230">
      <c r="A1230" s="10">
        <v>1229.0</v>
      </c>
      <c r="B1230" s="12" t="s">
        <v>6166</v>
      </c>
      <c r="C1230" s="12" t="s">
        <v>38</v>
      </c>
      <c r="D1230" s="23">
        <v>813.0</v>
      </c>
      <c r="E1230" s="12" t="s">
        <v>1089</v>
      </c>
      <c r="F1230" s="12" t="s">
        <v>6073</v>
      </c>
      <c r="G1230" s="12" t="s">
        <v>6089</v>
      </c>
      <c r="H1230" s="12" t="s">
        <v>6167</v>
      </c>
      <c r="I1230" s="23">
        <v>9.789797945442E12</v>
      </c>
      <c r="J1230" s="12">
        <v>2017.0</v>
      </c>
      <c r="K1230" s="23">
        <v>190.0</v>
      </c>
      <c r="L1230" s="24">
        <v>1.0</v>
      </c>
      <c r="M1230" s="38" t="s">
        <v>6168</v>
      </c>
      <c r="N1230" s="26" t="str">
        <f t="shared" si="2"/>
        <v>813
BOY
s</v>
      </c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</row>
    <row r="1231">
      <c r="A1231" s="10">
        <v>1230.0</v>
      </c>
      <c r="B1231" s="12" t="s">
        <v>6169</v>
      </c>
      <c r="C1231" s="12" t="s">
        <v>38</v>
      </c>
      <c r="D1231" s="23"/>
      <c r="E1231" s="12"/>
      <c r="F1231" s="12" t="s">
        <v>6170</v>
      </c>
      <c r="G1231" s="12" t="s">
        <v>6171</v>
      </c>
      <c r="H1231" s="12" t="s">
        <v>6172</v>
      </c>
      <c r="I1231" s="23" t="s">
        <v>6173</v>
      </c>
      <c r="J1231" s="12">
        <v>2014.0</v>
      </c>
      <c r="K1231" s="23">
        <v>228.0</v>
      </c>
      <c r="L1231" s="24">
        <v>1.0</v>
      </c>
      <c r="M1231" s="12" t="s">
        <v>340</v>
      </c>
      <c r="N1231" s="26" t="str">
        <f t="shared" si="2"/>
        <v>
EID
c</v>
      </c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</row>
    <row r="1232">
      <c r="A1232" s="10">
        <v>1231.0</v>
      </c>
      <c r="B1232" s="12" t="s">
        <v>6174</v>
      </c>
      <c r="C1232" s="12" t="s">
        <v>38</v>
      </c>
      <c r="D1232" s="23"/>
      <c r="E1232" s="12"/>
      <c r="F1232" s="12" t="s">
        <v>6175</v>
      </c>
      <c r="G1232" s="12"/>
      <c r="H1232" s="12" t="s">
        <v>596</v>
      </c>
      <c r="I1232" s="23" t="s">
        <v>6176</v>
      </c>
      <c r="J1232" s="12">
        <v>2014.0</v>
      </c>
      <c r="K1232" s="23">
        <v>224.0</v>
      </c>
      <c r="L1232" s="24">
        <v>1.0</v>
      </c>
      <c r="M1232" s="12" t="s">
        <v>340</v>
      </c>
      <c r="N1232" s="26" t="str">
        <f t="shared" si="2"/>
        <v>
DEL
n</v>
      </c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</row>
    <row r="1233">
      <c r="A1233" s="10">
        <v>1232.0</v>
      </c>
      <c r="B1233" s="12" t="s">
        <v>6177</v>
      </c>
      <c r="C1233" s="12" t="s">
        <v>38</v>
      </c>
      <c r="D1233" s="23" t="s">
        <v>445</v>
      </c>
      <c r="E1233" s="12" t="s">
        <v>64</v>
      </c>
      <c r="F1233" s="12" t="s">
        <v>6178</v>
      </c>
      <c r="G1233" s="12" t="s">
        <v>6007</v>
      </c>
      <c r="H1233" s="12" t="s">
        <v>1965</v>
      </c>
      <c r="I1233" s="23">
        <v>9.786022514374E12</v>
      </c>
      <c r="J1233" s="12">
        <v>2014.0</v>
      </c>
      <c r="K1233" s="23">
        <v>192.0</v>
      </c>
      <c r="L1233" s="24">
        <v>1.0</v>
      </c>
      <c r="M1233" s="38" t="s">
        <v>6179</v>
      </c>
      <c r="N1233" s="26" t="str">
        <f t="shared" si="2"/>
        <v>813
ARY
s</v>
      </c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</row>
    <row r="1234">
      <c r="A1234" s="10">
        <v>1233.0</v>
      </c>
      <c r="B1234" s="12" t="s">
        <v>6180</v>
      </c>
      <c r="C1234" s="12" t="s">
        <v>38</v>
      </c>
      <c r="D1234" s="23" t="s">
        <v>445</v>
      </c>
      <c r="E1234" s="12" t="s">
        <v>64</v>
      </c>
      <c r="F1234" s="12" t="s">
        <v>6181</v>
      </c>
      <c r="G1234" s="12" t="s">
        <v>6182</v>
      </c>
      <c r="H1234" s="12" t="s">
        <v>596</v>
      </c>
      <c r="I1234" s="23">
        <v>9.786020302256E12</v>
      </c>
      <c r="J1234" s="12">
        <v>2014.0</v>
      </c>
      <c r="K1234" s="23">
        <v>432.0</v>
      </c>
      <c r="L1234" s="24">
        <v>1.0</v>
      </c>
      <c r="M1234" s="38" t="s">
        <v>6183</v>
      </c>
      <c r="N1234" s="26" t="str">
        <f t="shared" si="2"/>
        <v>813
LEA
f</v>
      </c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</row>
    <row r="1235">
      <c r="A1235" s="10">
        <v>1234.0</v>
      </c>
      <c r="B1235" s="12" t="s">
        <v>6184</v>
      </c>
      <c r="C1235" s="12" t="s">
        <v>38</v>
      </c>
      <c r="D1235" s="23">
        <v>813.0</v>
      </c>
      <c r="E1235" s="12" t="s">
        <v>64</v>
      </c>
      <c r="F1235" s="12" t="s">
        <v>6185</v>
      </c>
      <c r="G1235" s="12" t="s">
        <v>6186</v>
      </c>
      <c r="H1235" s="12" t="s">
        <v>6158</v>
      </c>
      <c r="I1235" s="23">
        <v>9.789790244559E12</v>
      </c>
      <c r="J1235" s="12">
        <v>2011.0</v>
      </c>
      <c r="K1235" s="23">
        <v>371.0</v>
      </c>
      <c r="L1235" s="24">
        <v>1.0</v>
      </c>
      <c r="M1235" s="25" t="s">
        <v>6187</v>
      </c>
      <c r="N1235" s="26" t="str">
        <f t="shared" si="2"/>
        <v>813
TON
g</v>
      </c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</row>
    <row r="1236">
      <c r="A1236" s="10">
        <v>1235.0</v>
      </c>
      <c r="B1236" s="12" t="s">
        <v>6188</v>
      </c>
      <c r="C1236" s="12" t="s">
        <v>38</v>
      </c>
      <c r="D1236" s="23">
        <v>811.0</v>
      </c>
      <c r="E1236" s="12" t="s">
        <v>5594</v>
      </c>
      <c r="F1236" s="12" t="s">
        <v>6189</v>
      </c>
      <c r="G1236" s="12"/>
      <c r="H1236" s="12" t="s">
        <v>6190</v>
      </c>
      <c r="I1236" s="23"/>
      <c r="J1236" s="12">
        <v>1994.0</v>
      </c>
      <c r="K1236" s="23">
        <v>88.0</v>
      </c>
      <c r="L1236" s="24">
        <v>2.0</v>
      </c>
      <c r="M1236" s="25" t="s">
        <v>6191</v>
      </c>
      <c r="N1236" s="26" t="str">
        <f t="shared" si="2"/>
        <v>811
WIL
s</v>
      </c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</row>
    <row r="1237">
      <c r="A1237" s="10">
        <v>1236.0</v>
      </c>
      <c r="B1237" s="12" t="s">
        <v>5627</v>
      </c>
      <c r="C1237" s="12" t="s">
        <v>38</v>
      </c>
      <c r="D1237" s="23"/>
      <c r="E1237" s="12"/>
      <c r="F1237" s="12" t="s">
        <v>5628</v>
      </c>
      <c r="G1237" s="12"/>
      <c r="H1237" s="12" t="s">
        <v>5629</v>
      </c>
      <c r="I1237" s="23" t="s">
        <v>6192</v>
      </c>
      <c r="J1237" s="12">
        <v>2010.0</v>
      </c>
      <c r="K1237" s="23">
        <v>150.0</v>
      </c>
      <c r="L1237" s="24">
        <v>1.0</v>
      </c>
      <c r="M1237" s="12" t="s">
        <v>340</v>
      </c>
      <c r="N1237" s="26" t="str">
        <f t="shared" si="2"/>
        <v>
ARM
b</v>
      </c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</row>
    <row r="1238">
      <c r="A1238" s="10">
        <v>1237.0</v>
      </c>
      <c r="B1238" s="12" t="s">
        <v>6193</v>
      </c>
      <c r="C1238" s="12" t="s">
        <v>38</v>
      </c>
      <c r="D1238" s="23"/>
      <c r="E1238" s="12"/>
      <c r="F1238" s="12" t="s">
        <v>6146</v>
      </c>
      <c r="G1238" s="12"/>
      <c r="H1238" s="12" t="s">
        <v>6194</v>
      </c>
      <c r="I1238" s="23"/>
      <c r="J1238" s="12"/>
      <c r="K1238" s="23">
        <v>280.0</v>
      </c>
      <c r="L1238" s="24">
        <v>1.0</v>
      </c>
      <c r="M1238" s="12" t="s">
        <v>340</v>
      </c>
      <c r="N1238" s="26" t="str">
        <f t="shared" si="2"/>
        <v>
RIS
a</v>
      </c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</row>
    <row r="1239">
      <c r="A1239" s="10">
        <v>1238.0</v>
      </c>
      <c r="B1239" s="12" t="s">
        <v>6195</v>
      </c>
      <c r="C1239" s="12" t="s">
        <v>38</v>
      </c>
      <c r="D1239" s="23">
        <v>814.0</v>
      </c>
      <c r="E1239" s="12" t="s">
        <v>6196</v>
      </c>
      <c r="F1239" s="12" t="s">
        <v>5206</v>
      </c>
      <c r="G1239" s="12"/>
      <c r="H1239" s="12" t="s">
        <v>6197</v>
      </c>
      <c r="I1239" s="23"/>
      <c r="J1239" s="12">
        <v>1988.0</v>
      </c>
      <c r="K1239" s="23">
        <v>194.0</v>
      </c>
      <c r="L1239" s="24">
        <v>3.0</v>
      </c>
      <c r="M1239" s="38" t="s">
        <v>6198</v>
      </c>
      <c r="N1239" s="26" t="str">
        <f t="shared" si="2"/>
        <v>814
REN
b</v>
      </c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</row>
    <row r="1240">
      <c r="A1240" s="10">
        <v>1239.0</v>
      </c>
      <c r="B1240" s="12" t="s">
        <v>6199</v>
      </c>
      <c r="C1240" s="12" t="s">
        <v>262</v>
      </c>
      <c r="D1240" s="23">
        <v>928.0</v>
      </c>
      <c r="E1240" s="12" t="s">
        <v>6200</v>
      </c>
      <c r="F1240" s="12" t="s">
        <v>6201</v>
      </c>
      <c r="G1240" s="12"/>
      <c r="H1240" s="12" t="s">
        <v>4200</v>
      </c>
      <c r="I1240" s="23">
        <v>6.16202024E8</v>
      </c>
      <c r="J1240" s="12">
        <v>2003.0</v>
      </c>
      <c r="K1240" s="23" t="s">
        <v>6202</v>
      </c>
      <c r="L1240" s="24">
        <v>3.0</v>
      </c>
      <c r="M1240" s="25" t="s">
        <v>6203</v>
      </c>
      <c r="N1240" s="26" t="str">
        <f t="shared" si="2"/>
        <v>928
SJU
a</v>
      </c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</row>
    <row r="1241">
      <c r="A1241" s="10">
        <v>1240.0</v>
      </c>
      <c r="B1241" s="12" t="s">
        <v>6204</v>
      </c>
      <c r="C1241" s="12" t="s">
        <v>38</v>
      </c>
      <c r="D1241" s="23">
        <v>819.0</v>
      </c>
      <c r="E1241" s="12" t="s">
        <v>2463</v>
      </c>
      <c r="F1241" s="12" t="s">
        <v>5329</v>
      </c>
      <c r="G1241" s="12"/>
      <c r="H1241" s="12" t="s">
        <v>2613</v>
      </c>
      <c r="I1241" s="23"/>
      <c r="J1241" s="12">
        <v>2009.0</v>
      </c>
      <c r="K1241" s="23">
        <v>94.0</v>
      </c>
      <c r="L1241" s="24">
        <v>2.0</v>
      </c>
      <c r="M1241" s="25" t="s">
        <v>6205</v>
      </c>
      <c r="N1241" s="26" t="str">
        <f t="shared" si="2"/>
        <v>819
DED
d</v>
      </c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</row>
    <row r="1242">
      <c r="A1242" s="10">
        <v>1241.0</v>
      </c>
      <c r="B1242" s="12" t="s">
        <v>6206</v>
      </c>
      <c r="C1242" s="12" t="s">
        <v>38</v>
      </c>
      <c r="D1242" s="23">
        <v>811.0</v>
      </c>
      <c r="E1242" s="12" t="s">
        <v>486</v>
      </c>
      <c r="F1242" s="12" t="s">
        <v>6207</v>
      </c>
      <c r="G1242" s="12"/>
      <c r="H1242" s="12" t="s">
        <v>6208</v>
      </c>
      <c r="I1242" s="23" t="s">
        <v>6209</v>
      </c>
      <c r="J1242" s="12">
        <v>2016.0</v>
      </c>
      <c r="K1242" s="23">
        <v>48.0</v>
      </c>
      <c r="L1242" s="24">
        <v>2.0</v>
      </c>
      <c r="M1242" s="38" t="s">
        <v>6210</v>
      </c>
      <c r="N1242" s="26" t="str">
        <f t="shared" si="2"/>
        <v>811
TAT
r</v>
      </c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</row>
    <row r="1243">
      <c r="A1243" s="10">
        <v>1242.0</v>
      </c>
      <c r="B1243" s="12" t="s">
        <v>6211</v>
      </c>
      <c r="C1243" s="12" t="s">
        <v>38</v>
      </c>
      <c r="D1243" s="23">
        <v>813.0</v>
      </c>
      <c r="E1243" s="12" t="s">
        <v>64</v>
      </c>
      <c r="F1243" s="12" t="s">
        <v>6212</v>
      </c>
      <c r="G1243" s="12" t="s">
        <v>6039</v>
      </c>
      <c r="H1243" s="12" t="s">
        <v>2510</v>
      </c>
      <c r="I1243" s="23" t="s">
        <v>6213</v>
      </c>
      <c r="J1243" s="12">
        <v>2016.0</v>
      </c>
      <c r="K1243" s="23">
        <v>364.0</v>
      </c>
      <c r="L1243" s="24">
        <v>3.0</v>
      </c>
      <c r="M1243" s="25" t="s">
        <v>6214</v>
      </c>
      <c r="N1243" s="26" t="str">
        <f t="shared" si="2"/>
        <v>813
MAR
s</v>
      </c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</row>
    <row r="1244">
      <c r="A1244" s="10">
        <v>1243.0</v>
      </c>
      <c r="B1244" s="12" t="s">
        <v>6215</v>
      </c>
      <c r="C1244" s="12" t="s">
        <v>38</v>
      </c>
      <c r="D1244" s="23">
        <v>811.0</v>
      </c>
      <c r="E1244" s="12" t="s">
        <v>6216</v>
      </c>
      <c r="F1244" s="12" t="s">
        <v>6217</v>
      </c>
      <c r="G1244" s="12" t="s">
        <v>6217</v>
      </c>
      <c r="H1244" s="12" t="s">
        <v>6218</v>
      </c>
      <c r="I1244" s="23" t="s">
        <v>6219</v>
      </c>
      <c r="J1244" s="12">
        <v>2013.0</v>
      </c>
      <c r="K1244" s="23">
        <v>164.0</v>
      </c>
      <c r="L1244" s="24">
        <v>1.0</v>
      </c>
      <c r="M1244" s="25" t="s">
        <v>6220</v>
      </c>
      <c r="N1244" s="26" t="str">
        <f t="shared" si="2"/>
        <v>811
JAM
d</v>
      </c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</row>
    <row r="1245">
      <c r="A1245" s="10">
        <v>1244.0</v>
      </c>
      <c r="B1245" s="12" t="s">
        <v>6221</v>
      </c>
      <c r="C1245" s="12" t="s">
        <v>38</v>
      </c>
      <c r="D1245" s="23" t="s">
        <v>445</v>
      </c>
      <c r="E1245" s="12" t="s">
        <v>64</v>
      </c>
      <c r="F1245" s="12" t="s">
        <v>6222</v>
      </c>
      <c r="G1245" s="12" t="s">
        <v>6223</v>
      </c>
      <c r="H1245" s="12" t="s">
        <v>1965</v>
      </c>
      <c r="I1245" s="23">
        <v>9.786020302256E12</v>
      </c>
      <c r="J1245" s="12">
        <v>2015.0</v>
      </c>
      <c r="K1245" s="23">
        <v>349.0</v>
      </c>
      <c r="L1245" s="24">
        <v>4.0</v>
      </c>
      <c r="M1245" s="25" t="s">
        <v>6224</v>
      </c>
      <c r="N1245" s="26" t="str">
        <f t="shared" si="2"/>
        <v>813
BHI
a</v>
      </c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</row>
    <row r="1246">
      <c r="A1246" s="10">
        <v>1245.0</v>
      </c>
      <c r="B1246" s="12" t="s">
        <v>6225</v>
      </c>
      <c r="C1246" s="12" t="s">
        <v>38</v>
      </c>
      <c r="D1246" s="23">
        <v>813.0</v>
      </c>
      <c r="E1246" s="12" t="s">
        <v>64</v>
      </c>
      <c r="F1246" s="12" t="s">
        <v>6226</v>
      </c>
      <c r="G1246" s="12" t="s">
        <v>6227</v>
      </c>
      <c r="H1246" s="12" t="s">
        <v>6228</v>
      </c>
      <c r="I1246" s="23">
        <v>9.786023946761E12</v>
      </c>
      <c r="J1246" s="12">
        <v>2017.0</v>
      </c>
      <c r="K1246" s="23">
        <v>292.0</v>
      </c>
      <c r="L1246" s="24">
        <v>3.0</v>
      </c>
      <c r="M1246" s="25" t="s">
        <v>6229</v>
      </c>
      <c r="N1246" s="26" t="str">
        <f t="shared" si="2"/>
        <v>813
ARS
k</v>
      </c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</row>
    <row r="1247">
      <c r="A1247" s="10">
        <v>1246.0</v>
      </c>
      <c r="B1247" s="12" t="s">
        <v>6230</v>
      </c>
      <c r="C1247" s="12" t="s">
        <v>38</v>
      </c>
      <c r="D1247" s="23">
        <v>813.0</v>
      </c>
      <c r="E1247" s="12" t="s">
        <v>64</v>
      </c>
      <c r="F1247" s="12" t="s">
        <v>6231</v>
      </c>
      <c r="G1247" s="12" t="s">
        <v>6232</v>
      </c>
      <c r="H1247" s="12" t="s">
        <v>1965</v>
      </c>
      <c r="I1247" s="23">
        <v>9.786020266152E12</v>
      </c>
      <c r="J1247" s="12">
        <v>2015.0</v>
      </c>
      <c r="K1247" s="23">
        <v>192.0</v>
      </c>
      <c r="L1247" s="24">
        <v>3.0</v>
      </c>
      <c r="M1247" s="38" t="s">
        <v>6233</v>
      </c>
      <c r="N1247" s="26" t="str">
        <f t="shared" si="2"/>
        <v>813
EKO
d</v>
      </c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</row>
    <row r="1248">
      <c r="A1248" s="10">
        <v>1247.0</v>
      </c>
      <c r="B1248" s="12" t="s">
        <v>6234</v>
      </c>
      <c r="C1248" s="12" t="s">
        <v>38</v>
      </c>
      <c r="D1248" s="23">
        <v>813.0</v>
      </c>
      <c r="E1248" s="12" t="s">
        <v>6235</v>
      </c>
      <c r="F1248" s="12" t="s">
        <v>6236</v>
      </c>
      <c r="G1248" s="12" t="s">
        <v>5739</v>
      </c>
      <c r="H1248" s="12" t="s">
        <v>600</v>
      </c>
      <c r="I1248" s="23">
        <v>9.786023397105E12</v>
      </c>
      <c r="J1248" s="12">
        <v>2017.0</v>
      </c>
      <c r="K1248" s="23">
        <v>175.0</v>
      </c>
      <c r="L1248" s="24">
        <v>5.0</v>
      </c>
      <c r="M1248" s="25" t="s">
        <v>6237</v>
      </c>
      <c r="N1248" s="26" t="str">
        <f t="shared" si="2"/>
        <v>813
MAU
c</v>
      </c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</row>
    <row r="1249">
      <c r="A1249" s="10">
        <v>1248.0</v>
      </c>
      <c r="B1249" s="12" t="s">
        <v>6238</v>
      </c>
      <c r="C1249" s="12" t="s">
        <v>38</v>
      </c>
      <c r="D1249" s="23"/>
      <c r="E1249" s="12"/>
      <c r="F1249" s="12" t="s">
        <v>6239</v>
      </c>
      <c r="G1249" s="12" t="s">
        <v>173</v>
      </c>
      <c r="H1249" s="12" t="s">
        <v>1684</v>
      </c>
      <c r="I1249" s="23" t="s">
        <v>6240</v>
      </c>
      <c r="J1249" s="12">
        <v>2009.0</v>
      </c>
      <c r="K1249" s="23">
        <v>66.0</v>
      </c>
      <c r="L1249" s="24">
        <v>1.0</v>
      </c>
      <c r="M1249" s="12" t="s">
        <v>340</v>
      </c>
      <c r="N1249" s="26" t="str">
        <f t="shared" si="2"/>
        <v>
TIN
a</v>
      </c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</row>
    <row r="1250">
      <c r="A1250" s="10">
        <v>1249.0</v>
      </c>
      <c r="B1250" s="12" t="s">
        <v>6241</v>
      </c>
      <c r="C1250" s="12" t="s">
        <v>38</v>
      </c>
      <c r="D1250" s="23">
        <v>811.0</v>
      </c>
      <c r="E1250" s="12" t="s">
        <v>5594</v>
      </c>
      <c r="F1250" s="12" t="s">
        <v>6242</v>
      </c>
      <c r="G1250" s="12" t="s">
        <v>6243</v>
      </c>
      <c r="H1250" s="12" t="s">
        <v>6244</v>
      </c>
      <c r="I1250" s="23" t="s">
        <v>6245</v>
      </c>
      <c r="J1250" s="12">
        <v>2006.0</v>
      </c>
      <c r="K1250" s="23">
        <v>119.0</v>
      </c>
      <c r="L1250" s="24">
        <v>3.0</v>
      </c>
      <c r="M1250" s="25" t="s">
        <v>6246</v>
      </c>
      <c r="N1250" s="26" t="str">
        <f t="shared" si="2"/>
        <v>811
AGU
d</v>
      </c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</row>
    <row r="1251">
      <c r="A1251" s="10">
        <v>1250.0</v>
      </c>
      <c r="B1251" s="12" t="s">
        <v>6247</v>
      </c>
      <c r="C1251" s="12" t="s">
        <v>38</v>
      </c>
      <c r="D1251" s="23"/>
      <c r="E1251" s="12"/>
      <c r="F1251" s="12" t="s">
        <v>6248</v>
      </c>
      <c r="G1251" s="12"/>
      <c r="H1251" s="12" t="s">
        <v>3732</v>
      </c>
      <c r="I1251" s="23" t="s">
        <v>6249</v>
      </c>
      <c r="J1251" s="12">
        <v>2014.0</v>
      </c>
      <c r="K1251" s="23">
        <v>58.0</v>
      </c>
      <c r="L1251" s="24">
        <v>1.0</v>
      </c>
      <c r="M1251" s="12" t="s">
        <v>340</v>
      </c>
      <c r="N1251" s="26" t="str">
        <f t="shared" si="2"/>
        <v>
A. 
b</v>
      </c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</row>
    <row r="1252">
      <c r="A1252" s="10">
        <v>1251.0</v>
      </c>
      <c r="B1252" s="12" t="s">
        <v>6250</v>
      </c>
      <c r="C1252" s="12" t="s">
        <v>38</v>
      </c>
      <c r="D1252" s="23">
        <v>811.0</v>
      </c>
      <c r="E1252" s="12" t="s">
        <v>6251</v>
      </c>
      <c r="F1252" s="12" t="s">
        <v>6252</v>
      </c>
      <c r="G1252" s="12"/>
      <c r="H1252" s="12" t="s">
        <v>6253</v>
      </c>
      <c r="I1252" s="23"/>
      <c r="J1252" s="12">
        <v>1985.0</v>
      </c>
      <c r="K1252" s="23">
        <v>50.0</v>
      </c>
      <c r="L1252" s="24">
        <v>1.0</v>
      </c>
      <c r="M1252" s="25" t="s">
        <v>5321</v>
      </c>
      <c r="N1252" s="26" t="str">
        <f t="shared" si="2"/>
        <v>811
JIW
p</v>
      </c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</row>
    <row r="1253">
      <c r="A1253" s="10">
        <v>1252.0</v>
      </c>
      <c r="B1253" s="12" t="s">
        <v>6254</v>
      </c>
      <c r="C1253" s="12" t="s">
        <v>38</v>
      </c>
      <c r="D1253" s="23">
        <v>811.0</v>
      </c>
      <c r="E1253" s="12" t="s">
        <v>486</v>
      </c>
      <c r="F1253" s="12" t="s">
        <v>6255</v>
      </c>
      <c r="G1253" s="12" t="s">
        <v>4579</v>
      </c>
      <c r="H1253" s="12" t="s">
        <v>6256</v>
      </c>
      <c r="I1253" s="23" t="s">
        <v>6257</v>
      </c>
      <c r="J1253" s="12">
        <v>2012.0</v>
      </c>
      <c r="K1253" s="23">
        <v>145.0</v>
      </c>
      <c r="L1253" s="24">
        <v>1.0</v>
      </c>
      <c r="M1253" s="25" t="s">
        <v>6258</v>
      </c>
      <c r="N1253" s="26" t="str">
        <f t="shared" si="2"/>
        <v>811
HEN
2</v>
      </c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</row>
    <row r="1254">
      <c r="A1254" s="10">
        <v>1253.0</v>
      </c>
      <c r="B1254" s="12" t="s">
        <v>6259</v>
      </c>
      <c r="C1254" s="12" t="s">
        <v>38</v>
      </c>
      <c r="D1254" s="23">
        <v>813.0</v>
      </c>
      <c r="E1254" s="12" t="s">
        <v>6260</v>
      </c>
      <c r="F1254" s="12" t="s">
        <v>6261</v>
      </c>
      <c r="G1254" s="12" t="s">
        <v>6262</v>
      </c>
      <c r="H1254" s="12" t="s">
        <v>6263</v>
      </c>
      <c r="I1254" s="23"/>
      <c r="J1254" s="12">
        <v>1979.0</v>
      </c>
      <c r="K1254" s="23">
        <v>56.0</v>
      </c>
      <c r="L1254" s="24">
        <v>1.0</v>
      </c>
      <c r="M1254" s="25" t="s">
        <v>6264</v>
      </c>
      <c r="N1254" s="26" t="str">
        <f t="shared" si="2"/>
        <v>813
NOO
t</v>
      </c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</row>
    <row r="1255">
      <c r="A1255" s="10">
        <v>1254.0</v>
      </c>
      <c r="B1255" s="12" t="s">
        <v>6265</v>
      </c>
      <c r="C1255" s="12" t="s">
        <v>38</v>
      </c>
      <c r="D1255" s="23">
        <v>811.0</v>
      </c>
      <c r="E1255" s="12" t="s">
        <v>486</v>
      </c>
      <c r="F1255" s="12" t="s">
        <v>107</v>
      </c>
      <c r="G1255" s="12" t="s">
        <v>6266</v>
      </c>
      <c r="H1255" s="12" t="s">
        <v>2141</v>
      </c>
      <c r="I1255" s="23" t="s">
        <v>6267</v>
      </c>
      <c r="J1255" s="12">
        <v>2015.0</v>
      </c>
      <c r="K1255" s="23">
        <v>62.0</v>
      </c>
      <c r="L1255" s="24">
        <v>3.0</v>
      </c>
      <c r="M1255" s="25" t="s">
        <v>6268</v>
      </c>
      <c r="N1255" s="26" t="str">
        <f t="shared" si="2"/>
        <v>811
EDI
p</v>
      </c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</row>
    <row r="1256">
      <c r="A1256" s="10">
        <v>1255.0</v>
      </c>
      <c r="B1256" s="12" t="s">
        <v>6269</v>
      </c>
      <c r="C1256" s="12" t="s">
        <v>38</v>
      </c>
      <c r="D1256" s="23"/>
      <c r="E1256" s="12"/>
      <c r="F1256" s="12" t="s">
        <v>6270</v>
      </c>
      <c r="G1256" s="12" t="s">
        <v>5289</v>
      </c>
      <c r="H1256" s="12" t="s">
        <v>4326</v>
      </c>
      <c r="I1256" s="23" t="s">
        <v>6271</v>
      </c>
      <c r="J1256" s="12">
        <v>2015.0</v>
      </c>
      <c r="K1256" s="23">
        <v>120.0</v>
      </c>
      <c r="L1256" s="24">
        <v>2.0</v>
      </c>
      <c r="M1256" s="12" t="s">
        <v>340</v>
      </c>
      <c r="N1256" s="26" t="str">
        <f t="shared" si="2"/>
        <v>
Y.P
a</v>
      </c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</row>
    <row r="1257">
      <c r="A1257" s="10">
        <v>1256.0</v>
      </c>
      <c r="B1257" s="12" t="s">
        <v>6272</v>
      </c>
      <c r="C1257" s="12" t="s">
        <v>38</v>
      </c>
      <c r="D1257" s="23" t="s">
        <v>5344</v>
      </c>
      <c r="E1257" s="12" t="s">
        <v>2437</v>
      </c>
      <c r="F1257" s="12" t="s">
        <v>6273</v>
      </c>
      <c r="G1257" s="12"/>
      <c r="H1257" s="12" t="s">
        <v>5629</v>
      </c>
      <c r="I1257" s="23">
        <v>9.79523229E9</v>
      </c>
      <c r="J1257" s="12">
        <v>1989.0</v>
      </c>
      <c r="K1257" s="23">
        <v>31.0</v>
      </c>
      <c r="L1257" s="24">
        <v>1.0</v>
      </c>
      <c r="M1257" s="38" t="s">
        <v>6274</v>
      </c>
      <c r="N1257" s="26" t="str">
        <f t="shared" si="2"/>
        <v>823
DON
m</v>
      </c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</row>
    <row r="1258">
      <c r="A1258" s="10">
        <v>1257.0</v>
      </c>
      <c r="B1258" s="12" t="s">
        <v>6275</v>
      </c>
      <c r="C1258" s="12" t="s">
        <v>38</v>
      </c>
      <c r="D1258" s="23">
        <v>801.0</v>
      </c>
      <c r="E1258" s="12" t="s">
        <v>2908</v>
      </c>
      <c r="F1258" s="12" t="s">
        <v>6276</v>
      </c>
      <c r="G1258" s="12" t="s">
        <v>6277</v>
      </c>
      <c r="H1258" s="12" t="s">
        <v>2945</v>
      </c>
      <c r="I1258" s="23" t="s">
        <v>6278</v>
      </c>
      <c r="J1258" s="12">
        <v>2012.0</v>
      </c>
      <c r="K1258" s="23">
        <v>142.0</v>
      </c>
      <c r="L1258" s="24">
        <v>1.0</v>
      </c>
      <c r="M1258" s="25" t="s">
        <v>6279</v>
      </c>
      <c r="N1258" s="26" t="str">
        <f t="shared" si="2"/>
        <v>801
Dr.
t</v>
      </c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</row>
    <row r="1259">
      <c r="A1259" s="10">
        <v>1258.0</v>
      </c>
      <c r="B1259" s="12" t="s">
        <v>6280</v>
      </c>
      <c r="C1259" s="12" t="s">
        <v>38</v>
      </c>
      <c r="D1259" s="23">
        <v>813.0</v>
      </c>
      <c r="E1259" s="12" t="s">
        <v>1089</v>
      </c>
      <c r="F1259" s="12" t="s">
        <v>6281</v>
      </c>
      <c r="G1259" s="12"/>
      <c r="H1259" s="12" t="s">
        <v>6282</v>
      </c>
      <c r="I1259" s="23">
        <v>9.799585783E9</v>
      </c>
      <c r="J1259" s="12">
        <v>2002.0</v>
      </c>
      <c r="K1259" s="23" t="s">
        <v>6283</v>
      </c>
      <c r="L1259" s="24">
        <v>3.0</v>
      </c>
      <c r="M1259" s="25" t="s">
        <v>6284</v>
      </c>
      <c r="N1259" s="26" t="str">
        <f t="shared" si="2"/>
        <v>813
IWA
l</v>
      </c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</row>
    <row r="1260">
      <c r="A1260" s="10">
        <v>1259.0</v>
      </c>
      <c r="B1260" s="12" t="s">
        <v>6285</v>
      </c>
      <c r="C1260" s="12" t="s">
        <v>38</v>
      </c>
      <c r="D1260" s="23">
        <v>813.0</v>
      </c>
      <c r="E1260" s="12" t="s">
        <v>3933</v>
      </c>
      <c r="F1260" s="12" t="s">
        <v>6286</v>
      </c>
      <c r="G1260" s="12"/>
      <c r="H1260" s="12" t="s">
        <v>6282</v>
      </c>
      <c r="I1260" s="23" t="s">
        <v>6287</v>
      </c>
      <c r="J1260" s="12">
        <v>2002.0</v>
      </c>
      <c r="K1260" s="23">
        <v>72.0</v>
      </c>
      <c r="L1260" s="24">
        <v>2.0</v>
      </c>
      <c r="M1260" s="25" t="s">
        <v>6288</v>
      </c>
      <c r="N1260" s="26" t="str">
        <f t="shared" si="2"/>
        <v>813
SAN
s</v>
      </c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</row>
    <row r="1261">
      <c r="A1261" s="10">
        <v>1260.0</v>
      </c>
      <c r="B1261" s="12" t="s">
        <v>6289</v>
      </c>
      <c r="C1261" s="12" t="s">
        <v>38</v>
      </c>
      <c r="D1261" s="23"/>
      <c r="E1261" s="12"/>
      <c r="F1261" s="12" t="s">
        <v>2559</v>
      </c>
      <c r="G1261" s="12" t="s">
        <v>5760</v>
      </c>
      <c r="H1261" s="12" t="s">
        <v>1158</v>
      </c>
      <c r="I1261" s="23"/>
      <c r="J1261" s="12">
        <v>2009.0</v>
      </c>
      <c r="K1261" s="23">
        <v>64.0</v>
      </c>
      <c r="L1261" s="24">
        <v>1.0</v>
      </c>
      <c r="M1261" s="12" t="s">
        <v>340</v>
      </c>
      <c r="N1261" s="26" t="str">
        <f t="shared" si="2"/>
        <v>
TAT
p</v>
      </c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</row>
    <row r="1262">
      <c r="A1262" s="10">
        <v>1261.0</v>
      </c>
      <c r="B1262" s="12" t="s">
        <v>6290</v>
      </c>
      <c r="C1262" s="12" t="s">
        <v>38</v>
      </c>
      <c r="D1262" s="23">
        <v>819.0</v>
      </c>
      <c r="E1262" s="12" t="s">
        <v>2463</v>
      </c>
      <c r="F1262" s="12" t="s">
        <v>2631</v>
      </c>
      <c r="G1262" s="12"/>
      <c r="H1262" s="12" t="s">
        <v>6291</v>
      </c>
      <c r="I1262" s="23"/>
      <c r="J1262" s="12">
        <v>2008.0</v>
      </c>
      <c r="K1262" s="23">
        <v>44.0</v>
      </c>
      <c r="L1262" s="24">
        <v>1.0</v>
      </c>
      <c r="M1262" s="25" t="s">
        <v>6292</v>
      </c>
      <c r="N1262" s="26" t="str">
        <f t="shared" si="2"/>
        <v>819
JUN
b</v>
      </c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</row>
    <row r="1263">
      <c r="A1263" s="10">
        <v>1262.0</v>
      </c>
      <c r="B1263" s="12" t="s">
        <v>6293</v>
      </c>
      <c r="C1263" s="12" t="s">
        <v>38</v>
      </c>
      <c r="D1263" s="23"/>
      <c r="E1263" s="12"/>
      <c r="F1263" s="12" t="s">
        <v>6294</v>
      </c>
      <c r="G1263" s="12" t="s">
        <v>6295</v>
      </c>
      <c r="H1263" s="12" t="s">
        <v>725</v>
      </c>
      <c r="I1263" s="23" t="s">
        <v>6296</v>
      </c>
      <c r="J1263" s="12">
        <v>2015.0</v>
      </c>
      <c r="K1263" s="23">
        <v>104.0</v>
      </c>
      <c r="L1263" s="24">
        <v>1.0</v>
      </c>
      <c r="M1263" s="12" t="s">
        <v>340</v>
      </c>
      <c r="N1263" s="26" t="str">
        <f t="shared" si="2"/>
        <v>
GOL
s</v>
      </c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</row>
    <row r="1264">
      <c r="A1264" s="10">
        <v>1263.0</v>
      </c>
      <c r="B1264" s="12" t="s">
        <v>6297</v>
      </c>
      <c r="C1264" s="12" t="s">
        <v>38</v>
      </c>
      <c r="D1264" s="23"/>
      <c r="E1264" s="12"/>
      <c r="F1264" s="12" t="s">
        <v>6298</v>
      </c>
      <c r="G1264" s="12"/>
      <c r="H1264" s="12" t="s">
        <v>6282</v>
      </c>
      <c r="I1264" s="23" t="s">
        <v>6299</v>
      </c>
      <c r="J1264" s="12">
        <v>2002.0</v>
      </c>
      <c r="K1264" s="23">
        <v>70.0</v>
      </c>
      <c r="L1264" s="24">
        <v>1.0</v>
      </c>
      <c r="M1264" s="12" t="s">
        <v>340</v>
      </c>
      <c r="N1264" s="26" t="str">
        <f t="shared" si="2"/>
        <v>
MAH
t</v>
      </c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</row>
    <row r="1265">
      <c r="A1265" s="10">
        <v>1264.0</v>
      </c>
      <c r="B1265" s="12" t="s">
        <v>6300</v>
      </c>
      <c r="C1265" s="12" t="s">
        <v>38</v>
      </c>
      <c r="D1265" s="23">
        <v>813.0</v>
      </c>
      <c r="E1265" s="12" t="s">
        <v>5466</v>
      </c>
      <c r="F1265" s="12" t="s">
        <v>6301</v>
      </c>
      <c r="G1265" s="12"/>
      <c r="H1265" s="12" t="s">
        <v>6282</v>
      </c>
      <c r="I1265" s="23" t="s">
        <v>6302</v>
      </c>
      <c r="J1265" s="12">
        <v>2002.0</v>
      </c>
      <c r="K1265" s="23">
        <v>112.0</v>
      </c>
      <c r="L1265" s="24">
        <v>2.0</v>
      </c>
      <c r="M1265" s="25" t="s">
        <v>6303</v>
      </c>
      <c r="N1265" s="26" t="str">
        <f t="shared" si="2"/>
        <v>813
PIL
m</v>
      </c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</row>
    <row r="1266">
      <c r="A1266" s="10">
        <v>1265.0</v>
      </c>
      <c r="B1266" s="12" t="s">
        <v>6304</v>
      </c>
      <c r="C1266" s="12" t="s">
        <v>38</v>
      </c>
      <c r="D1266" s="23">
        <v>813.0</v>
      </c>
      <c r="E1266" s="12" t="s">
        <v>6305</v>
      </c>
      <c r="F1266" s="12" t="s">
        <v>6306</v>
      </c>
      <c r="G1266" s="12"/>
      <c r="H1266" s="12" t="s">
        <v>6307</v>
      </c>
      <c r="I1266" s="23" t="s">
        <v>6308</v>
      </c>
      <c r="J1266" s="12">
        <v>2011.0</v>
      </c>
      <c r="K1266" s="23">
        <v>32.0</v>
      </c>
      <c r="L1266" s="24">
        <v>1.0</v>
      </c>
      <c r="M1266" s="25" t="s">
        <v>6309</v>
      </c>
      <c r="N1266" s="26" t="str">
        <f t="shared" si="2"/>
        <v>813
WAH
p</v>
      </c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</row>
    <row r="1267">
      <c r="A1267" s="10">
        <v>1266.0</v>
      </c>
      <c r="B1267" s="12" t="s">
        <v>6310</v>
      </c>
      <c r="C1267" s="12" t="s">
        <v>38</v>
      </c>
      <c r="D1267" s="23">
        <v>811.0</v>
      </c>
      <c r="E1267" s="12" t="s">
        <v>486</v>
      </c>
      <c r="F1267" s="12" t="s">
        <v>6311</v>
      </c>
      <c r="G1267" s="12"/>
      <c r="H1267" s="12" t="s">
        <v>2286</v>
      </c>
      <c r="I1267" s="23">
        <v>9.786025434365E12</v>
      </c>
      <c r="J1267" s="12">
        <v>2018.0</v>
      </c>
      <c r="K1267" s="23">
        <v>52.0</v>
      </c>
      <c r="L1267" s="24">
        <v>4.0</v>
      </c>
      <c r="M1267" s="25" t="s">
        <v>6312</v>
      </c>
      <c r="N1267" s="26" t="str">
        <f t="shared" si="2"/>
        <v>811
UWA
a</v>
      </c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</row>
    <row r="1268">
      <c r="A1268" s="10">
        <v>1267.0</v>
      </c>
      <c r="B1268" s="12" t="s">
        <v>6313</v>
      </c>
      <c r="C1268" s="12" t="s">
        <v>38</v>
      </c>
      <c r="D1268" s="79">
        <v>813.0</v>
      </c>
      <c r="E1268" s="89" t="s">
        <v>5296</v>
      </c>
      <c r="F1268" s="12" t="s">
        <v>1090</v>
      </c>
      <c r="G1268" s="12" t="s">
        <v>6314</v>
      </c>
      <c r="H1268" s="12" t="s">
        <v>433</v>
      </c>
      <c r="I1268" s="23" t="s">
        <v>6315</v>
      </c>
      <c r="J1268" s="12">
        <v>2015.0</v>
      </c>
      <c r="K1268" s="23">
        <v>52.0</v>
      </c>
      <c r="L1268" s="24">
        <v>1.0</v>
      </c>
      <c r="M1268" s="25" t="s">
        <v>6316</v>
      </c>
      <c r="N1268" s="26" t="str">
        <f t="shared" si="2"/>
        <v>813
SEN
s</v>
      </c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</row>
    <row r="1269">
      <c r="A1269" s="10">
        <v>1268.0</v>
      </c>
      <c r="B1269" s="12" t="s">
        <v>6317</v>
      </c>
      <c r="C1269" s="12" t="s">
        <v>38</v>
      </c>
      <c r="D1269" s="23" t="s">
        <v>445</v>
      </c>
      <c r="E1269" s="22" t="s">
        <v>5296</v>
      </c>
      <c r="F1269" s="12" t="s">
        <v>6318</v>
      </c>
      <c r="G1269" s="12" t="s">
        <v>6319</v>
      </c>
      <c r="H1269" s="12" t="s">
        <v>6320</v>
      </c>
      <c r="I1269" s="23">
        <v>9.797395871E9</v>
      </c>
      <c r="J1269" s="12">
        <v>2007.0</v>
      </c>
      <c r="K1269" s="23">
        <v>76.0</v>
      </c>
      <c r="L1269" s="24">
        <v>1.0</v>
      </c>
      <c r="M1269" s="12" t="s">
        <v>340</v>
      </c>
      <c r="N1269" s="26" t="str">
        <f t="shared" si="2"/>
        <v>813
ICH
k</v>
      </c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</row>
    <row r="1270">
      <c r="A1270" s="10">
        <v>1269.0</v>
      </c>
      <c r="B1270" s="12" t="s">
        <v>6321</v>
      </c>
      <c r="C1270" s="12" t="s">
        <v>38</v>
      </c>
      <c r="D1270" s="23">
        <v>813.0</v>
      </c>
      <c r="E1270" s="12" t="s">
        <v>6305</v>
      </c>
      <c r="F1270" s="12" t="s">
        <v>6322</v>
      </c>
      <c r="G1270" s="12" t="s">
        <v>6323</v>
      </c>
      <c r="H1270" s="12" t="s">
        <v>6324</v>
      </c>
      <c r="I1270" s="23" t="s">
        <v>6325</v>
      </c>
      <c r="J1270" s="12">
        <v>2010.0</v>
      </c>
      <c r="K1270" s="23">
        <v>76.0</v>
      </c>
      <c r="L1270" s="24">
        <v>2.0</v>
      </c>
      <c r="M1270" s="25" t="s">
        <v>6326</v>
      </c>
      <c r="N1270" s="26" t="str">
        <f t="shared" si="2"/>
        <v>813
ANG
d</v>
      </c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</row>
    <row r="1271">
      <c r="A1271" s="10">
        <v>1270.0</v>
      </c>
      <c r="B1271" s="12" t="s">
        <v>6327</v>
      </c>
      <c r="C1271" s="12" t="s">
        <v>38</v>
      </c>
      <c r="D1271" s="23"/>
      <c r="E1271" s="22" t="s">
        <v>1155</v>
      </c>
      <c r="F1271" s="12" t="s">
        <v>6328</v>
      </c>
      <c r="G1271" s="12" t="s">
        <v>6329</v>
      </c>
      <c r="H1271" s="12" t="s">
        <v>2721</v>
      </c>
      <c r="I1271" s="23" t="s">
        <v>6330</v>
      </c>
      <c r="J1271" s="12">
        <v>2015.0</v>
      </c>
      <c r="K1271" s="23">
        <v>54.0</v>
      </c>
      <c r="L1271" s="24">
        <v>1.0</v>
      </c>
      <c r="M1271" s="12" t="s">
        <v>340</v>
      </c>
      <c r="N1271" s="26" t="str">
        <f t="shared" si="2"/>
        <v>
DID
t</v>
      </c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</row>
    <row r="1272">
      <c r="A1272" s="10">
        <v>1271.0</v>
      </c>
      <c r="B1272" s="12" t="s">
        <v>6331</v>
      </c>
      <c r="C1272" s="12" t="s">
        <v>38</v>
      </c>
      <c r="D1272" s="23">
        <v>813.0</v>
      </c>
      <c r="E1272" s="12" t="s">
        <v>5466</v>
      </c>
      <c r="F1272" s="12" t="s">
        <v>6332</v>
      </c>
      <c r="G1272" s="12" t="s">
        <v>6333</v>
      </c>
      <c r="H1272" s="12" t="s">
        <v>2565</v>
      </c>
      <c r="I1272" s="23" t="s">
        <v>6334</v>
      </c>
      <c r="J1272" s="12">
        <v>2010.0</v>
      </c>
      <c r="K1272" s="23">
        <v>80.0</v>
      </c>
      <c r="L1272" s="24">
        <v>1.0</v>
      </c>
      <c r="M1272" s="25" t="s">
        <v>6335</v>
      </c>
      <c r="N1272" s="26" t="str">
        <f t="shared" si="2"/>
        <v>813
SON
s</v>
      </c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</row>
    <row r="1273">
      <c r="A1273" s="10">
        <v>1272.0</v>
      </c>
      <c r="B1273" s="12" t="s">
        <v>6336</v>
      </c>
      <c r="C1273" s="12" t="s">
        <v>38</v>
      </c>
      <c r="D1273" s="47">
        <v>899221.0</v>
      </c>
      <c r="E1273" s="12" t="s">
        <v>6337</v>
      </c>
      <c r="F1273" s="12" t="s">
        <v>6338</v>
      </c>
      <c r="G1273" s="12" t="s">
        <v>6339</v>
      </c>
      <c r="H1273" s="12" t="s">
        <v>6340</v>
      </c>
      <c r="I1273" s="23" t="s">
        <v>6341</v>
      </c>
      <c r="J1273" s="12">
        <v>2014.0</v>
      </c>
      <c r="K1273" s="23">
        <v>56.0</v>
      </c>
      <c r="L1273" s="24">
        <v>1.0</v>
      </c>
      <c r="M1273" s="12" t="s">
        <v>340</v>
      </c>
      <c r="N1273" s="26" t="str">
        <f t="shared" si="2"/>
        <v>899221
IAN
j</v>
      </c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</row>
    <row r="1274">
      <c r="A1274" s="10">
        <v>1273.0</v>
      </c>
      <c r="B1274" s="12" t="s">
        <v>6342</v>
      </c>
      <c r="C1274" s="12" t="s">
        <v>38</v>
      </c>
      <c r="D1274" s="23">
        <v>813.0</v>
      </c>
      <c r="E1274" s="12" t="s">
        <v>5466</v>
      </c>
      <c r="F1274" s="12" t="s">
        <v>6328</v>
      </c>
      <c r="G1274" s="12" t="s">
        <v>6343</v>
      </c>
      <c r="H1274" s="12" t="s">
        <v>6344</v>
      </c>
      <c r="I1274" s="23" t="s">
        <v>6345</v>
      </c>
      <c r="J1274" s="12">
        <v>2008.0</v>
      </c>
      <c r="K1274" s="23">
        <v>60.0</v>
      </c>
      <c r="L1274" s="24">
        <v>1.0</v>
      </c>
      <c r="M1274" s="25" t="s">
        <v>6346</v>
      </c>
      <c r="N1274" s="26" t="str">
        <f t="shared" si="2"/>
        <v>813
DID
k</v>
      </c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</row>
    <row r="1275">
      <c r="A1275" s="10">
        <v>1274.0</v>
      </c>
      <c r="B1275" s="12" t="s">
        <v>6347</v>
      </c>
      <c r="C1275" s="12" t="s">
        <v>38</v>
      </c>
      <c r="D1275" s="23"/>
      <c r="E1275" s="22" t="s">
        <v>1155</v>
      </c>
      <c r="F1275" s="12" t="s">
        <v>6328</v>
      </c>
      <c r="G1275" s="12" t="s">
        <v>6348</v>
      </c>
      <c r="H1275" s="12" t="s">
        <v>1636</v>
      </c>
      <c r="I1275" s="23" t="s">
        <v>6349</v>
      </c>
      <c r="J1275" s="12">
        <v>2008.0</v>
      </c>
      <c r="K1275" s="23">
        <v>53.0</v>
      </c>
      <c r="L1275" s="24">
        <v>1.0</v>
      </c>
      <c r="M1275" s="12" t="s">
        <v>340</v>
      </c>
      <c r="N1275" s="26" t="str">
        <f t="shared" si="2"/>
        <v>
DID
r</v>
      </c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</row>
    <row r="1276">
      <c r="A1276" s="10">
        <v>1275.0</v>
      </c>
      <c r="B1276" s="12" t="s">
        <v>6350</v>
      </c>
      <c r="C1276" s="12" t="s">
        <v>38</v>
      </c>
      <c r="D1276" s="23">
        <v>811.0</v>
      </c>
      <c r="E1276" s="12" t="s">
        <v>6351</v>
      </c>
      <c r="F1276" s="12" t="s">
        <v>6352</v>
      </c>
      <c r="G1276" s="12" t="s">
        <v>6353</v>
      </c>
      <c r="H1276" s="12" t="s">
        <v>6218</v>
      </c>
      <c r="I1276" s="23" t="s">
        <v>6354</v>
      </c>
      <c r="J1276" s="12">
        <v>2011.0</v>
      </c>
      <c r="K1276" s="23">
        <v>148.0</v>
      </c>
      <c r="L1276" s="24">
        <v>1.0</v>
      </c>
      <c r="M1276" s="25" t="s">
        <v>6355</v>
      </c>
      <c r="N1276" s="26" t="str">
        <f t="shared" si="2"/>
        <v>811
OCT
j</v>
      </c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</row>
    <row r="1277">
      <c r="A1277" s="10">
        <v>1276.0</v>
      </c>
      <c r="B1277" s="12" t="s">
        <v>6356</v>
      </c>
      <c r="C1277" s="12" t="s">
        <v>38</v>
      </c>
      <c r="D1277" s="23">
        <v>823.0</v>
      </c>
      <c r="E1277" s="12" t="s">
        <v>6357</v>
      </c>
      <c r="F1277" s="12" t="s">
        <v>6328</v>
      </c>
      <c r="G1277" s="12" t="s">
        <v>6348</v>
      </c>
      <c r="H1277" s="12" t="s">
        <v>2721</v>
      </c>
      <c r="I1277" s="23" t="s">
        <v>6358</v>
      </c>
      <c r="J1277" s="12">
        <v>2010.0</v>
      </c>
      <c r="K1277" s="23">
        <v>68.0</v>
      </c>
      <c r="L1277" s="24">
        <v>2.0</v>
      </c>
      <c r="M1277" s="25" t="s">
        <v>6359</v>
      </c>
      <c r="N1277" s="26" t="str">
        <f t="shared" si="2"/>
        <v>823
DID
t</v>
      </c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</row>
    <row r="1278">
      <c r="A1278" s="10">
        <v>1277.0</v>
      </c>
      <c r="B1278" s="12" t="s">
        <v>6360</v>
      </c>
      <c r="C1278" s="12" t="s">
        <v>226</v>
      </c>
      <c r="D1278" s="23">
        <v>297.0</v>
      </c>
      <c r="E1278" s="12" t="s">
        <v>6361</v>
      </c>
      <c r="F1278" s="12" t="s">
        <v>6362</v>
      </c>
      <c r="G1278" s="12"/>
      <c r="H1278" s="12" t="s">
        <v>1273</v>
      </c>
      <c r="I1278" s="23" t="s">
        <v>6363</v>
      </c>
      <c r="J1278" s="12">
        <v>2007.0</v>
      </c>
      <c r="K1278" s="23">
        <v>47.0</v>
      </c>
      <c r="L1278" s="24">
        <v>1.0</v>
      </c>
      <c r="M1278" s="25" t="s">
        <v>6364</v>
      </c>
      <c r="N1278" s="26" t="str">
        <f t="shared" si="2"/>
        <v>297
IBN
m</v>
      </c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</row>
    <row r="1279">
      <c r="A1279" s="10">
        <v>1278.0</v>
      </c>
      <c r="B1279" s="12" t="s">
        <v>6365</v>
      </c>
      <c r="C1279" s="12" t="s">
        <v>38</v>
      </c>
      <c r="D1279" s="23" t="s">
        <v>5344</v>
      </c>
      <c r="E1279" s="22" t="s">
        <v>6366</v>
      </c>
      <c r="F1279" s="12" t="s">
        <v>6328</v>
      </c>
      <c r="G1279" s="12" t="s">
        <v>6348</v>
      </c>
      <c r="H1279" s="12" t="s">
        <v>6344</v>
      </c>
      <c r="I1279" s="23">
        <v>9.7860281557E12</v>
      </c>
      <c r="J1279" s="12">
        <v>2008.0</v>
      </c>
      <c r="K1279" s="23">
        <v>59.0</v>
      </c>
      <c r="L1279" s="24">
        <v>3.0</v>
      </c>
      <c r="M1279" s="12" t="s">
        <v>340</v>
      </c>
      <c r="N1279" s="26" t="str">
        <f t="shared" si="2"/>
        <v>823
DID
b</v>
      </c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</row>
    <row r="1280">
      <c r="A1280" s="10">
        <v>1279.0</v>
      </c>
      <c r="B1280" s="12" t="s">
        <v>6367</v>
      </c>
      <c r="C1280" s="12" t="s">
        <v>38</v>
      </c>
      <c r="D1280" s="23">
        <v>813.0</v>
      </c>
      <c r="E1280" s="12" t="s">
        <v>6305</v>
      </c>
      <c r="F1280" s="12" t="s">
        <v>6368</v>
      </c>
      <c r="G1280" s="12" t="s">
        <v>6369</v>
      </c>
      <c r="H1280" s="12" t="s">
        <v>6370</v>
      </c>
      <c r="I1280" s="23" t="s">
        <v>6371</v>
      </c>
      <c r="J1280" s="12">
        <v>2009.0</v>
      </c>
      <c r="K1280" s="23">
        <v>60.0</v>
      </c>
      <c r="L1280" s="24">
        <v>2.0</v>
      </c>
      <c r="M1280" s="25" t="s">
        <v>6372</v>
      </c>
      <c r="N1280" s="26" t="str">
        <f t="shared" si="2"/>
        <v>813
SAN
m</v>
      </c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</row>
    <row r="1281">
      <c r="A1281" s="10">
        <v>1280.0</v>
      </c>
      <c r="B1281" s="12" t="s">
        <v>6373</v>
      </c>
      <c r="C1281" s="12" t="s">
        <v>38</v>
      </c>
      <c r="D1281" s="23">
        <v>813.0</v>
      </c>
      <c r="E1281" s="12" t="s">
        <v>6305</v>
      </c>
      <c r="F1281" s="12" t="s">
        <v>6374</v>
      </c>
      <c r="G1281" s="12" t="s">
        <v>6369</v>
      </c>
      <c r="H1281" s="12" t="s">
        <v>6375</v>
      </c>
      <c r="I1281" s="23" t="s">
        <v>6376</v>
      </c>
      <c r="J1281" s="12">
        <v>2014.0</v>
      </c>
      <c r="K1281" s="23">
        <v>76.0</v>
      </c>
      <c r="L1281" s="24">
        <v>1.0</v>
      </c>
      <c r="M1281" s="25" t="s">
        <v>6377</v>
      </c>
      <c r="N1281" s="26" t="str">
        <f t="shared" si="2"/>
        <v>813
YUL
p</v>
      </c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</row>
    <row r="1282">
      <c r="A1282" s="10">
        <v>1281.0</v>
      </c>
      <c r="B1282" s="12" t="s">
        <v>6378</v>
      </c>
      <c r="C1282" s="12" t="s">
        <v>38</v>
      </c>
      <c r="D1282" s="23">
        <v>811.0</v>
      </c>
      <c r="E1282" s="12" t="s">
        <v>486</v>
      </c>
      <c r="F1282" s="12" t="s">
        <v>6379</v>
      </c>
      <c r="G1282" s="12" t="s">
        <v>2076</v>
      </c>
      <c r="H1282" s="12" t="s">
        <v>2077</v>
      </c>
      <c r="I1282" s="23" t="s">
        <v>6380</v>
      </c>
      <c r="J1282" s="12">
        <v>2015.0</v>
      </c>
      <c r="K1282" s="23">
        <v>58.0</v>
      </c>
      <c r="L1282" s="24">
        <v>2.0</v>
      </c>
      <c r="M1282" s="25" t="s">
        <v>6381</v>
      </c>
      <c r="N1282" s="26" t="str">
        <f t="shared" si="2"/>
        <v>811
SUK
n</v>
      </c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</row>
    <row r="1283">
      <c r="A1283" s="10">
        <v>1282.0</v>
      </c>
      <c r="B1283" s="12" t="s">
        <v>6382</v>
      </c>
      <c r="C1283" s="12" t="s">
        <v>38</v>
      </c>
      <c r="D1283" s="23">
        <v>823.0</v>
      </c>
      <c r="E1283" s="12" t="s">
        <v>6357</v>
      </c>
      <c r="F1283" s="12" t="s">
        <v>6328</v>
      </c>
      <c r="G1283" s="12" t="s">
        <v>6348</v>
      </c>
      <c r="H1283" s="12" t="s">
        <v>6383</v>
      </c>
      <c r="I1283" s="23" t="s">
        <v>6384</v>
      </c>
      <c r="J1283" s="12">
        <v>2008.0</v>
      </c>
      <c r="K1283" s="23">
        <v>59.0</v>
      </c>
      <c r="L1283" s="24">
        <v>3.0</v>
      </c>
      <c r="M1283" s="25" t="s">
        <v>6385</v>
      </c>
      <c r="N1283" s="26" t="str">
        <f t="shared" si="2"/>
        <v>823
DID
t</v>
      </c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</row>
    <row r="1284">
      <c r="A1284" s="10">
        <v>1283.0</v>
      </c>
      <c r="B1284" s="12" t="s">
        <v>6386</v>
      </c>
      <c r="C1284" s="12" t="s">
        <v>38</v>
      </c>
      <c r="D1284" s="23">
        <v>819.0</v>
      </c>
      <c r="E1284" s="12" t="s">
        <v>5671</v>
      </c>
      <c r="F1284" s="12" t="s">
        <v>6387</v>
      </c>
      <c r="G1284" s="12" t="s">
        <v>518</v>
      </c>
      <c r="H1284" s="12" t="s">
        <v>2565</v>
      </c>
      <c r="I1284" s="23" t="s">
        <v>6388</v>
      </c>
      <c r="J1284" s="12">
        <v>2009.0</v>
      </c>
      <c r="K1284" s="23">
        <v>48.0</v>
      </c>
      <c r="L1284" s="24">
        <v>1.0</v>
      </c>
      <c r="M1284" s="25" t="s">
        <v>6389</v>
      </c>
      <c r="N1284" s="26" t="str">
        <f t="shared" si="2"/>
        <v>819
DUD
c</v>
      </c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</row>
    <row r="1285">
      <c r="A1285" s="10">
        <v>1284.0</v>
      </c>
      <c r="B1285" s="12" t="s">
        <v>6390</v>
      </c>
      <c r="C1285" s="12" t="s">
        <v>38</v>
      </c>
      <c r="D1285" s="23" t="s">
        <v>5344</v>
      </c>
      <c r="E1285" s="22" t="s">
        <v>6366</v>
      </c>
      <c r="F1285" s="12" t="s">
        <v>6391</v>
      </c>
      <c r="G1285" s="12" t="s">
        <v>6348</v>
      </c>
      <c r="H1285" s="12" t="s">
        <v>6383</v>
      </c>
      <c r="I1285" s="23" t="s">
        <v>6392</v>
      </c>
      <c r="J1285" s="12">
        <v>2009.0</v>
      </c>
      <c r="K1285" s="23">
        <v>61.0</v>
      </c>
      <c r="L1285" s="24">
        <v>1.0</v>
      </c>
      <c r="M1285" s="25" t="s">
        <v>6393</v>
      </c>
      <c r="N1285" s="26" t="str">
        <f t="shared" si="2"/>
        <v>823
REN
b</v>
      </c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</row>
    <row r="1286">
      <c r="A1286" s="10">
        <v>1285.0</v>
      </c>
      <c r="B1286" s="12" t="s">
        <v>6394</v>
      </c>
      <c r="C1286" s="12" t="s">
        <v>38</v>
      </c>
      <c r="D1286" s="23">
        <v>823.0</v>
      </c>
      <c r="E1286" s="12" t="s">
        <v>6357</v>
      </c>
      <c r="F1286" s="12" t="s">
        <v>6328</v>
      </c>
      <c r="G1286" s="12" t="s">
        <v>6348</v>
      </c>
      <c r="H1286" s="12" t="s">
        <v>1636</v>
      </c>
      <c r="I1286" s="23" t="s">
        <v>6395</v>
      </c>
      <c r="J1286" s="12">
        <v>2015.0</v>
      </c>
      <c r="K1286" s="23">
        <v>68.0</v>
      </c>
      <c r="L1286" s="24">
        <v>1.0</v>
      </c>
      <c r="M1286" s="25" t="s">
        <v>6396</v>
      </c>
      <c r="N1286" s="26" t="str">
        <f t="shared" si="2"/>
        <v>823
DID
t</v>
      </c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</row>
    <row r="1287">
      <c r="A1287" s="10">
        <v>1286.0</v>
      </c>
      <c r="B1287" s="12" t="s">
        <v>6397</v>
      </c>
      <c r="C1287" s="12" t="s">
        <v>38</v>
      </c>
      <c r="D1287" s="23">
        <v>823.0</v>
      </c>
      <c r="E1287" s="12" t="s">
        <v>6357</v>
      </c>
      <c r="F1287" s="12" t="s">
        <v>6328</v>
      </c>
      <c r="G1287" s="12" t="s">
        <v>6348</v>
      </c>
      <c r="H1287" s="12" t="s">
        <v>1636</v>
      </c>
      <c r="I1287" s="23">
        <v>9.786028608442E12</v>
      </c>
      <c r="J1287" s="12">
        <v>2015.0</v>
      </c>
      <c r="K1287" s="23">
        <v>53.0</v>
      </c>
      <c r="L1287" s="24">
        <v>2.0</v>
      </c>
      <c r="M1287" s="25" t="s">
        <v>6398</v>
      </c>
      <c r="N1287" s="26" t="str">
        <f t="shared" si="2"/>
        <v>823
DID
t</v>
      </c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</row>
    <row r="1288">
      <c r="A1288" s="10">
        <v>1287.0</v>
      </c>
      <c r="B1288" s="12" t="s">
        <v>6399</v>
      </c>
      <c r="C1288" s="12" t="s">
        <v>38</v>
      </c>
      <c r="D1288" s="23">
        <v>819.0</v>
      </c>
      <c r="E1288" s="12" t="s">
        <v>2463</v>
      </c>
      <c r="F1288" s="12" t="s">
        <v>5722</v>
      </c>
      <c r="G1288" s="12" t="s">
        <v>518</v>
      </c>
      <c r="H1288" s="12" t="s">
        <v>2565</v>
      </c>
      <c r="I1288" s="23" t="s">
        <v>6400</v>
      </c>
      <c r="J1288" s="12">
        <v>2009.0</v>
      </c>
      <c r="K1288" s="23">
        <v>48.0</v>
      </c>
      <c r="L1288" s="24">
        <v>1.0</v>
      </c>
      <c r="M1288" s="25" t="s">
        <v>6401</v>
      </c>
      <c r="N1288" s="26" t="str">
        <f t="shared" si="2"/>
        <v>819
AAN
d</v>
      </c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</row>
    <row r="1289">
      <c r="A1289" s="10">
        <v>1288.0</v>
      </c>
      <c r="B1289" s="12" t="s">
        <v>6402</v>
      </c>
      <c r="C1289" s="12" t="s">
        <v>229</v>
      </c>
      <c r="D1289" s="23" t="s">
        <v>1856</v>
      </c>
      <c r="E1289" s="12" t="s">
        <v>2500</v>
      </c>
      <c r="F1289" s="12" t="s">
        <v>2564</v>
      </c>
      <c r="G1289" s="12" t="s">
        <v>518</v>
      </c>
      <c r="H1289" s="12" t="s">
        <v>2565</v>
      </c>
      <c r="I1289" s="23">
        <v>9.789792417296E12</v>
      </c>
      <c r="J1289" s="12">
        <v>2009.0</v>
      </c>
      <c r="K1289" s="23">
        <v>63.0</v>
      </c>
      <c r="L1289" s="24">
        <v>1.0</v>
      </c>
      <c r="M1289" s="25" t="s">
        <v>6403</v>
      </c>
      <c r="N1289" s="26" t="str">
        <f t="shared" si="2"/>
        <v>398.2
HID
n</v>
      </c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</row>
    <row r="1290">
      <c r="A1290" s="10">
        <v>1289.0</v>
      </c>
      <c r="B1290" s="12" t="s">
        <v>6404</v>
      </c>
      <c r="C1290" s="12" t="s">
        <v>38</v>
      </c>
      <c r="D1290" s="23">
        <v>813.0</v>
      </c>
      <c r="E1290" s="12" t="s">
        <v>6405</v>
      </c>
      <c r="F1290" s="12" t="s">
        <v>6379</v>
      </c>
      <c r="G1290" s="12" t="s">
        <v>4981</v>
      </c>
      <c r="H1290" s="12" t="s">
        <v>6406</v>
      </c>
      <c r="I1290" s="23" t="s">
        <v>6407</v>
      </c>
      <c r="J1290" s="12">
        <v>2015.0</v>
      </c>
      <c r="K1290" s="23">
        <v>60.0</v>
      </c>
      <c r="L1290" s="24">
        <v>1.0</v>
      </c>
      <c r="M1290" s="25" t="s">
        <v>6408</v>
      </c>
      <c r="N1290" s="26" t="str">
        <f t="shared" si="2"/>
        <v>813
SUK
k</v>
      </c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</row>
    <row r="1291">
      <c r="A1291" s="10">
        <v>1290.0</v>
      </c>
      <c r="B1291" s="12" t="s">
        <v>6409</v>
      </c>
      <c r="C1291" s="12" t="s">
        <v>229</v>
      </c>
      <c r="D1291" s="23" t="s">
        <v>1856</v>
      </c>
      <c r="E1291" s="12" t="s">
        <v>2500</v>
      </c>
      <c r="F1291" s="12" t="s">
        <v>2446</v>
      </c>
      <c r="G1291" s="12" t="s">
        <v>518</v>
      </c>
      <c r="H1291" s="12" t="s">
        <v>2565</v>
      </c>
      <c r="I1291" s="23" t="s">
        <v>6410</v>
      </c>
      <c r="J1291" s="12">
        <v>2009.0</v>
      </c>
      <c r="K1291" s="23">
        <v>48.0</v>
      </c>
      <c r="L1291" s="24">
        <v>1.0</v>
      </c>
      <c r="M1291" s="25" t="s">
        <v>6411</v>
      </c>
      <c r="N1291" s="26" t="str">
        <f t="shared" si="2"/>
        <v>398.2
BUD
b</v>
      </c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</row>
    <row r="1292">
      <c r="A1292" s="10">
        <v>1291.0</v>
      </c>
      <c r="B1292" s="12" t="s">
        <v>6412</v>
      </c>
      <c r="C1292" s="12" t="s">
        <v>38</v>
      </c>
      <c r="D1292" s="23">
        <v>823.0</v>
      </c>
      <c r="E1292" s="12" t="s">
        <v>6357</v>
      </c>
      <c r="F1292" s="12" t="s">
        <v>6328</v>
      </c>
      <c r="G1292" s="12" t="s">
        <v>6348</v>
      </c>
      <c r="H1292" s="12" t="s">
        <v>6383</v>
      </c>
      <c r="I1292" s="23" t="s">
        <v>6413</v>
      </c>
      <c r="J1292" s="12">
        <v>2008.0</v>
      </c>
      <c r="K1292" s="23">
        <v>67.0</v>
      </c>
      <c r="L1292" s="24">
        <v>2.0</v>
      </c>
      <c r="M1292" s="25" t="s">
        <v>6414</v>
      </c>
      <c r="N1292" s="26" t="str">
        <f t="shared" si="2"/>
        <v>823
DID
t</v>
      </c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</row>
    <row r="1293">
      <c r="A1293" s="10">
        <v>1292.0</v>
      </c>
      <c r="B1293" s="12" t="s">
        <v>6415</v>
      </c>
      <c r="C1293" s="12" t="s">
        <v>38</v>
      </c>
      <c r="D1293" s="23">
        <v>813.0</v>
      </c>
      <c r="E1293" s="12" t="s">
        <v>6305</v>
      </c>
      <c r="F1293" s="12" t="s">
        <v>6416</v>
      </c>
      <c r="G1293" s="12" t="s">
        <v>6417</v>
      </c>
      <c r="H1293" s="12" t="s">
        <v>6340</v>
      </c>
      <c r="I1293" s="23" t="s">
        <v>6418</v>
      </c>
      <c r="J1293" s="12">
        <v>2009.0</v>
      </c>
      <c r="K1293" s="23">
        <v>76.0</v>
      </c>
      <c r="L1293" s="24">
        <v>3.0</v>
      </c>
      <c r="M1293" s="25" t="s">
        <v>6419</v>
      </c>
      <c r="N1293" s="26" t="str">
        <f t="shared" si="2"/>
        <v>813
SOE
s</v>
      </c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</row>
    <row r="1294">
      <c r="A1294" s="10">
        <v>1293.0</v>
      </c>
      <c r="B1294" s="12" t="s">
        <v>6420</v>
      </c>
      <c r="C1294" s="12" t="s">
        <v>38</v>
      </c>
      <c r="D1294" s="23"/>
      <c r="E1294" s="22" t="s">
        <v>1155</v>
      </c>
      <c r="F1294" s="12" t="s">
        <v>233</v>
      </c>
      <c r="G1294" s="12" t="s">
        <v>6421</v>
      </c>
      <c r="H1294" s="12" t="s">
        <v>2036</v>
      </c>
      <c r="I1294" s="23" t="s">
        <v>6422</v>
      </c>
      <c r="J1294" s="12">
        <v>2009.0</v>
      </c>
      <c r="K1294" s="23">
        <v>52.0</v>
      </c>
      <c r="L1294" s="24">
        <v>1.0</v>
      </c>
      <c r="M1294" s="12" t="s">
        <v>340</v>
      </c>
      <c r="N1294" s="26" t="str">
        <f t="shared" si="2"/>
        <v>
TED
b</v>
      </c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</row>
    <row r="1295">
      <c r="A1295" s="10">
        <v>1294.0</v>
      </c>
      <c r="B1295" s="12" t="s">
        <v>6423</v>
      </c>
      <c r="C1295" s="12" t="s">
        <v>38</v>
      </c>
      <c r="D1295" s="23"/>
      <c r="E1295" s="22" t="s">
        <v>1155</v>
      </c>
      <c r="F1295" s="12" t="s">
        <v>2488</v>
      </c>
      <c r="G1295" s="12" t="s">
        <v>4981</v>
      </c>
      <c r="H1295" s="12" t="s">
        <v>564</v>
      </c>
      <c r="I1295" s="23" t="s">
        <v>6424</v>
      </c>
      <c r="J1295" s="12">
        <v>2015.0</v>
      </c>
      <c r="K1295" s="23">
        <v>72.0</v>
      </c>
      <c r="L1295" s="24">
        <v>1.0</v>
      </c>
      <c r="M1295" s="12" t="s">
        <v>340</v>
      </c>
      <c r="N1295" s="26" t="str">
        <f t="shared" si="2"/>
        <v>
JOH
m</v>
      </c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</row>
    <row r="1296">
      <c r="A1296" s="10">
        <v>1295.0</v>
      </c>
      <c r="B1296" s="12" t="s">
        <v>6425</v>
      </c>
      <c r="C1296" s="12" t="s">
        <v>38</v>
      </c>
      <c r="D1296" s="23" t="s">
        <v>6426</v>
      </c>
      <c r="E1296" s="12" t="s">
        <v>6427</v>
      </c>
      <c r="F1296" s="12" t="s">
        <v>6428</v>
      </c>
      <c r="G1296" s="12" t="s">
        <v>6429</v>
      </c>
      <c r="H1296" s="12" t="s">
        <v>4790</v>
      </c>
      <c r="I1296" s="23" t="s">
        <v>6430</v>
      </c>
      <c r="J1296" s="12">
        <v>2014.0</v>
      </c>
      <c r="K1296" s="23">
        <v>108.0</v>
      </c>
      <c r="L1296" s="24">
        <v>2.0</v>
      </c>
      <c r="M1296" s="12" t="s">
        <v>340</v>
      </c>
      <c r="N1296" s="26" t="str">
        <f t="shared" si="2"/>
        <v>808.3
HAR
k</v>
      </c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</row>
    <row r="1297">
      <c r="A1297" s="10">
        <v>1296.0</v>
      </c>
      <c r="B1297" s="12" t="s">
        <v>6431</v>
      </c>
      <c r="C1297" s="12" t="s">
        <v>38</v>
      </c>
      <c r="D1297" s="23">
        <v>813.0</v>
      </c>
      <c r="E1297" s="12" t="s">
        <v>6305</v>
      </c>
      <c r="F1297" s="12" t="s">
        <v>6432</v>
      </c>
      <c r="G1297" s="12" t="s">
        <v>6433</v>
      </c>
      <c r="H1297" s="12" t="s">
        <v>3598</v>
      </c>
      <c r="I1297" s="23" t="s">
        <v>6434</v>
      </c>
      <c r="J1297" s="12">
        <v>2015.0</v>
      </c>
      <c r="K1297" s="23">
        <v>60.0</v>
      </c>
      <c r="L1297" s="24">
        <v>2.0</v>
      </c>
      <c r="M1297" s="12" t="s">
        <v>340</v>
      </c>
      <c r="N1297" s="26" t="str">
        <f t="shared" si="2"/>
        <v>813
DID
j</v>
      </c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</row>
    <row r="1298">
      <c r="A1298" s="10">
        <v>1297.0</v>
      </c>
      <c r="B1298" s="12" t="s">
        <v>6289</v>
      </c>
      <c r="C1298" s="12" t="s">
        <v>38</v>
      </c>
      <c r="D1298" s="23"/>
      <c r="E1298" s="22" t="s">
        <v>1155</v>
      </c>
      <c r="F1298" s="12" t="s">
        <v>2559</v>
      </c>
      <c r="G1298" s="12" t="s">
        <v>518</v>
      </c>
      <c r="H1298" s="12" t="s">
        <v>2565</v>
      </c>
      <c r="I1298" s="23" t="s">
        <v>6435</v>
      </c>
      <c r="J1298" s="12">
        <v>2009.0</v>
      </c>
      <c r="K1298" s="23">
        <v>64.0</v>
      </c>
      <c r="L1298" s="24">
        <v>1.0</v>
      </c>
      <c r="M1298" s="12" t="s">
        <v>340</v>
      </c>
      <c r="N1298" s="26" t="str">
        <f t="shared" si="2"/>
        <v>
TAT
p</v>
      </c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</row>
    <row r="1299">
      <c r="A1299" s="10">
        <v>1298.0</v>
      </c>
      <c r="B1299" s="12" t="s">
        <v>6436</v>
      </c>
      <c r="C1299" s="12" t="s">
        <v>38</v>
      </c>
      <c r="D1299" s="23"/>
      <c r="E1299" s="22" t="s">
        <v>1155</v>
      </c>
      <c r="F1299" s="12" t="s">
        <v>6437</v>
      </c>
      <c r="G1299" s="12" t="s">
        <v>6438</v>
      </c>
      <c r="H1299" s="12" t="s">
        <v>4206</v>
      </c>
      <c r="I1299" s="23" t="s">
        <v>6439</v>
      </c>
      <c r="J1299" s="12">
        <v>2010.0</v>
      </c>
      <c r="K1299" s="23">
        <v>47.0</v>
      </c>
      <c r="L1299" s="24">
        <v>1.0</v>
      </c>
      <c r="M1299" s="12" t="s">
        <v>340</v>
      </c>
      <c r="N1299" s="26" t="str">
        <f t="shared" si="2"/>
        <v>
MOR
l</v>
      </c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</row>
    <row r="1300">
      <c r="A1300" s="10">
        <v>1299.0</v>
      </c>
      <c r="B1300" s="12" t="s">
        <v>6440</v>
      </c>
      <c r="C1300" s="12" t="s">
        <v>38</v>
      </c>
      <c r="D1300" s="23"/>
      <c r="E1300" s="22" t="s">
        <v>1155</v>
      </c>
      <c r="F1300" s="12" t="s">
        <v>2745</v>
      </c>
      <c r="G1300" s="12" t="s">
        <v>6441</v>
      </c>
      <c r="H1300" s="12" t="s">
        <v>6442</v>
      </c>
      <c r="I1300" s="23"/>
      <c r="J1300" s="12">
        <v>2011.0</v>
      </c>
      <c r="K1300" s="23">
        <v>160.0</v>
      </c>
      <c r="L1300" s="24">
        <v>1.0</v>
      </c>
      <c r="M1300" s="12" t="s">
        <v>340</v>
      </c>
      <c r="N1300" s="26" t="str">
        <f t="shared" si="2"/>
        <v>
YUD
k</v>
      </c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</row>
    <row r="1301">
      <c r="A1301" s="10">
        <v>1300.0</v>
      </c>
      <c r="B1301" s="12" t="s">
        <v>6443</v>
      </c>
      <c r="C1301" s="12" t="s">
        <v>38</v>
      </c>
      <c r="D1301" s="23"/>
      <c r="E1301" s="22" t="s">
        <v>1155</v>
      </c>
      <c r="F1301" s="12" t="s">
        <v>6444</v>
      </c>
      <c r="G1301" s="12" t="s">
        <v>2761</v>
      </c>
      <c r="H1301" s="12" t="s">
        <v>433</v>
      </c>
      <c r="I1301" s="23" t="s">
        <v>6445</v>
      </c>
      <c r="J1301" s="12">
        <v>2015.0</v>
      </c>
      <c r="K1301" s="23">
        <v>60.0</v>
      </c>
      <c r="L1301" s="24">
        <v>1.0</v>
      </c>
      <c r="M1301" s="12" t="s">
        <v>340</v>
      </c>
      <c r="N1301" s="26" t="str">
        <f t="shared" si="2"/>
        <v>
LAL
t</v>
      </c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</row>
    <row r="1302">
      <c r="A1302" s="10">
        <v>1301.0</v>
      </c>
      <c r="B1302" s="12" t="s">
        <v>6446</v>
      </c>
      <c r="C1302" s="12" t="s">
        <v>38</v>
      </c>
      <c r="D1302" s="23">
        <v>813.0</v>
      </c>
      <c r="E1302" s="12" t="s">
        <v>6447</v>
      </c>
      <c r="F1302" s="12" t="s">
        <v>2620</v>
      </c>
      <c r="G1302" s="12"/>
      <c r="H1302" s="12" t="s">
        <v>2609</v>
      </c>
      <c r="I1302" s="23"/>
      <c r="J1302" s="12">
        <v>2011.0</v>
      </c>
      <c r="K1302" s="23">
        <v>64.0</v>
      </c>
      <c r="L1302" s="24">
        <v>1.0</v>
      </c>
      <c r="M1302" s="25" t="s">
        <v>6448</v>
      </c>
      <c r="N1302" s="26" t="str">
        <f t="shared" si="2"/>
        <v>813
RAH
a</v>
      </c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</row>
    <row r="1303">
      <c r="A1303" s="10">
        <v>1302.0</v>
      </c>
      <c r="B1303" s="12" t="s">
        <v>6449</v>
      </c>
      <c r="C1303" s="12" t="s">
        <v>38</v>
      </c>
      <c r="D1303" s="23"/>
      <c r="E1303" s="22" t="s">
        <v>1155</v>
      </c>
      <c r="F1303" s="12" t="s">
        <v>6450</v>
      </c>
      <c r="G1303" s="12" t="s">
        <v>6451</v>
      </c>
      <c r="H1303" s="12" t="s">
        <v>6003</v>
      </c>
      <c r="I1303" s="23" t="s">
        <v>6452</v>
      </c>
      <c r="J1303" s="12">
        <v>2011.0</v>
      </c>
      <c r="K1303" s="23">
        <v>52.0</v>
      </c>
      <c r="L1303" s="24">
        <v>1.0</v>
      </c>
      <c r="M1303" s="12" t="s">
        <v>340</v>
      </c>
      <c r="N1303" s="26" t="str">
        <f t="shared" si="2"/>
        <v>
SHE
l</v>
      </c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</row>
    <row r="1304">
      <c r="A1304" s="10">
        <v>1303.0</v>
      </c>
      <c r="B1304" s="12" t="s">
        <v>6453</v>
      </c>
      <c r="C1304" s="12" t="s">
        <v>38</v>
      </c>
      <c r="D1304" s="23"/>
      <c r="E1304" s="22" t="s">
        <v>1155</v>
      </c>
      <c r="F1304" s="12" t="s">
        <v>6454</v>
      </c>
      <c r="G1304" s="12" t="s">
        <v>6455</v>
      </c>
      <c r="H1304" s="12" t="s">
        <v>4200</v>
      </c>
      <c r="I1304" s="23">
        <v>9.789792210736E12</v>
      </c>
      <c r="J1304" s="12">
        <v>2008.0</v>
      </c>
      <c r="K1304" s="23">
        <v>136.0</v>
      </c>
      <c r="L1304" s="24">
        <v>1.0</v>
      </c>
      <c r="M1304" s="12" t="s">
        <v>340</v>
      </c>
      <c r="N1304" s="26" t="str">
        <f t="shared" si="2"/>
        <v>
TON
t</v>
      </c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</row>
    <row r="1305">
      <c r="A1305" s="10">
        <v>1304.0</v>
      </c>
      <c r="B1305" s="12" t="s">
        <v>6456</v>
      </c>
      <c r="C1305" s="12" t="s">
        <v>38</v>
      </c>
      <c r="D1305" s="23">
        <v>813.0</v>
      </c>
      <c r="E1305" s="12" t="s">
        <v>64</v>
      </c>
      <c r="F1305" s="12" t="s">
        <v>6457</v>
      </c>
      <c r="G1305" s="12"/>
      <c r="H1305" s="12" t="s">
        <v>6458</v>
      </c>
      <c r="I1305" s="23" t="s">
        <v>6459</v>
      </c>
      <c r="J1305" s="12">
        <v>1976.0</v>
      </c>
      <c r="K1305" s="23" t="s">
        <v>6460</v>
      </c>
      <c r="L1305" s="24">
        <v>2.0</v>
      </c>
      <c r="M1305" s="25" t="s">
        <v>6461</v>
      </c>
      <c r="N1305" s="26" t="str">
        <f t="shared" si="2"/>
        <v>813
HAM
t</v>
      </c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</row>
    <row r="1306">
      <c r="A1306" s="10">
        <v>1305.0</v>
      </c>
      <c r="B1306" s="12" t="s">
        <v>6462</v>
      </c>
      <c r="C1306" s="12" t="s">
        <v>38</v>
      </c>
      <c r="D1306" s="23">
        <v>813.0</v>
      </c>
      <c r="E1306" s="22" t="s">
        <v>64</v>
      </c>
      <c r="F1306" s="12" t="s">
        <v>6463</v>
      </c>
      <c r="G1306" s="12"/>
      <c r="H1306" s="12" t="s">
        <v>4200</v>
      </c>
      <c r="I1306" s="23">
        <v>9.78979223655E11</v>
      </c>
      <c r="J1306" s="12">
        <v>2071.0</v>
      </c>
      <c r="K1306" s="23" t="s">
        <v>6464</v>
      </c>
      <c r="L1306" s="24">
        <v>2.0</v>
      </c>
      <c r="M1306" s="38" t="s">
        <v>6465</v>
      </c>
      <c r="N1306" s="26" t="str">
        <f t="shared" si="2"/>
        <v>813
TET
t</v>
      </c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</row>
    <row r="1307">
      <c r="A1307" s="10">
        <v>1306.0</v>
      </c>
      <c r="B1307" s="12" t="s">
        <v>6466</v>
      </c>
      <c r="C1307" s="12" t="s">
        <v>38</v>
      </c>
      <c r="D1307" s="23"/>
      <c r="E1307" s="22" t="s">
        <v>1155</v>
      </c>
      <c r="F1307" s="12" t="s">
        <v>1522</v>
      </c>
      <c r="G1307" s="12"/>
      <c r="H1307" s="12" t="s">
        <v>588</v>
      </c>
      <c r="I1307" s="23" t="s">
        <v>6467</v>
      </c>
      <c r="J1307" s="12"/>
      <c r="K1307" s="23"/>
      <c r="L1307" s="24">
        <v>1.0</v>
      </c>
      <c r="M1307" s="12" t="s">
        <v>340</v>
      </c>
      <c r="N1307" s="26" t="str">
        <f t="shared" si="2"/>
        <v>
MOK
a</v>
      </c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</row>
    <row r="1308">
      <c r="A1308" s="10">
        <v>1307.0</v>
      </c>
      <c r="B1308" s="12" t="s">
        <v>6468</v>
      </c>
      <c r="C1308" s="12" t="s">
        <v>38</v>
      </c>
      <c r="D1308" s="23">
        <v>813.0</v>
      </c>
      <c r="E1308" s="12" t="s">
        <v>64</v>
      </c>
      <c r="F1308" s="12" t="s">
        <v>6469</v>
      </c>
      <c r="G1308" s="12" t="s">
        <v>6470</v>
      </c>
      <c r="H1308" s="12" t="s">
        <v>6471</v>
      </c>
      <c r="I1308" s="23" t="s">
        <v>6472</v>
      </c>
      <c r="J1308" s="12">
        <v>2006.0</v>
      </c>
      <c r="K1308" s="23">
        <v>235.0</v>
      </c>
      <c r="L1308" s="24">
        <v>1.0</v>
      </c>
      <c r="M1308" s="25" t="s">
        <v>6473</v>
      </c>
      <c r="N1308" s="26" t="str">
        <f t="shared" si="2"/>
        <v>813
RAD
k</v>
      </c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</row>
    <row r="1309">
      <c r="A1309" s="10">
        <v>1308.0</v>
      </c>
      <c r="B1309" s="12" t="s">
        <v>6474</v>
      </c>
      <c r="C1309" s="12" t="s">
        <v>38</v>
      </c>
      <c r="D1309" s="23">
        <v>817.0</v>
      </c>
      <c r="E1309" s="12" t="s">
        <v>5976</v>
      </c>
      <c r="F1309" s="12" t="s">
        <v>6469</v>
      </c>
      <c r="G1309" s="12" t="s">
        <v>6475</v>
      </c>
      <c r="H1309" s="12" t="s">
        <v>6471</v>
      </c>
      <c r="I1309" s="23">
        <v>9.789797802851E12</v>
      </c>
      <c r="J1309" s="12">
        <v>2008.0</v>
      </c>
      <c r="K1309" s="23" t="s">
        <v>6476</v>
      </c>
      <c r="L1309" s="24">
        <v>1.0</v>
      </c>
      <c r="M1309" s="25" t="s">
        <v>6477</v>
      </c>
      <c r="N1309" s="26" t="str">
        <f t="shared" si="2"/>
        <v>817
RAD
k</v>
      </c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</row>
    <row r="1310">
      <c r="A1310" s="10">
        <v>1309.0</v>
      </c>
      <c r="B1310" s="12" t="s">
        <v>6478</v>
      </c>
      <c r="C1310" s="12" t="s">
        <v>38</v>
      </c>
      <c r="D1310" s="23" t="s">
        <v>445</v>
      </c>
      <c r="E1310" s="22" t="s">
        <v>5296</v>
      </c>
      <c r="F1310" s="12" t="s">
        <v>6479</v>
      </c>
      <c r="G1310" s="12" t="s">
        <v>6480</v>
      </c>
      <c r="H1310" s="12" t="s">
        <v>4487</v>
      </c>
      <c r="I1310" s="23">
        <v>9.789794070659E12</v>
      </c>
      <c r="J1310" s="12">
        <v>2013.0</v>
      </c>
      <c r="K1310" s="23" t="s">
        <v>6481</v>
      </c>
      <c r="L1310" s="24">
        <v>4.0</v>
      </c>
      <c r="M1310" s="25" t="s">
        <v>6482</v>
      </c>
      <c r="N1310" s="26" t="str">
        <f t="shared" si="2"/>
        <v>813
TAK
l</v>
      </c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</row>
    <row r="1311">
      <c r="A1311" s="10">
        <v>1310.0</v>
      </c>
      <c r="B1311" s="12" t="s">
        <v>6483</v>
      </c>
      <c r="C1311" s="12" t="s">
        <v>38</v>
      </c>
      <c r="D1311" s="23">
        <v>813.0</v>
      </c>
      <c r="E1311" s="12" t="s">
        <v>6103</v>
      </c>
      <c r="F1311" s="12" t="s">
        <v>6479</v>
      </c>
      <c r="G1311" s="12" t="s">
        <v>340</v>
      </c>
      <c r="H1311" s="12" t="s">
        <v>5629</v>
      </c>
      <c r="I1311" s="23">
        <v>9.789795232254E12</v>
      </c>
      <c r="J1311" s="12">
        <v>1995.0</v>
      </c>
      <c r="K1311" s="23" t="s">
        <v>6484</v>
      </c>
      <c r="L1311" s="24">
        <v>8.0</v>
      </c>
      <c r="M1311" s="25" t="s">
        <v>6485</v>
      </c>
      <c r="N1311" s="26" t="str">
        <f t="shared" si="2"/>
        <v>813
TAK
d</v>
      </c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</row>
    <row r="1312">
      <c r="A1312" s="10">
        <v>1311.0</v>
      </c>
      <c r="B1312" s="12" t="s">
        <v>6486</v>
      </c>
      <c r="C1312" s="12" t="s">
        <v>38</v>
      </c>
      <c r="D1312" s="23">
        <v>813.0</v>
      </c>
      <c r="E1312" s="12" t="s">
        <v>6103</v>
      </c>
      <c r="F1312" s="12" t="s">
        <v>6487</v>
      </c>
      <c r="G1312" s="12"/>
      <c r="H1312" s="12" t="s">
        <v>4200</v>
      </c>
      <c r="I1312" s="23">
        <v>9.789792261295E12</v>
      </c>
      <c r="J1312" s="12">
        <v>2010.0</v>
      </c>
      <c r="K1312" s="23" t="s">
        <v>6488</v>
      </c>
      <c r="L1312" s="24">
        <v>6.0</v>
      </c>
      <c r="M1312" s="25" t="s">
        <v>6489</v>
      </c>
      <c r="N1312" s="26" t="str">
        <f t="shared" si="2"/>
        <v>813
NAV
r</v>
      </c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</row>
    <row r="1313">
      <c r="A1313" s="10">
        <v>1312.0</v>
      </c>
      <c r="B1313" s="12" t="s">
        <v>3080</v>
      </c>
      <c r="C1313" s="12" t="s">
        <v>246</v>
      </c>
      <c r="D1313" s="23" t="s">
        <v>3081</v>
      </c>
      <c r="E1313" s="12" t="s">
        <v>3080</v>
      </c>
      <c r="F1313" s="12" t="s">
        <v>6490</v>
      </c>
      <c r="G1313" s="12"/>
      <c r="H1313" s="12" t="s">
        <v>2510</v>
      </c>
      <c r="I1313" s="23" t="s">
        <v>6491</v>
      </c>
      <c r="J1313" s="12">
        <v>2003.0</v>
      </c>
      <c r="K1313" s="23" t="s">
        <v>6492</v>
      </c>
      <c r="L1313" s="24">
        <v>1.0</v>
      </c>
      <c r="M1313" s="25" t="s">
        <v>6493</v>
      </c>
      <c r="N1313" s="26" t="str">
        <f t="shared" si="2"/>
        <v>510.3
DJA
k</v>
      </c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</row>
    <row r="1314">
      <c r="A1314" s="10">
        <v>1313.0</v>
      </c>
      <c r="B1314" s="12" t="s">
        <v>6494</v>
      </c>
      <c r="C1314" s="12" t="s">
        <v>38</v>
      </c>
      <c r="D1314" s="23">
        <v>813.0</v>
      </c>
      <c r="E1314" s="12" t="s">
        <v>5370</v>
      </c>
      <c r="F1314" s="12" t="s">
        <v>6495</v>
      </c>
      <c r="G1314" s="12"/>
      <c r="H1314" s="12" t="s">
        <v>1786</v>
      </c>
      <c r="I1314" s="23">
        <v>9.78979505196E12</v>
      </c>
      <c r="J1314" s="12">
        <v>2009.0</v>
      </c>
      <c r="K1314" s="23" t="s">
        <v>6496</v>
      </c>
      <c r="L1314" s="24">
        <v>5.0</v>
      </c>
      <c r="M1314" s="25" t="s">
        <v>6497</v>
      </c>
      <c r="N1314" s="26" t="str">
        <f t="shared" si="2"/>
        <v>813
DEW
n</v>
      </c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</row>
    <row r="1315">
      <c r="A1315" s="10">
        <v>1314.0</v>
      </c>
      <c r="B1315" s="12" t="s">
        <v>6498</v>
      </c>
      <c r="C1315" s="12" t="s">
        <v>38</v>
      </c>
      <c r="D1315" s="23">
        <v>813.0</v>
      </c>
      <c r="E1315" s="12" t="s">
        <v>5466</v>
      </c>
      <c r="F1315" s="12" t="s">
        <v>6499</v>
      </c>
      <c r="G1315" s="12" t="s">
        <v>6500</v>
      </c>
      <c r="H1315" s="12" t="s">
        <v>6501</v>
      </c>
      <c r="I1315" s="23">
        <v>9.7860282875E12</v>
      </c>
      <c r="J1315" s="12">
        <v>2010.0</v>
      </c>
      <c r="K1315" s="23" t="s">
        <v>6502</v>
      </c>
      <c r="L1315" s="24">
        <v>4.0</v>
      </c>
      <c r="M1315" s="25" t="s">
        <v>6503</v>
      </c>
      <c r="N1315" s="26" t="str">
        <f t="shared" si="2"/>
        <v>813
EVA
m</v>
      </c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</row>
    <row r="1316">
      <c r="A1316" s="10">
        <v>1315.0</v>
      </c>
      <c r="B1316" s="12" t="s">
        <v>6504</v>
      </c>
      <c r="C1316" s="12" t="s">
        <v>38</v>
      </c>
      <c r="D1316" s="23">
        <v>813.0</v>
      </c>
      <c r="E1316" s="12" t="s">
        <v>5296</v>
      </c>
      <c r="F1316" s="12" t="s">
        <v>6505</v>
      </c>
      <c r="G1316" s="12" t="s">
        <v>6506</v>
      </c>
      <c r="H1316" s="12" t="s">
        <v>6507</v>
      </c>
      <c r="I1316" s="23">
        <v>9.786028988247E12</v>
      </c>
      <c r="J1316" s="12">
        <v>2015.0</v>
      </c>
      <c r="K1316" s="23" t="s">
        <v>6508</v>
      </c>
      <c r="L1316" s="24">
        <v>1.0</v>
      </c>
      <c r="M1316" s="25" t="s">
        <v>6509</v>
      </c>
      <c r="N1316" s="26" t="str">
        <f t="shared" si="2"/>
        <v>813
HAR
m</v>
      </c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</row>
    <row r="1317">
      <c r="A1317" s="10">
        <v>1316.0</v>
      </c>
      <c r="B1317" s="12" t="s">
        <v>6510</v>
      </c>
      <c r="C1317" s="12" t="s">
        <v>38</v>
      </c>
      <c r="D1317" s="23">
        <v>813.0</v>
      </c>
      <c r="E1317" s="12" t="s">
        <v>5107</v>
      </c>
      <c r="F1317" s="12" t="s">
        <v>6511</v>
      </c>
      <c r="G1317" s="12"/>
      <c r="H1317" s="12" t="s">
        <v>6512</v>
      </c>
      <c r="I1317" s="23">
        <v>9.786028133081E12</v>
      </c>
      <c r="J1317" s="12">
        <v>2015.0</v>
      </c>
      <c r="K1317" s="23">
        <v>92.0</v>
      </c>
      <c r="L1317" s="24">
        <v>4.0</v>
      </c>
      <c r="M1317" s="25" t="s">
        <v>6513</v>
      </c>
      <c r="N1317" s="26" t="str">
        <f t="shared" si="2"/>
        <v>813
RIA
p</v>
      </c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</row>
    <row r="1318">
      <c r="A1318" s="10">
        <v>1317.0</v>
      </c>
      <c r="B1318" s="12" t="s">
        <v>6514</v>
      </c>
      <c r="C1318" s="12" t="s">
        <v>38</v>
      </c>
      <c r="D1318" s="23" t="s">
        <v>445</v>
      </c>
      <c r="E1318" s="12" t="s">
        <v>64</v>
      </c>
      <c r="F1318" s="12" t="s">
        <v>6146</v>
      </c>
      <c r="G1318" s="12" t="s">
        <v>6515</v>
      </c>
      <c r="H1318" s="12" t="s">
        <v>6516</v>
      </c>
      <c r="I1318" s="23">
        <v>9.786022201885E12</v>
      </c>
      <c r="J1318" s="12">
        <v>2016.0</v>
      </c>
      <c r="K1318" s="23" t="s">
        <v>6517</v>
      </c>
      <c r="L1318" s="24">
        <v>3.0</v>
      </c>
      <c r="M1318" s="38" t="s">
        <v>6518</v>
      </c>
      <c r="N1318" s="26" t="str">
        <f t="shared" si="2"/>
        <v>813
RIS
p</v>
      </c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</row>
    <row r="1319">
      <c r="A1319" s="10">
        <v>1318.0</v>
      </c>
      <c r="B1319" s="12" t="s">
        <v>6519</v>
      </c>
      <c r="C1319" s="12" t="s">
        <v>38</v>
      </c>
      <c r="D1319" s="23">
        <v>813.0</v>
      </c>
      <c r="E1319" s="12" t="s">
        <v>5107</v>
      </c>
      <c r="F1319" s="12" t="s">
        <v>6520</v>
      </c>
      <c r="G1319" s="12" t="s">
        <v>6521</v>
      </c>
      <c r="H1319" s="12" t="s">
        <v>6522</v>
      </c>
      <c r="I1319" s="23">
        <v>9.789792441161E12</v>
      </c>
      <c r="J1319" s="12">
        <v>2012.0</v>
      </c>
      <c r="K1319" s="23">
        <v>102.0</v>
      </c>
      <c r="L1319" s="24">
        <v>1.0</v>
      </c>
      <c r="M1319" s="38" t="s">
        <v>6523</v>
      </c>
      <c r="N1319" s="26" t="str">
        <f t="shared" si="2"/>
        <v>813
LUK
b</v>
      </c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</row>
    <row r="1320">
      <c r="A1320" s="10">
        <v>1319.0</v>
      </c>
      <c r="B1320" s="12" t="s">
        <v>6524</v>
      </c>
      <c r="C1320" s="12" t="s">
        <v>38</v>
      </c>
      <c r="D1320" s="23">
        <v>813.0</v>
      </c>
      <c r="E1320" s="12" t="s">
        <v>5107</v>
      </c>
      <c r="F1320" s="12" t="s">
        <v>6525</v>
      </c>
      <c r="G1320" s="12" t="s">
        <v>6500</v>
      </c>
      <c r="H1320" s="12" t="s">
        <v>6501</v>
      </c>
      <c r="I1320" s="23">
        <v>9.78602828721E12</v>
      </c>
      <c r="J1320" s="12">
        <v>2013.0</v>
      </c>
      <c r="K1320" s="23" t="s">
        <v>6526</v>
      </c>
      <c r="L1320" s="24">
        <v>1.0</v>
      </c>
      <c r="M1320" s="25" t="s">
        <v>6527</v>
      </c>
      <c r="N1320" s="26" t="str">
        <f t="shared" si="2"/>
        <v>813
BAY
k</v>
      </c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</row>
    <row r="1321">
      <c r="A1321" s="10">
        <v>1320.0</v>
      </c>
      <c r="B1321" s="12" t="s">
        <v>6528</v>
      </c>
      <c r="C1321" s="12" t="s">
        <v>38</v>
      </c>
      <c r="D1321" s="23">
        <v>813.0</v>
      </c>
      <c r="E1321" s="12" t="s">
        <v>5466</v>
      </c>
      <c r="F1321" s="12" t="s">
        <v>6529</v>
      </c>
      <c r="G1321" s="12" t="s">
        <v>6530</v>
      </c>
      <c r="H1321" s="12" t="s">
        <v>4465</v>
      </c>
      <c r="I1321" s="23">
        <v>9.786028287005E12</v>
      </c>
      <c r="J1321" s="12">
        <v>2010.0</v>
      </c>
      <c r="K1321" s="23" t="s">
        <v>2219</v>
      </c>
      <c r="L1321" s="24">
        <v>3.0</v>
      </c>
      <c r="M1321" s="25" t="s">
        <v>6531</v>
      </c>
      <c r="N1321" s="26" t="str">
        <f t="shared" si="2"/>
        <v>813
DIT
t</v>
      </c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</row>
    <row r="1322">
      <c r="A1322" s="10">
        <v>1321.0</v>
      </c>
      <c r="B1322" s="12" t="s">
        <v>6532</v>
      </c>
      <c r="C1322" s="12" t="s">
        <v>38</v>
      </c>
      <c r="D1322" s="23" t="s">
        <v>445</v>
      </c>
      <c r="E1322" s="22" t="s">
        <v>5296</v>
      </c>
      <c r="F1322" s="12" t="s">
        <v>6499</v>
      </c>
      <c r="G1322" s="12" t="s">
        <v>6533</v>
      </c>
      <c r="H1322" s="12" t="s">
        <v>6501</v>
      </c>
      <c r="I1322" s="23">
        <v>9.786028287517E12</v>
      </c>
      <c r="J1322" s="12">
        <v>2011.0</v>
      </c>
      <c r="K1322" s="23" t="s">
        <v>808</v>
      </c>
      <c r="L1322" s="24">
        <v>1.0</v>
      </c>
      <c r="M1322" s="25" t="s">
        <v>6534</v>
      </c>
      <c r="N1322" s="26" t="str">
        <f t="shared" si="2"/>
        <v>813
EVA
k</v>
      </c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</row>
    <row r="1323">
      <c r="A1323" s="10">
        <v>1322.0</v>
      </c>
      <c r="B1323" s="12" t="s">
        <v>6535</v>
      </c>
      <c r="C1323" s="12" t="s">
        <v>38</v>
      </c>
      <c r="D1323" s="23">
        <v>813.0</v>
      </c>
      <c r="E1323" s="12" t="s">
        <v>5466</v>
      </c>
      <c r="F1323" s="12" t="s">
        <v>6536</v>
      </c>
      <c r="G1323" s="12" t="s">
        <v>6537</v>
      </c>
      <c r="H1323" s="12" t="s">
        <v>4796</v>
      </c>
      <c r="I1323" s="23">
        <v>9.786028505123E12</v>
      </c>
      <c r="J1323" s="12">
        <v>2018.0</v>
      </c>
      <c r="K1323" s="23">
        <v>54.0</v>
      </c>
      <c r="L1323" s="24">
        <v>4.0</v>
      </c>
      <c r="M1323" s="25" t="s">
        <v>6538</v>
      </c>
      <c r="N1323" s="26" t="str">
        <f t="shared" si="2"/>
        <v>813
FAJ
b</v>
      </c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</row>
    <row r="1324">
      <c r="A1324" s="10">
        <v>1323.0</v>
      </c>
      <c r="B1324" s="12" t="s">
        <v>6539</v>
      </c>
      <c r="C1324" s="12" t="s">
        <v>38</v>
      </c>
      <c r="D1324" s="23" t="s">
        <v>445</v>
      </c>
      <c r="E1324" s="22" t="s">
        <v>5296</v>
      </c>
      <c r="F1324" s="12" t="s">
        <v>6540</v>
      </c>
      <c r="G1324" s="12" t="s">
        <v>518</v>
      </c>
      <c r="H1324" s="12" t="s">
        <v>2255</v>
      </c>
      <c r="I1324" s="23">
        <v>9.786028582515E12</v>
      </c>
      <c r="J1324" s="12">
        <v>2016.0</v>
      </c>
      <c r="K1324" s="23" t="s">
        <v>6541</v>
      </c>
      <c r="L1324" s="24">
        <v>3.0</v>
      </c>
      <c r="M1324" s="25" t="s">
        <v>6542</v>
      </c>
      <c r="N1324" s="26" t="str">
        <f t="shared" si="2"/>
        <v>813
IRM
m</v>
      </c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</row>
    <row r="1325">
      <c r="A1325" s="10">
        <v>1324.0</v>
      </c>
      <c r="B1325" s="12" t="s">
        <v>6543</v>
      </c>
      <c r="C1325" s="12" t="s">
        <v>38</v>
      </c>
      <c r="D1325" s="23">
        <v>813.0</v>
      </c>
      <c r="E1325" s="12" t="s">
        <v>5466</v>
      </c>
      <c r="F1325" s="12" t="s">
        <v>6544</v>
      </c>
      <c r="G1325" s="12" t="s">
        <v>6545</v>
      </c>
      <c r="H1325" s="12" t="s">
        <v>6501</v>
      </c>
      <c r="I1325" s="23">
        <v>9.786028287708E12</v>
      </c>
      <c r="J1325" s="12">
        <v>2010.0</v>
      </c>
      <c r="K1325" s="23" t="s">
        <v>6526</v>
      </c>
      <c r="L1325" s="24">
        <v>2.0</v>
      </c>
      <c r="M1325" s="25" t="s">
        <v>6546</v>
      </c>
      <c r="N1325" s="26" t="str">
        <f t="shared" si="2"/>
        <v>813
NUR
k</v>
      </c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</row>
    <row r="1326">
      <c r="A1326" s="10">
        <v>1325.0</v>
      </c>
      <c r="B1326" s="12" t="s">
        <v>6547</v>
      </c>
      <c r="C1326" s="12" t="s">
        <v>38</v>
      </c>
      <c r="D1326" s="23">
        <v>813.0</v>
      </c>
      <c r="E1326" s="12" t="s">
        <v>5466</v>
      </c>
      <c r="F1326" s="12" t="s">
        <v>6548</v>
      </c>
      <c r="G1326" s="12" t="s">
        <v>518</v>
      </c>
      <c r="H1326" s="12" t="s">
        <v>2314</v>
      </c>
      <c r="I1326" s="23">
        <v>9.797444864E9</v>
      </c>
      <c r="J1326" s="12">
        <v>2016.0</v>
      </c>
      <c r="K1326" s="23" t="s">
        <v>3850</v>
      </c>
      <c r="L1326" s="24">
        <v>4.0</v>
      </c>
      <c r="M1326" s="25" t="s">
        <v>6549</v>
      </c>
      <c r="N1326" s="26" t="str">
        <f t="shared" si="2"/>
        <v>813
LES
e</v>
      </c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</row>
    <row r="1327">
      <c r="A1327" s="10">
        <v>1326.0</v>
      </c>
      <c r="B1327" s="12" t="s">
        <v>6550</v>
      </c>
      <c r="C1327" s="12" t="s">
        <v>38</v>
      </c>
      <c r="D1327" s="23">
        <v>813.0</v>
      </c>
      <c r="E1327" s="12" t="s">
        <v>64</v>
      </c>
      <c r="F1327" s="12" t="s">
        <v>6551</v>
      </c>
      <c r="G1327" s="12" t="s">
        <v>6552</v>
      </c>
      <c r="H1327" s="12" t="s">
        <v>433</v>
      </c>
      <c r="I1327" s="23">
        <v>2.22307236E8</v>
      </c>
      <c r="J1327" s="12">
        <v>2017.0</v>
      </c>
      <c r="K1327" s="23" t="s">
        <v>6553</v>
      </c>
      <c r="L1327" s="24">
        <v>1.0</v>
      </c>
      <c r="M1327" s="25" t="s">
        <v>6554</v>
      </c>
      <c r="N1327" s="26" t="str">
        <f t="shared" si="2"/>
        <v>813
SYL
g</v>
      </c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</row>
    <row r="1328">
      <c r="A1328" s="10">
        <v>1327.0</v>
      </c>
      <c r="B1328" s="12" t="s">
        <v>6555</v>
      </c>
      <c r="C1328" s="12" t="s">
        <v>38</v>
      </c>
      <c r="D1328" s="23">
        <v>813.0</v>
      </c>
      <c r="E1328" s="12" t="s">
        <v>6305</v>
      </c>
      <c r="F1328" s="12" t="s">
        <v>6556</v>
      </c>
      <c r="G1328" s="12" t="s">
        <v>6557</v>
      </c>
      <c r="H1328" s="12" t="s">
        <v>6558</v>
      </c>
      <c r="I1328" s="23">
        <v>9.789792440058E12</v>
      </c>
      <c r="J1328" s="12">
        <v>2010.0</v>
      </c>
      <c r="K1328" s="23">
        <v>76.0</v>
      </c>
      <c r="L1328" s="24">
        <v>4.0</v>
      </c>
      <c r="M1328" s="25" t="s">
        <v>6559</v>
      </c>
      <c r="N1328" s="26" t="str">
        <f t="shared" si="2"/>
        <v>813
MUH
j</v>
      </c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</row>
    <row r="1329">
      <c r="A1329" s="10">
        <v>1328.0</v>
      </c>
      <c r="B1329" s="12" t="s">
        <v>6560</v>
      </c>
      <c r="C1329" s="12" t="s">
        <v>38</v>
      </c>
      <c r="D1329" s="23" t="s">
        <v>445</v>
      </c>
      <c r="E1329" s="12" t="s">
        <v>64</v>
      </c>
      <c r="F1329" s="12" t="s">
        <v>6561</v>
      </c>
      <c r="G1329" s="12" t="s">
        <v>6562</v>
      </c>
      <c r="H1329" s="12" t="s">
        <v>6563</v>
      </c>
      <c r="I1329" s="23">
        <v>9.789792961041E12</v>
      </c>
      <c r="J1329" s="12">
        <v>2017.0</v>
      </c>
      <c r="K1329" s="23" t="s">
        <v>6564</v>
      </c>
      <c r="L1329" s="24">
        <v>1.0</v>
      </c>
      <c r="M1329" s="25" t="s">
        <v>6565</v>
      </c>
      <c r="N1329" s="26" t="str">
        <f t="shared" si="2"/>
        <v>813
AWI
m</v>
      </c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</row>
    <row r="1330">
      <c r="A1330" s="10">
        <v>1329.0</v>
      </c>
      <c r="B1330" s="12" t="s">
        <v>6566</v>
      </c>
      <c r="C1330" s="12" t="s">
        <v>38</v>
      </c>
      <c r="D1330" s="23"/>
      <c r="E1330" s="12"/>
      <c r="F1330" s="12" t="s">
        <v>6073</v>
      </c>
      <c r="G1330" s="12" t="s">
        <v>6089</v>
      </c>
      <c r="H1330" s="12" t="s">
        <v>6090</v>
      </c>
      <c r="I1330" s="23">
        <v>9.789797945282E12</v>
      </c>
      <c r="J1330" s="12">
        <v>2016.0</v>
      </c>
      <c r="K1330" s="23" t="s">
        <v>6567</v>
      </c>
      <c r="L1330" s="24">
        <v>1.0</v>
      </c>
      <c r="M1330" s="12" t="s">
        <v>340</v>
      </c>
      <c r="N1330" s="26" t="str">
        <f t="shared" si="2"/>
        <v>
BOY
s</v>
      </c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</row>
    <row r="1331">
      <c r="A1331" s="10">
        <v>1330.0</v>
      </c>
      <c r="B1331" s="12" t="s">
        <v>6568</v>
      </c>
      <c r="C1331" s="12" t="s">
        <v>38</v>
      </c>
      <c r="D1331" s="23">
        <v>813.0</v>
      </c>
      <c r="E1331" s="12" t="s">
        <v>6569</v>
      </c>
      <c r="F1331" s="12" t="s">
        <v>6570</v>
      </c>
      <c r="G1331" s="12"/>
      <c r="H1331" s="12" t="s">
        <v>5629</v>
      </c>
      <c r="I1331" s="23">
        <v>9.789795230267E12</v>
      </c>
      <c r="J1331" s="12">
        <v>2011.0</v>
      </c>
      <c r="K1331" s="23">
        <v>110.0</v>
      </c>
      <c r="L1331" s="24">
        <v>1.0</v>
      </c>
      <c r="M1331" s="12" t="s">
        <v>340</v>
      </c>
      <c r="N1331" s="26" t="str">
        <f t="shared" si="2"/>
        <v>813
S. 
a</v>
      </c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</row>
    <row r="1332">
      <c r="A1332" s="10">
        <v>1331.0</v>
      </c>
      <c r="B1332" s="12" t="s">
        <v>6571</v>
      </c>
      <c r="C1332" s="12" t="s">
        <v>38</v>
      </c>
      <c r="D1332" s="23">
        <v>811.0</v>
      </c>
      <c r="E1332" s="12" t="s">
        <v>486</v>
      </c>
      <c r="F1332" s="12" t="s">
        <v>6572</v>
      </c>
      <c r="G1332" s="12"/>
      <c r="H1332" s="12" t="s">
        <v>6573</v>
      </c>
      <c r="I1332" s="23"/>
      <c r="J1332" s="12">
        <v>2014.0</v>
      </c>
      <c r="K1332" s="23">
        <v>76.0</v>
      </c>
      <c r="L1332" s="24">
        <v>1.0</v>
      </c>
      <c r="M1332" s="25" t="s">
        <v>6574</v>
      </c>
      <c r="N1332" s="26" t="str">
        <f t="shared" si="2"/>
        <v>811
ARY
d</v>
      </c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</row>
    <row r="1333">
      <c r="A1333" s="10">
        <v>1332.0</v>
      </c>
      <c r="B1333" s="12" t="s">
        <v>6575</v>
      </c>
      <c r="C1333" s="12" t="s">
        <v>38</v>
      </c>
      <c r="D1333" s="23">
        <v>817.0</v>
      </c>
      <c r="E1333" s="12" t="s">
        <v>6576</v>
      </c>
      <c r="F1333" s="12" t="s">
        <v>6577</v>
      </c>
      <c r="G1333" s="12" t="s">
        <v>6578</v>
      </c>
      <c r="H1333" s="12" t="s">
        <v>6579</v>
      </c>
      <c r="I1333" s="23">
        <v>9.78602367493E12</v>
      </c>
      <c r="J1333" s="12">
        <v>2018.0</v>
      </c>
      <c r="K1333" s="23" t="s">
        <v>6508</v>
      </c>
      <c r="L1333" s="24">
        <v>1.0</v>
      </c>
      <c r="M1333" s="38" t="s">
        <v>6580</v>
      </c>
      <c r="N1333" s="26" t="str">
        <f t="shared" si="2"/>
        <v>817
ASS
p</v>
      </c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</row>
    <row r="1334">
      <c r="A1334" s="10">
        <v>1333.0</v>
      </c>
      <c r="B1334" s="12" t="s">
        <v>6581</v>
      </c>
      <c r="C1334" s="12" t="s">
        <v>38</v>
      </c>
      <c r="D1334" s="23">
        <v>813.0</v>
      </c>
      <c r="E1334" s="12" t="s">
        <v>64</v>
      </c>
      <c r="F1334" s="12" t="s">
        <v>5996</v>
      </c>
      <c r="G1334" s="12" t="s">
        <v>5997</v>
      </c>
      <c r="H1334" s="12" t="s">
        <v>5998</v>
      </c>
      <c r="I1334" s="23">
        <v>9.789791227452E12</v>
      </c>
      <c r="J1334" s="12">
        <v>2008.0</v>
      </c>
      <c r="K1334" s="23" t="s">
        <v>6582</v>
      </c>
      <c r="L1334" s="24">
        <v>1.0</v>
      </c>
      <c r="M1334" s="12" t="s">
        <v>340</v>
      </c>
      <c r="N1334" s="26" t="str">
        <f t="shared" si="2"/>
        <v>813
AND
m</v>
      </c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</row>
    <row r="1335">
      <c r="A1335" s="10">
        <v>1334.0</v>
      </c>
      <c r="B1335" s="12" t="s">
        <v>6583</v>
      </c>
      <c r="C1335" s="12" t="s">
        <v>38</v>
      </c>
      <c r="D1335" s="23" t="s">
        <v>445</v>
      </c>
      <c r="E1335" s="12" t="s">
        <v>64</v>
      </c>
      <c r="F1335" s="12" t="s">
        <v>205</v>
      </c>
      <c r="G1335" s="12" t="s">
        <v>6584</v>
      </c>
      <c r="H1335" s="12" t="s">
        <v>6585</v>
      </c>
      <c r="I1335" s="23">
        <v>9.786020293639E12</v>
      </c>
      <c r="J1335" s="12">
        <v>2016.0</v>
      </c>
      <c r="K1335" s="23">
        <v>289.0</v>
      </c>
      <c r="L1335" s="24">
        <v>1.0</v>
      </c>
      <c r="M1335" s="38" t="s">
        <v>6586</v>
      </c>
      <c r="N1335" s="26" t="str">
        <f t="shared" si="2"/>
        <v>813
NUR
p</v>
      </c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</row>
    <row r="1336">
      <c r="A1336" s="10">
        <v>1335.0</v>
      </c>
      <c r="B1336" s="12" t="s">
        <v>6587</v>
      </c>
      <c r="C1336" s="12" t="s">
        <v>38</v>
      </c>
      <c r="D1336" s="23">
        <v>811.0</v>
      </c>
      <c r="E1336" s="12" t="s">
        <v>486</v>
      </c>
      <c r="F1336" s="12" t="s">
        <v>6588</v>
      </c>
      <c r="G1336" s="12" t="s">
        <v>2285</v>
      </c>
      <c r="H1336" s="12" t="s">
        <v>6589</v>
      </c>
      <c r="I1336" s="23">
        <v>9.786025434136E12</v>
      </c>
      <c r="J1336" s="12">
        <v>2018.0</v>
      </c>
      <c r="K1336" s="23">
        <v>58.0</v>
      </c>
      <c r="L1336" s="24">
        <v>2.0</v>
      </c>
      <c r="M1336" s="25" t="s">
        <v>6590</v>
      </c>
      <c r="N1336" s="26" t="str">
        <f t="shared" si="2"/>
        <v>811
ANA
u</v>
      </c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</row>
    <row r="1337">
      <c r="A1337" s="10">
        <v>1336.0</v>
      </c>
      <c r="B1337" s="12" t="s">
        <v>6591</v>
      </c>
      <c r="C1337" s="12" t="s">
        <v>38</v>
      </c>
      <c r="D1337" s="23">
        <v>811.0</v>
      </c>
      <c r="E1337" s="12" t="s">
        <v>486</v>
      </c>
      <c r="F1337" s="12" t="s">
        <v>6592</v>
      </c>
      <c r="G1337" s="12" t="s">
        <v>2285</v>
      </c>
      <c r="H1337" s="12" t="s">
        <v>6589</v>
      </c>
      <c r="I1337" s="23">
        <v>9.786026196019E12</v>
      </c>
      <c r="J1337" s="12">
        <v>2017.0</v>
      </c>
      <c r="K1337" s="23">
        <v>113.0</v>
      </c>
      <c r="L1337" s="24">
        <v>1.0</v>
      </c>
      <c r="M1337" s="25" t="s">
        <v>6593</v>
      </c>
      <c r="N1337" s="26" t="str">
        <f t="shared" si="2"/>
        <v>811
LIL
d</v>
      </c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</row>
    <row r="1338">
      <c r="A1338" s="10">
        <v>1337.0</v>
      </c>
      <c r="B1338" s="12" t="s">
        <v>6594</v>
      </c>
      <c r="C1338" s="12" t="s">
        <v>38</v>
      </c>
      <c r="D1338" s="23">
        <v>819.0</v>
      </c>
      <c r="E1338" s="12" t="s">
        <v>5332</v>
      </c>
      <c r="F1338" s="12" t="s">
        <v>5553</v>
      </c>
      <c r="G1338" s="12"/>
      <c r="H1338" s="12" t="s">
        <v>6595</v>
      </c>
      <c r="I1338" s="23"/>
      <c r="J1338" s="12">
        <v>2016.0</v>
      </c>
      <c r="K1338" s="23">
        <v>81.0</v>
      </c>
      <c r="L1338" s="24">
        <v>1.0</v>
      </c>
      <c r="M1338" s="38" t="s">
        <v>6596</v>
      </c>
      <c r="N1338" s="26" t="str">
        <f t="shared" si="2"/>
        <v>819
AAM
d</v>
      </c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</row>
    <row r="1339">
      <c r="A1339" s="10">
        <v>1338.0</v>
      </c>
      <c r="B1339" s="12" t="s">
        <v>6597</v>
      </c>
      <c r="C1339" s="12" t="s">
        <v>38</v>
      </c>
      <c r="D1339" s="23" t="s">
        <v>445</v>
      </c>
      <c r="E1339" s="12" t="s">
        <v>64</v>
      </c>
      <c r="F1339" s="12" t="s">
        <v>6598</v>
      </c>
      <c r="G1339" s="12" t="s">
        <v>2632</v>
      </c>
      <c r="H1339" s="12" t="s">
        <v>2633</v>
      </c>
      <c r="I1339" s="23">
        <v>9.799799825208E12</v>
      </c>
      <c r="J1339" s="12">
        <v>2005.0</v>
      </c>
      <c r="K1339" s="23" t="s">
        <v>6599</v>
      </c>
      <c r="L1339" s="24">
        <v>1.0</v>
      </c>
      <c r="M1339" s="38" t="s">
        <v>6600</v>
      </c>
      <c r="N1339" s="26" t="str">
        <f t="shared" si="2"/>
        <v>813
MUH
s</v>
      </c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</row>
    <row r="1340">
      <c r="A1340" s="10">
        <v>1339.0</v>
      </c>
      <c r="B1340" s="12" t="s">
        <v>6601</v>
      </c>
      <c r="C1340" s="12" t="s">
        <v>38</v>
      </c>
      <c r="D1340" s="23"/>
      <c r="E1340" s="12"/>
      <c r="F1340" s="12" t="s">
        <v>6602</v>
      </c>
      <c r="G1340" s="12" t="s">
        <v>6603</v>
      </c>
      <c r="H1340" s="12" t="s">
        <v>6589</v>
      </c>
      <c r="I1340" s="23">
        <v>9.78602500449E12</v>
      </c>
      <c r="J1340" s="12">
        <v>2017.0</v>
      </c>
      <c r="K1340" s="23">
        <v>102.0</v>
      </c>
      <c r="L1340" s="24">
        <v>1.0</v>
      </c>
      <c r="M1340" s="12" t="s">
        <v>340</v>
      </c>
      <c r="N1340" s="26" t="str">
        <f t="shared" si="2"/>
        <v>
KHO
m</v>
      </c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</row>
    <row r="1341">
      <c r="A1341" s="10">
        <v>1340.0</v>
      </c>
      <c r="B1341" s="12" t="s">
        <v>6604</v>
      </c>
      <c r="C1341" s="12" t="s">
        <v>38</v>
      </c>
      <c r="D1341" s="23"/>
      <c r="E1341" s="12"/>
      <c r="F1341" s="12" t="s">
        <v>6605</v>
      </c>
      <c r="G1341" s="12"/>
      <c r="H1341" s="12" t="s">
        <v>4200</v>
      </c>
      <c r="I1341" s="23">
        <v>9.789792233926E12</v>
      </c>
      <c r="J1341" s="12">
        <v>2007.0</v>
      </c>
      <c r="K1341" s="23" t="s">
        <v>6606</v>
      </c>
      <c r="L1341" s="24">
        <v>1.0</v>
      </c>
      <c r="M1341" s="12" t="s">
        <v>340</v>
      </c>
      <c r="N1341" s="26" t="str">
        <f t="shared" si="2"/>
        <v>
PRI
q</v>
      </c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</row>
    <row r="1342">
      <c r="A1342" s="10">
        <v>1341.0</v>
      </c>
      <c r="B1342" s="12" t="s">
        <v>6607</v>
      </c>
      <c r="C1342" s="12" t="s">
        <v>38</v>
      </c>
      <c r="D1342" s="23" t="s">
        <v>445</v>
      </c>
      <c r="E1342" s="12" t="s">
        <v>64</v>
      </c>
      <c r="F1342" s="12" t="s">
        <v>6608</v>
      </c>
      <c r="G1342" s="12"/>
      <c r="H1342" s="12" t="s">
        <v>6585</v>
      </c>
      <c r="I1342" s="23">
        <v>9.789792784862E12</v>
      </c>
      <c r="J1342" s="12">
        <v>2010.0</v>
      </c>
      <c r="K1342" s="23">
        <v>104.0</v>
      </c>
      <c r="L1342" s="24">
        <v>1.0</v>
      </c>
      <c r="M1342" s="38" t="s">
        <v>6609</v>
      </c>
      <c r="N1342" s="26" t="str">
        <f t="shared" si="2"/>
        <v>813
PET
h</v>
      </c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</row>
    <row r="1343">
      <c r="A1343" s="10">
        <v>1342.0</v>
      </c>
      <c r="B1343" s="12" t="s">
        <v>6610</v>
      </c>
      <c r="C1343" s="12" t="s">
        <v>225</v>
      </c>
      <c r="D1343" s="23" t="s">
        <v>803</v>
      </c>
      <c r="E1343" s="22" t="s">
        <v>804</v>
      </c>
      <c r="F1343" s="12" t="s">
        <v>6611</v>
      </c>
      <c r="G1343" s="12" t="s">
        <v>6612</v>
      </c>
      <c r="H1343" s="12" t="s">
        <v>6613</v>
      </c>
      <c r="I1343" s="23">
        <v>9.789791275453E12</v>
      </c>
      <c r="J1343" s="12">
        <v>2008.0</v>
      </c>
      <c r="K1343" s="23">
        <v>319.0</v>
      </c>
      <c r="L1343" s="24">
        <v>1.0</v>
      </c>
      <c r="M1343" s="38" t="s">
        <v>6614</v>
      </c>
      <c r="N1343" s="26" t="str">
        <f t="shared" si="2"/>
        <v>173
IRI
w</v>
      </c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</row>
    <row r="1344">
      <c r="A1344" s="10">
        <v>1343.0</v>
      </c>
      <c r="B1344" s="12" t="s">
        <v>6615</v>
      </c>
      <c r="C1344" s="12" t="s">
        <v>38</v>
      </c>
      <c r="D1344" s="23" t="s">
        <v>445</v>
      </c>
      <c r="E1344" s="12" t="s">
        <v>64</v>
      </c>
      <c r="F1344" s="12" t="s">
        <v>6616</v>
      </c>
      <c r="G1344" s="12" t="s">
        <v>6617</v>
      </c>
      <c r="H1344" s="12" t="s">
        <v>5854</v>
      </c>
      <c r="I1344" s="23">
        <v>9.786020502434E12</v>
      </c>
      <c r="J1344" s="12">
        <v>2018.0</v>
      </c>
      <c r="K1344" s="23">
        <v>197.0</v>
      </c>
      <c r="L1344" s="24">
        <v>1.0</v>
      </c>
      <c r="M1344" s="12" t="s">
        <v>340</v>
      </c>
      <c r="N1344" s="26" t="str">
        <f t="shared" si="2"/>
        <v>813
ORI
b</v>
      </c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</row>
    <row r="1345">
      <c r="A1345" s="10">
        <v>1344.0</v>
      </c>
      <c r="B1345" s="12" t="s">
        <v>6618</v>
      </c>
      <c r="C1345" s="12" t="s">
        <v>38</v>
      </c>
      <c r="D1345" s="23">
        <v>813.0</v>
      </c>
      <c r="E1345" s="12" t="s">
        <v>1089</v>
      </c>
      <c r="F1345" s="12" t="s">
        <v>5127</v>
      </c>
      <c r="G1345" s="12" t="s">
        <v>1759</v>
      </c>
      <c r="H1345" s="12" t="s">
        <v>2218</v>
      </c>
      <c r="I1345" s="23">
        <v>9.789791473088E12</v>
      </c>
      <c r="J1345" s="12">
        <v>2015.0</v>
      </c>
      <c r="K1345" s="23" t="s">
        <v>2219</v>
      </c>
      <c r="L1345" s="24">
        <v>1.0</v>
      </c>
      <c r="M1345" s="25" t="s">
        <v>6619</v>
      </c>
      <c r="N1345" s="26" t="str">
        <f t="shared" si="2"/>
        <v>813
AST
s</v>
      </c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</row>
    <row r="1346">
      <c r="A1346" s="10">
        <v>1345.0</v>
      </c>
      <c r="B1346" s="12" t="s">
        <v>6620</v>
      </c>
      <c r="C1346" s="12" t="s">
        <v>38</v>
      </c>
      <c r="D1346" s="23">
        <v>813.0</v>
      </c>
      <c r="E1346" s="12" t="s">
        <v>64</v>
      </c>
      <c r="F1346" s="12" t="s">
        <v>6621</v>
      </c>
      <c r="G1346" s="12" t="s">
        <v>6622</v>
      </c>
      <c r="H1346" s="12" t="s">
        <v>2314</v>
      </c>
      <c r="I1346" s="23">
        <v>9.789795714125E12</v>
      </c>
      <c r="J1346" s="12">
        <v>2007.0</v>
      </c>
      <c r="K1346" s="23">
        <v>75.0</v>
      </c>
      <c r="L1346" s="24">
        <v>1.0</v>
      </c>
      <c r="M1346" s="101" t="s">
        <v>6623</v>
      </c>
      <c r="N1346" s="26" t="str">
        <f t="shared" si="2"/>
        <v>813
ASE
d</v>
      </c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</row>
    <row r="1347">
      <c r="A1347" s="10">
        <v>1346.0</v>
      </c>
      <c r="B1347" s="12" t="s">
        <v>6624</v>
      </c>
      <c r="C1347" s="12" t="s">
        <v>38</v>
      </c>
      <c r="D1347" s="23"/>
      <c r="E1347" s="12"/>
      <c r="F1347" s="12" t="s">
        <v>6625</v>
      </c>
      <c r="G1347" s="12"/>
      <c r="H1347" s="12" t="s">
        <v>4105</v>
      </c>
      <c r="I1347" s="23" t="s">
        <v>6626</v>
      </c>
      <c r="J1347" s="12"/>
      <c r="K1347" s="23"/>
      <c r="L1347" s="24">
        <v>1.0</v>
      </c>
      <c r="M1347" s="12" t="s">
        <v>340</v>
      </c>
      <c r="N1347" s="26" t="str">
        <f t="shared" si="2"/>
        <v>
HAR
t</v>
      </c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</row>
    <row r="1348">
      <c r="A1348" s="10">
        <v>1347.0</v>
      </c>
      <c r="B1348" s="12" t="s">
        <v>6627</v>
      </c>
      <c r="C1348" s="12" t="s">
        <v>38</v>
      </c>
      <c r="D1348" s="23" t="s">
        <v>445</v>
      </c>
      <c r="E1348" s="12" t="s">
        <v>64</v>
      </c>
      <c r="F1348" s="12" t="s">
        <v>6628</v>
      </c>
      <c r="G1348" s="12" t="s">
        <v>6629</v>
      </c>
      <c r="H1348" s="12" t="s">
        <v>6471</v>
      </c>
      <c r="I1348" s="23">
        <v>9.789797804657E12</v>
      </c>
      <c r="J1348" s="12">
        <v>2011.0</v>
      </c>
      <c r="K1348" s="23" t="s">
        <v>6630</v>
      </c>
      <c r="L1348" s="24">
        <v>1.0</v>
      </c>
      <c r="M1348" s="38" t="s">
        <v>6631</v>
      </c>
      <c r="N1348" s="26" t="str">
        <f t="shared" si="2"/>
        <v>813
KAK
h</v>
      </c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</row>
    <row r="1349">
      <c r="A1349" s="10">
        <v>1348.0</v>
      </c>
      <c r="B1349" s="12" t="s">
        <v>6632</v>
      </c>
      <c r="C1349" s="12" t="s">
        <v>38</v>
      </c>
      <c r="D1349" s="23" t="s">
        <v>445</v>
      </c>
      <c r="E1349" s="22" t="s">
        <v>5296</v>
      </c>
      <c r="F1349" s="12" t="s">
        <v>6633</v>
      </c>
      <c r="G1349" s="12" t="s">
        <v>6634</v>
      </c>
      <c r="H1349" s="12" t="s">
        <v>2314</v>
      </c>
      <c r="I1349" s="23">
        <v>9.789795718284E12</v>
      </c>
      <c r="J1349" s="12">
        <v>2016.0</v>
      </c>
      <c r="K1349" s="23">
        <v>95.0</v>
      </c>
      <c r="L1349" s="24">
        <v>1.0</v>
      </c>
      <c r="M1349" s="38" t="s">
        <v>6635</v>
      </c>
      <c r="N1349" s="26" t="str">
        <f t="shared" si="2"/>
        <v>813
MIN
m</v>
      </c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</row>
    <row r="1350">
      <c r="A1350" s="10">
        <v>1349.0</v>
      </c>
      <c r="B1350" s="12" t="s">
        <v>6636</v>
      </c>
      <c r="C1350" s="12" t="s">
        <v>38</v>
      </c>
      <c r="D1350" s="23" t="s">
        <v>445</v>
      </c>
      <c r="E1350" s="12" t="s">
        <v>64</v>
      </c>
      <c r="F1350" s="12" t="s">
        <v>6637</v>
      </c>
      <c r="G1350" s="12" t="s">
        <v>6638</v>
      </c>
      <c r="H1350" s="12" t="s">
        <v>2331</v>
      </c>
      <c r="I1350" s="23">
        <v>9.789796957668E12</v>
      </c>
      <c r="J1350" s="12">
        <v>2002.0</v>
      </c>
      <c r="K1350" s="23">
        <v>280.0</v>
      </c>
      <c r="L1350" s="24">
        <v>1.0</v>
      </c>
      <c r="M1350" s="38" t="s">
        <v>6639</v>
      </c>
      <c r="N1350" s="26" t="str">
        <f t="shared" si="2"/>
        <v>813
FIR
a</v>
      </c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</row>
    <row r="1351">
      <c r="A1351" s="10">
        <v>1350.0</v>
      </c>
      <c r="B1351" s="12" t="s">
        <v>6640</v>
      </c>
      <c r="C1351" s="12" t="s">
        <v>84</v>
      </c>
      <c r="D1351" s="23" t="s">
        <v>5211</v>
      </c>
      <c r="E1351" s="12" t="s">
        <v>5212</v>
      </c>
      <c r="F1351" s="12" t="s">
        <v>6641</v>
      </c>
      <c r="G1351" s="12" t="s">
        <v>6642</v>
      </c>
      <c r="H1351" s="12" t="s">
        <v>6643</v>
      </c>
      <c r="I1351" s="23">
        <v>9.786023673346E12</v>
      </c>
      <c r="J1351" s="12">
        <v>2018.0</v>
      </c>
      <c r="K1351" s="23" t="s">
        <v>5216</v>
      </c>
      <c r="L1351" s="24">
        <v>1.0</v>
      </c>
      <c r="M1351" s="25" t="s">
        <v>6644</v>
      </c>
      <c r="N1351" s="26" t="str">
        <f t="shared" si="2"/>
        <v>741.5
ALI
k</v>
      </c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</row>
    <row r="1352">
      <c r="A1352" s="10">
        <v>1351.0</v>
      </c>
      <c r="B1352" s="12" t="s">
        <v>6645</v>
      </c>
      <c r="C1352" s="12" t="s">
        <v>38</v>
      </c>
      <c r="D1352" s="23">
        <v>813.0</v>
      </c>
      <c r="E1352" s="12" t="s">
        <v>6103</v>
      </c>
      <c r="F1352" s="12" t="s">
        <v>6646</v>
      </c>
      <c r="G1352" s="12" t="s">
        <v>6647</v>
      </c>
      <c r="H1352" s="12" t="s">
        <v>6648</v>
      </c>
      <c r="I1352" s="23">
        <v>9.786022080411E12</v>
      </c>
      <c r="J1352" s="12">
        <v>2012.0</v>
      </c>
      <c r="K1352" s="23" t="s">
        <v>6649</v>
      </c>
      <c r="L1352" s="24">
        <v>1.0</v>
      </c>
      <c r="M1352" s="25" t="s">
        <v>6650</v>
      </c>
      <c r="N1352" s="26" t="str">
        <f t="shared" si="2"/>
        <v>813
FRA
m</v>
      </c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</row>
    <row r="1353">
      <c r="A1353" s="10">
        <v>1352.0</v>
      </c>
      <c r="B1353" s="12" t="s">
        <v>6651</v>
      </c>
      <c r="C1353" s="12" t="s">
        <v>38</v>
      </c>
      <c r="D1353" s="23">
        <v>813.0</v>
      </c>
      <c r="E1353" s="12" t="s">
        <v>5107</v>
      </c>
      <c r="F1353" s="12" t="s">
        <v>6652</v>
      </c>
      <c r="G1353" s="12"/>
      <c r="H1353" s="12" t="s">
        <v>2286</v>
      </c>
      <c r="I1353" s="23">
        <v>9.786025434037E12</v>
      </c>
      <c r="J1353" s="12">
        <v>2017.0</v>
      </c>
      <c r="K1353" s="23">
        <v>106.0</v>
      </c>
      <c r="L1353" s="24">
        <v>1.0</v>
      </c>
      <c r="M1353" s="38" t="s">
        <v>6653</v>
      </c>
      <c r="N1353" s="26" t="str">
        <f t="shared" si="2"/>
        <v>813
ERN
b</v>
      </c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</row>
    <row r="1354">
      <c r="A1354" s="10">
        <v>1353.0</v>
      </c>
      <c r="B1354" s="12" t="s">
        <v>6654</v>
      </c>
      <c r="C1354" s="12" t="s">
        <v>38</v>
      </c>
      <c r="D1354" s="23" t="s">
        <v>445</v>
      </c>
      <c r="E1354" s="22" t="s">
        <v>5296</v>
      </c>
      <c r="F1354" s="12" t="s">
        <v>6655</v>
      </c>
      <c r="G1354" s="12" t="s">
        <v>2867</v>
      </c>
      <c r="H1354" s="12" t="s">
        <v>2255</v>
      </c>
      <c r="I1354" s="23">
        <v>9.786028582827E12</v>
      </c>
      <c r="J1354" s="12">
        <v>2016.0</v>
      </c>
      <c r="K1354" s="23" t="s">
        <v>6656</v>
      </c>
      <c r="L1354" s="24">
        <v>1.0</v>
      </c>
      <c r="M1354" s="25" t="s">
        <v>6657</v>
      </c>
      <c r="N1354" s="26" t="str">
        <f t="shared" si="2"/>
        <v>813
FAR
a</v>
      </c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</row>
    <row r="1355">
      <c r="A1355" s="10">
        <v>1354.0</v>
      </c>
      <c r="B1355" s="12" t="s">
        <v>6658</v>
      </c>
      <c r="C1355" s="12" t="s">
        <v>38</v>
      </c>
      <c r="D1355" s="23">
        <v>813.0</v>
      </c>
      <c r="E1355" s="12" t="s">
        <v>5466</v>
      </c>
      <c r="F1355" s="12" t="s">
        <v>6659</v>
      </c>
      <c r="G1355" s="12" t="s">
        <v>1759</v>
      </c>
      <c r="H1355" s="12" t="s">
        <v>6660</v>
      </c>
      <c r="I1355" s="23">
        <v>9.786028287661E12</v>
      </c>
      <c r="J1355" s="12">
        <v>2015.0</v>
      </c>
      <c r="K1355" s="23">
        <v>54.0</v>
      </c>
      <c r="L1355" s="24">
        <v>2.0</v>
      </c>
      <c r="M1355" s="25" t="s">
        <v>6661</v>
      </c>
      <c r="N1355" s="26" t="str">
        <f t="shared" si="2"/>
        <v>813
YEN
a</v>
      </c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</row>
    <row r="1356">
      <c r="A1356" s="10">
        <v>1355.0</v>
      </c>
      <c r="B1356" s="12" t="s">
        <v>6662</v>
      </c>
      <c r="C1356" s="12" t="s">
        <v>38</v>
      </c>
      <c r="D1356" s="23">
        <v>813.0</v>
      </c>
      <c r="E1356" s="12" t="s">
        <v>6663</v>
      </c>
      <c r="F1356" s="12" t="s">
        <v>6664</v>
      </c>
      <c r="G1356" s="12" t="s">
        <v>6665</v>
      </c>
      <c r="H1356" s="12" t="s">
        <v>2286</v>
      </c>
      <c r="I1356" s="23" t="s">
        <v>6666</v>
      </c>
      <c r="J1356" s="12">
        <v>2018.0</v>
      </c>
      <c r="K1356" s="23">
        <v>113.0</v>
      </c>
      <c r="L1356" s="24">
        <v>1.0</v>
      </c>
      <c r="M1356" s="25" t="s">
        <v>6667</v>
      </c>
      <c r="N1356" s="26" t="str">
        <f t="shared" si="2"/>
        <v>813
LRC
a</v>
      </c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</row>
    <row r="1357">
      <c r="A1357" s="10">
        <v>1356.0</v>
      </c>
      <c r="B1357" s="12" t="s">
        <v>6668</v>
      </c>
      <c r="C1357" s="12" t="s">
        <v>38</v>
      </c>
      <c r="D1357" s="23">
        <v>811.0</v>
      </c>
      <c r="E1357" s="12" t="s">
        <v>5318</v>
      </c>
      <c r="F1357" s="12" t="s">
        <v>6669</v>
      </c>
      <c r="G1357" s="12" t="s">
        <v>6669</v>
      </c>
      <c r="H1357" s="12" t="s">
        <v>2286</v>
      </c>
      <c r="I1357" s="23" t="s">
        <v>6670</v>
      </c>
      <c r="J1357" s="12">
        <v>2018.0</v>
      </c>
      <c r="K1357" s="23">
        <v>84.0</v>
      </c>
      <c r="L1357" s="24">
        <v>1.0</v>
      </c>
      <c r="M1357" s="25" t="s">
        <v>6671</v>
      </c>
      <c r="N1357" s="26" t="str">
        <f t="shared" si="2"/>
        <v>811
NEN
s</v>
      </c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</row>
    <row r="1358">
      <c r="A1358" s="10">
        <v>1357.0</v>
      </c>
      <c r="B1358" s="12" t="s">
        <v>6672</v>
      </c>
      <c r="C1358" s="12" t="s">
        <v>38</v>
      </c>
      <c r="D1358" s="23">
        <v>813.0</v>
      </c>
      <c r="E1358" s="12" t="s">
        <v>1089</v>
      </c>
      <c r="F1358" s="12" t="s">
        <v>6673</v>
      </c>
      <c r="G1358" s="12"/>
      <c r="H1358" s="12" t="s">
        <v>2286</v>
      </c>
      <c r="I1358" s="23" t="s">
        <v>6674</v>
      </c>
      <c r="J1358" s="12">
        <v>2018.0</v>
      </c>
      <c r="K1358" s="23">
        <v>90.0</v>
      </c>
      <c r="L1358" s="24">
        <v>1.0</v>
      </c>
      <c r="M1358" s="25" t="s">
        <v>6675</v>
      </c>
      <c r="N1358" s="26" t="str">
        <f t="shared" si="2"/>
        <v>813
ERZ
s</v>
      </c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</row>
    <row r="1359">
      <c r="A1359" s="10">
        <v>1358.0</v>
      </c>
      <c r="B1359" s="12" t="s">
        <v>6676</v>
      </c>
      <c r="C1359" s="12" t="s">
        <v>38</v>
      </c>
      <c r="D1359" s="23">
        <v>811.0</v>
      </c>
      <c r="E1359" s="12" t="s">
        <v>486</v>
      </c>
      <c r="F1359" s="12" t="s">
        <v>6673</v>
      </c>
      <c r="G1359" s="12"/>
      <c r="H1359" s="12" t="s">
        <v>2286</v>
      </c>
      <c r="I1359" s="23">
        <v>9.786026196064E12</v>
      </c>
      <c r="J1359" s="12">
        <v>2017.0</v>
      </c>
      <c r="K1359" s="23">
        <v>63.0</v>
      </c>
      <c r="L1359" s="24">
        <v>1.0</v>
      </c>
      <c r="M1359" s="25" t="s">
        <v>6677</v>
      </c>
      <c r="N1359" s="26" t="str">
        <f t="shared" si="2"/>
        <v>811
ERZ
j</v>
      </c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</row>
    <row r="1360">
      <c r="A1360" s="10">
        <v>1359.0</v>
      </c>
      <c r="B1360" s="12" t="s">
        <v>6678</v>
      </c>
      <c r="C1360" s="12" t="s">
        <v>38</v>
      </c>
      <c r="D1360" s="23">
        <v>813.0</v>
      </c>
      <c r="E1360" s="12" t="s">
        <v>6679</v>
      </c>
      <c r="F1360" s="12" t="s">
        <v>6680</v>
      </c>
      <c r="G1360" s="12"/>
      <c r="H1360" s="12" t="s">
        <v>4487</v>
      </c>
      <c r="I1360" s="23">
        <v>9.789794070642E12</v>
      </c>
      <c r="J1360" s="12">
        <v>2009.0</v>
      </c>
      <c r="K1360" s="23">
        <v>273.0</v>
      </c>
      <c r="L1360" s="24">
        <v>1.0</v>
      </c>
      <c r="M1360" s="25" t="s">
        <v>6681</v>
      </c>
      <c r="N1360" s="26" t="str">
        <f t="shared" si="2"/>
        <v>813
ABD
s</v>
      </c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</row>
    <row r="1361">
      <c r="A1361" s="10">
        <v>1360.0</v>
      </c>
      <c r="B1361" s="12" t="s">
        <v>6682</v>
      </c>
      <c r="C1361" s="12" t="s">
        <v>38</v>
      </c>
      <c r="D1361" s="23"/>
      <c r="E1361" s="12"/>
      <c r="F1361" s="12" t="s">
        <v>6683</v>
      </c>
      <c r="G1361" s="12"/>
      <c r="H1361" s="12" t="s">
        <v>3896</v>
      </c>
      <c r="I1361" s="23">
        <v>9.786020885483E12</v>
      </c>
      <c r="J1361" s="12">
        <v>2007.0</v>
      </c>
      <c r="K1361" s="23">
        <v>265.0</v>
      </c>
      <c r="L1361" s="24">
        <v>1.0</v>
      </c>
      <c r="M1361" s="12" t="s">
        <v>340</v>
      </c>
      <c r="N1361" s="26" t="str">
        <f t="shared" si="2"/>
        <v>
HON
o</v>
      </c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</row>
    <row r="1362">
      <c r="A1362" s="10">
        <v>1361.0</v>
      </c>
      <c r="B1362" s="12" t="s">
        <v>6684</v>
      </c>
      <c r="C1362" s="12" t="s">
        <v>38</v>
      </c>
      <c r="D1362" s="23"/>
      <c r="E1362" s="12"/>
      <c r="F1362" s="12" t="s">
        <v>6685</v>
      </c>
      <c r="G1362" s="12"/>
      <c r="H1362" s="12" t="s">
        <v>6686</v>
      </c>
      <c r="I1362" s="23" t="s">
        <v>6687</v>
      </c>
      <c r="J1362" s="12">
        <v>2018.0</v>
      </c>
      <c r="K1362" s="23">
        <v>130.0</v>
      </c>
      <c r="L1362" s="24">
        <v>1.0</v>
      </c>
      <c r="M1362" s="12" t="s">
        <v>340</v>
      </c>
      <c r="N1362" s="26" t="str">
        <f t="shared" si="2"/>
        <v>
HAD
j</v>
      </c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</row>
    <row r="1363">
      <c r="A1363" s="10">
        <v>1362.0</v>
      </c>
      <c r="B1363" s="12" t="s">
        <v>6688</v>
      </c>
      <c r="C1363" s="12" t="s">
        <v>38</v>
      </c>
      <c r="D1363" s="23">
        <v>813.0</v>
      </c>
      <c r="E1363" s="12" t="s">
        <v>64</v>
      </c>
      <c r="F1363" s="12" t="s">
        <v>5838</v>
      </c>
      <c r="G1363" s="12" t="s">
        <v>2632</v>
      </c>
      <c r="H1363" s="12" t="s">
        <v>2633</v>
      </c>
      <c r="I1363" s="23">
        <v>9.79979982597E12</v>
      </c>
      <c r="J1363" s="12">
        <v>2004.0</v>
      </c>
      <c r="K1363" s="23">
        <v>188.0</v>
      </c>
      <c r="L1363" s="24">
        <v>3.0</v>
      </c>
      <c r="M1363" s="38" t="s">
        <v>6689</v>
      </c>
      <c r="N1363" s="26" t="str">
        <f t="shared" si="2"/>
        <v>813
SON
d</v>
      </c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</row>
    <row r="1364">
      <c r="A1364" s="10">
        <v>1363.0</v>
      </c>
      <c r="B1364" s="89" t="s">
        <v>6690</v>
      </c>
      <c r="C1364" s="102" t="s">
        <v>226</v>
      </c>
      <c r="D1364" s="89" t="s">
        <v>6691</v>
      </c>
      <c r="E1364" s="89" t="s">
        <v>1436</v>
      </c>
      <c r="F1364" s="103" t="s">
        <v>6692</v>
      </c>
      <c r="G1364" s="89" t="s">
        <v>6693</v>
      </c>
      <c r="H1364" s="89" t="s">
        <v>6694</v>
      </c>
      <c r="I1364" s="104"/>
      <c r="J1364" s="91">
        <v>2012.0</v>
      </c>
      <c r="K1364" s="89" t="s">
        <v>6695</v>
      </c>
      <c r="L1364" s="92">
        <v>1.0</v>
      </c>
      <c r="M1364" s="100" t="s">
        <v>6696</v>
      </c>
      <c r="N1364" s="26" t="str">
        <f t="shared" si="2"/>
        <v>279.2
HEN
t</v>
      </c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</row>
    <row r="1365">
      <c r="A1365" s="10">
        <v>1364.0</v>
      </c>
      <c r="B1365" s="12" t="s">
        <v>6697</v>
      </c>
      <c r="C1365" s="12" t="s">
        <v>38</v>
      </c>
      <c r="D1365" s="23">
        <v>811.0</v>
      </c>
      <c r="E1365" s="12" t="s">
        <v>486</v>
      </c>
      <c r="F1365" s="12" t="s">
        <v>6698</v>
      </c>
      <c r="G1365" s="12" t="s">
        <v>6699</v>
      </c>
      <c r="H1365" s="12" t="s">
        <v>6700</v>
      </c>
      <c r="I1365" s="23">
        <v>9.786026776495E12</v>
      </c>
      <c r="J1365" s="12">
        <v>2017.0</v>
      </c>
      <c r="K1365" s="23" t="s">
        <v>6701</v>
      </c>
      <c r="L1365" s="24">
        <v>1.0</v>
      </c>
      <c r="M1365" s="25" t="s">
        <v>6702</v>
      </c>
      <c r="N1365" s="26" t="str">
        <f t="shared" si="2"/>
        <v>811
MOH
m</v>
      </c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</row>
    <row r="1366">
      <c r="A1366" s="10">
        <v>1365.0</v>
      </c>
      <c r="B1366" s="12" t="s">
        <v>6703</v>
      </c>
      <c r="C1366" s="12" t="s">
        <v>38</v>
      </c>
      <c r="D1366" s="23">
        <v>813.0</v>
      </c>
      <c r="E1366" s="12" t="s">
        <v>6447</v>
      </c>
      <c r="F1366" s="12" t="s">
        <v>6669</v>
      </c>
      <c r="G1366" s="12" t="s">
        <v>6704</v>
      </c>
      <c r="H1366" s="12" t="s">
        <v>6589</v>
      </c>
      <c r="I1366" s="23"/>
      <c r="J1366" s="12">
        <v>2017.0</v>
      </c>
      <c r="K1366" s="23" t="s">
        <v>6705</v>
      </c>
      <c r="L1366" s="24">
        <v>1.0</v>
      </c>
      <c r="M1366" s="25" t="s">
        <v>6706</v>
      </c>
      <c r="N1366" s="26" t="str">
        <f t="shared" si="2"/>
        <v>813
NEN
j</v>
      </c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</row>
    <row r="1367">
      <c r="A1367" s="10">
        <v>1366.0</v>
      </c>
      <c r="B1367" s="12" t="s">
        <v>6707</v>
      </c>
      <c r="C1367" s="12" t="s">
        <v>38</v>
      </c>
      <c r="D1367" s="23"/>
      <c r="E1367" s="12"/>
      <c r="F1367" s="12" t="s">
        <v>6708</v>
      </c>
      <c r="G1367" s="12" t="s">
        <v>6709</v>
      </c>
      <c r="H1367" s="12" t="s">
        <v>6710</v>
      </c>
      <c r="I1367" s="23">
        <v>9.786025429224E12</v>
      </c>
      <c r="J1367" s="12">
        <v>2017.0</v>
      </c>
      <c r="K1367" s="23" t="s">
        <v>6711</v>
      </c>
      <c r="L1367" s="24">
        <v>1.0</v>
      </c>
      <c r="M1367" s="12" t="s">
        <v>340</v>
      </c>
      <c r="N1367" s="26" t="str">
        <f t="shared" si="2"/>
        <v>
NAN
s</v>
      </c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</row>
    <row r="1368">
      <c r="A1368" s="10">
        <v>1367.0</v>
      </c>
      <c r="B1368" s="12" t="s">
        <v>6712</v>
      </c>
      <c r="C1368" s="12" t="s">
        <v>38</v>
      </c>
      <c r="D1368" s="23">
        <v>811.0</v>
      </c>
      <c r="E1368" s="12" t="s">
        <v>5563</v>
      </c>
      <c r="F1368" s="12" t="s">
        <v>6713</v>
      </c>
      <c r="G1368" s="12"/>
      <c r="H1368" s="12" t="s">
        <v>6589</v>
      </c>
      <c r="I1368" s="23">
        <v>9.786026001511E12</v>
      </c>
      <c r="J1368" s="12">
        <v>2016.0</v>
      </c>
      <c r="K1368" s="23" t="s">
        <v>2953</v>
      </c>
      <c r="L1368" s="24">
        <v>1.0</v>
      </c>
      <c r="M1368" s="25" t="s">
        <v>6714</v>
      </c>
      <c r="N1368" s="26" t="str">
        <f t="shared" si="2"/>
        <v>811
EDW
s</v>
      </c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</row>
    <row r="1369">
      <c r="A1369" s="10">
        <v>1368.0</v>
      </c>
      <c r="B1369" s="12" t="s">
        <v>6715</v>
      </c>
      <c r="C1369" s="12" t="s">
        <v>38</v>
      </c>
      <c r="D1369" s="23">
        <v>818.0</v>
      </c>
      <c r="E1369" s="12" t="s">
        <v>6716</v>
      </c>
      <c r="F1369" s="12" t="s">
        <v>6717</v>
      </c>
      <c r="G1369" s="12" t="s">
        <v>6718</v>
      </c>
      <c r="H1369" s="12" t="s">
        <v>6719</v>
      </c>
      <c r="I1369" s="23">
        <v>9.799939801E9</v>
      </c>
      <c r="J1369" s="12">
        <v>2005.0</v>
      </c>
      <c r="K1369" s="23" t="s">
        <v>6720</v>
      </c>
      <c r="L1369" s="24">
        <v>1.0</v>
      </c>
      <c r="M1369" s="12" t="s">
        <v>340</v>
      </c>
      <c r="N1369" s="26" t="str">
        <f t="shared" si="2"/>
        <v>818
KAR
a</v>
      </c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</row>
    <row r="1370">
      <c r="A1370" s="10">
        <v>1369.0</v>
      </c>
      <c r="B1370" s="12" t="s">
        <v>6721</v>
      </c>
      <c r="C1370" s="12" t="s">
        <v>38</v>
      </c>
      <c r="D1370" s="23">
        <v>813.0</v>
      </c>
      <c r="E1370" s="12" t="s">
        <v>6722</v>
      </c>
      <c r="F1370" s="12" t="s">
        <v>6723</v>
      </c>
      <c r="G1370" s="12"/>
      <c r="H1370" s="12" t="s">
        <v>6589</v>
      </c>
      <c r="I1370" s="23">
        <v>9.786025434136E12</v>
      </c>
      <c r="J1370" s="12">
        <v>2017.0</v>
      </c>
      <c r="K1370" s="23" t="s">
        <v>6724</v>
      </c>
      <c r="L1370" s="24">
        <v>1.0</v>
      </c>
      <c r="M1370" s="25" t="s">
        <v>6725</v>
      </c>
      <c r="N1370" s="26" t="str">
        <f t="shared" si="2"/>
        <v>813
PAR
m</v>
      </c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</row>
    <row r="1371">
      <c r="A1371" s="10">
        <v>1370.0</v>
      </c>
      <c r="B1371" s="12" t="s">
        <v>6726</v>
      </c>
      <c r="C1371" s="12" t="s">
        <v>38</v>
      </c>
      <c r="D1371" s="23">
        <v>819.0</v>
      </c>
      <c r="E1371" s="12" t="s">
        <v>6727</v>
      </c>
      <c r="F1371" s="12" t="s">
        <v>5329</v>
      </c>
      <c r="G1371" s="12"/>
      <c r="H1371" s="12" t="s">
        <v>2613</v>
      </c>
      <c r="I1371" s="23">
        <v>9.789798001512E12</v>
      </c>
      <c r="J1371" s="12">
        <v>2011.0</v>
      </c>
      <c r="K1371" s="23" t="s">
        <v>6728</v>
      </c>
      <c r="L1371" s="24">
        <v>1.0</v>
      </c>
      <c r="M1371" s="25" t="s">
        <v>6729</v>
      </c>
      <c r="N1371" s="26" t="str">
        <f t="shared" si="2"/>
        <v>819
DED
s</v>
      </c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</row>
    <row r="1372">
      <c r="A1372" s="10">
        <v>1371.0</v>
      </c>
      <c r="B1372" s="12" t="s">
        <v>6730</v>
      </c>
      <c r="C1372" s="12" t="s">
        <v>38</v>
      </c>
      <c r="D1372" s="23">
        <v>808.0</v>
      </c>
      <c r="E1372" s="12" t="s">
        <v>6731</v>
      </c>
      <c r="F1372" s="12" t="s">
        <v>4117</v>
      </c>
      <c r="G1372" s="12"/>
      <c r="H1372" s="12" t="s">
        <v>2890</v>
      </c>
      <c r="I1372" s="23"/>
      <c r="J1372" s="12"/>
      <c r="K1372" s="23">
        <v>85.0</v>
      </c>
      <c r="L1372" s="24">
        <v>1.0</v>
      </c>
      <c r="M1372" s="25" t="s">
        <v>6732</v>
      </c>
      <c r="N1372" s="26" t="str">
        <f t="shared" si="2"/>
        <v>808
ATA
t</v>
      </c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</row>
    <row r="1373">
      <c r="A1373" s="10">
        <v>1372.0</v>
      </c>
      <c r="B1373" s="12" t="s">
        <v>6733</v>
      </c>
      <c r="C1373" s="12" t="s">
        <v>38</v>
      </c>
      <c r="D1373" s="23" t="s">
        <v>6734</v>
      </c>
      <c r="E1373" s="22" t="s">
        <v>6731</v>
      </c>
      <c r="F1373" s="12" t="s">
        <v>6735</v>
      </c>
      <c r="G1373" s="12"/>
      <c r="H1373" s="12" t="s">
        <v>2510</v>
      </c>
      <c r="I1373" s="23" t="s">
        <v>6736</v>
      </c>
      <c r="J1373" s="12">
        <v>1995.0</v>
      </c>
      <c r="K1373" s="23">
        <v>49.0</v>
      </c>
      <c r="L1373" s="24">
        <v>1.0</v>
      </c>
      <c r="M1373" s="25" t="s">
        <v>6737</v>
      </c>
      <c r="N1373" s="26" t="str">
        <f t="shared" si="2"/>
        <v>808.5
MAM
t</v>
      </c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</row>
    <row r="1374">
      <c r="A1374" s="10">
        <v>1373.0</v>
      </c>
      <c r="B1374" s="12" t="s">
        <v>6738</v>
      </c>
      <c r="C1374" s="12" t="s">
        <v>38</v>
      </c>
      <c r="D1374" s="23" t="s">
        <v>445</v>
      </c>
      <c r="E1374" s="22" t="s">
        <v>5296</v>
      </c>
      <c r="F1374" s="12" t="s">
        <v>6739</v>
      </c>
      <c r="G1374" s="12" t="s">
        <v>6740</v>
      </c>
      <c r="H1374" s="12" t="s">
        <v>2241</v>
      </c>
      <c r="I1374" s="23">
        <v>9.786028912259E12</v>
      </c>
      <c r="J1374" s="12">
        <v>2017.0</v>
      </c>
      <c r="K1374" s="23" t="s">
        <v>6741</v>
      </c>
      <c r="L1374" s="24">
        <v>3.0</v>
      </c>
      <c r="M1374" s="25" t="s">
        <v>6742</v>
      </c>
      <c r="N1374" s="26" t="str">
        <f t="shared" si="2"/>
        <v>813
MEI
a</v>
      </c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</row>
    <row r="1375">
      <c r="A1375" s="10">
        <v>1374.0</v>
      </c>
      <c r="B1375" s="12" t="s">
        <v>6743</v>
      </c>
      <c r="C1375" s="12" t="s">
        <v>38</v>
      </c>
      <c r="D1375" s="23" t="s">
        <v>445</v>
      </c>
      <c r="E1375" s="22" t="s">
        <v>5296</v>
      </c>
      <c r="F1375" s="12" t="s">
        <v>6744</v>
      </c>
      <c r="G1375" s="12" t="s">
        <v>6745</v>
      </c>
      <c r="H1375" s="12" t="s">
        <v>2255</v>
      </c>
      <c r="I1375" s="23" t="s">
        <v>6746</v>
      </c>
      <c r="J1375" s="12">
        <v>2016.0</v>
      </c>
      <c r="K1375" s="23" t="s">
        <v>2256</v>
      </c>
      <c r="L1375" s="24">
        <v>3.0</v>
      </c>
      <c r="M1375" s="25" t="s">
        <v>6747</v>
      </c>
      <c r="N1375" s="26" t="str">
        <f t="shared" si="2"/>
        <v>813
NAV
d</v>
      </c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</row>
    <row r="1376">
      <c r="A1376" s="10">
        <v>1375.0</v>
      </c>
      <c r="B1376" s="12" t="s">
        <v>6748</v>
      </c>
      <c r="C1376" s="12" t="s">
        <v>38</v>
      </c>
      <c r="D1376" s="23" t="s">
        <v>445</v>
      </c>
      <c r="E1376" s="22" t="s">
        <v>5296</v>
      </c>
      <c r="F1376" s="12" t="s">
        <v>5069</v>
      </c>
      <c r="G1376" s="12" t="s">
        <v>518</v>
      </c>
      <c r="H1376" s="12" t="s">
        <v>2255</v>
      </c>
      <c r="I1376" s="23" t="s">
        <v>6749</v>
      </c>
      <c r="J1376" s="12">
        <v>2016.0</v>
      </c>
      <c r="K1376" s="23" t="s">
        <v>2256</v>
      </c>
      <c r="L1376" s="24">
        <v>1.0</v>
      </c>
      <c r="M1376" s="25" t="s">
        <v>6750</v>
      </c>
      <c r="N1376" s="26" t="str">
        <f t="shared" si="2"/>
        <v>813
BUD
a</v>
      </c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</row>
    <row r="1377">
      <c r="A1377" s="10">
        <v>1376.0</v>
      </c>
      <c r="B1377" s="12" t="s">
        <v>6751</v>
      </c>
      <c r="C1377" s="12" t="s">
        <v>38</v>
      </c>
      <c r="D1377" s="23" t="s">
        <v>445</v>
      </c>
      <c r="E1377" s="22" t="s">
        <v>5296</v>
      </c>
      <c r="F1377" s="12" t="s">
        <v>837</v>
      </c>
      <c r="G1377" s="12" t="s">
        <v>6752</v>
      </c>
      <c r="H1377" s="12" t="s">
        <v>2314</v>
      </c>
      <c r="I1377" s="23" t="s">
        <v>6753</v>
      </c>
      <c r="J1377" s="12">
        <v>2007.0</v>
      </c>
      <c r="K1377" s="23">
        <v>60.0</v>
      </c>
      <c r="L1377" s="24">
        <v>1.0</v>
      </c>
      <c r="M1377" s="12" t="s">
        <v>340</v>
      </c>
      <c r="N1377" s="26" t="str">
        <f t="shared" si="2"/>
        <v>813
AHM
t</v>
      </c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</row>
    <row r="1378">
      <c r="A1378" s="10">
        <v>1377.0</v>
      </c>
      <c r="B1378" s="12" t="s">
        <v>6754</v>
      </c>
      <c r="C1378" s="12" t="s">
        <v>38</v>
      </c>
      <c r="D1378" s="23" t="s">
        <v>445</v>
      </c>
      <c r="E1378" s="22" t="s">
        <v>5296</v>
      </c>
      <c r="F1378" s="12" t="s">
        <v>6755</v>
      </c>
      <c r="G1378" s="12" t="s">
        <v>6756</v>
      </c>
      <c r="H1378" s="12" t="s">
        <v>3682</v>
      </c>
      <c r="I1378" s="23">
        <v>9.789793711416E12</v>
      </c>
      <c r="J1378" s="12">
        <v>2009.0</v>
      </c>
      <c r="K1378" s="23">
        <v>90.0</v>
      </c>
      <c r="L1378" s="24">
        <v>4.0</v>
      </c>
      <c r="M1378" s="25" t="s">
        <v>6757</v>
      </c>
      <c r="N1378" s="26" t="str">
        <f t="shared" si="2"/>
        <v>813
YAN
b</v>
      </c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</row>
    <row r="1379">
      <c r="A1379" s="10">
        <v>1378.0</v>
      </c>
      <c r="B1379" s="12" t="s">
        <v>6758</v>
      </c>
      <c r="C1379" s="12" t="s">
        <v>262</v>
      </c>
      <c r="D1379" s="23">
        <v>922.0</v>
      </c>
      <c r="E1379" s="12" t="s">
        <v>6759</v>
      </c>
      <c r="F1379" s="12" t="s">
        <v>6760</v>
      </c>
      <c r="G1379" s="12" t="s">
        <v>6761</v>
      </c>
      <c r="H1379" s="12" t="s">
        <v>5882</v>
      </c>
      <c r="I1379" s="23">
        <v>9.786028236898E12</v>
      </c>
      <c r="J1379" s="12">
        <v>2013.0</v>
      </c>
      <c r="K1379" s="23">
        <v>346.0</v>
      </c>
      <c r="L1379" s="24">
        <v>1.0</v>
      </c>
      <c r="M1379" s="12" t="s">
        <v>340</v>
      </c>
      <c r="N1379" s="26" t="str">
        <f t="shared" si="2"/>
        <v>922
OKI
m</v>
      </c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</row>
    <row r="1380">
      <c r="A1380" s="10">
        <v>1379.0</v>
      </c>
      <c r="B1380" s="12" t="s">
        <v>6762</v>
      </c>
      <c r="C1380" s="12" t="s">
        <v>262</v>
      </c>
      <c r="D1380" s="23">
        <v>920.0</v>
      </c>
      <c r="E1380" s="12" t="s">
        <v>3747</v>
      </c>
      <c r="F1380" s="12" t="s">
        <v>6763</v>
      </c>
      <c r="G1380" s="12" t="s">
        <v>6764</v>
      </c>
      <c r="H1380" s="12" t="s">
        <v>6765</v>
      </c>
      <c r="I1380" s="23">
        <v>9.786026805836E12</v>
      </c>
      <c r="J1380" s="12">
        <v>2016.0</v>
      </c>
      <c r="K1380" s="23">
        <v>154.0</v>
      </c>
      <c r="L1380" s="24">
        <v>1.0</v>
      </c>
      <c r="M1380" s="25" t="s">
        <v>6766</v>
      </c>
      <c r="N1380" s="26" t="str">
        <f t="shared" si="2"/>
        <v>920
AIN
m</v>
      </c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</row>
    <row r="1381">
      <c r="A1381" s="10">
        <v>1380.0</v>
      </c>
      <c r="B1381" s="12" t="s">
        <v>6767</v>
      </c>
      <c r="C1381" s="12" t="s">
        <v>262</v>
      </c>
      <c r="D1381" s="23">
        <v>928.0</v>
      </c>
      <c r="E1381" s="12" t="s">
        <v>6200</v>
      </c>
      <c r="F1381" s="12" t="s">
        <v>5491</v>
      </c>
      <c r="G1381" s="12" t="s">
        <v>6768</v>
      </c>
      <c r="H1381" s="12" t="s">
        <v>6769</v>
      </c>
      <c r="I1381" s="23" t="s">
        <v>6770</v>
      </c>
      <c r="J1381" s="12">
        <v>2016.0</v>
      </c>
      <c r="K1381" s="23" t="s">
        <v>6771</v>
      </c>
      <c r="L1381" s="24">
        <v>1.0</v>
      </c>
      <c r="M1381" s="25" t="s">
        <v>6772</v>
      </c>
      <c r="N1381" s="26" t="str">
        <f t="shared" si="2"/>
        <v>928
CHA
c</v>
      </c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</row>
    <row r="1382">
      <c r="A1382" s="10">
        <v>1381.0</v>
      </c>
      <c r="B1382" s="12" t="s">
        <v>6773</v>
      </c>
      <c r="C1382" s="12" t="s">
        <v>31</v>
      </c>
      <c r="D1382" s="23" t="s">
        <v>210</v>
      </c>
      <c r="E1382" s="12" t="s">
        <v>6774</v>
      </c>
      <c r="F1382" s="12" t="s">
        <v>6775</v>
      </c>
      <c r="G1382" s="12" t="s">
        <v>6776</v>
      </c>
      <c r="H1382" s="12" t="s">
        <v>6777</v>
      </c>
      <c r="I1382" s="23">
        <v>9.789791720021E12</v>
      </c>
      <c r="J1382" s="12">
        <v>2009.0</v>
      </c>
      <c r="K1382" s="23">
        <v>180.0</v>
      </c>
      <c r="L1382" s="24">
        <v>1.0</v>
      </c>
      <c r="M1382" s="38" t="s">
        <v>6778</v>
      </c>
      <c r="N1382" s="26" t="str">
        <f t="shared" si="2"/>
        <v>001
TEG
u</v>
      </c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</row>
    <row r="1383">
      <c r="A1383" s="10">
        <v>1382.0</v>
      </c>
      <c r="B1383" s="12" t="s">
        <v>928</v>
      </c>
      <c r="C1383" s="12" t="s">
        <v>229</v>
      </c>
      <c r="D1383" s="23" t="s">
        <v>6779</v>
      </c>
      <c r="E1383" s="12" t="s">
        <v>6780</v>
      </c>
      <c r="F1383" s="12" t="s">
        <v>6781</v>
      </c>
      <c r="G1383" s="12"/>
      <c r="H1383" s="12" t="s">
        <v>6782</v>
      </c>
      <c r="I1383" s="23" t="s">
        <v>6783</v>
      </c>
      <c r="J1383" s="12">
        <v>2015.0</v>
      </c>
      <c r="K1383" s="23" t="s">
        <v>6784</v>
      </c>
      <c r="L1383" s="24">
        <v>4.0</v>
      </c>
      <c r="M1383" s="12" t="s">
        <v>340</v>
      </c>
      <c r="N1383" s="26" t="str">
        <f t="shared" si="2"/>
        <v>371.89
DRS
p</v>
      </c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</row>
    <row r="1384">
      <c r="A1384" s="10">
        <v>1383.0</v>
      </c>
      <c r="B1384" s="12" t="s">
        <v>6785</v>
      </c>
      <c r="C1384" s="12" t="s">
        <v>229</v>
      </c>
      <c r="D1384" s="23" t="s">
        <v>6786</v>
      </c>
      <c r="E1384" s="12" t="s">
        <v>6787</v>
      </c>
      <c r="F1384" s="12" t="s">
        <v>6788</v>
      </c>
      <c r="G1384" s="12" t="s">
        <v>6789</v>
      </c>
      <c r="H1384" s="12" t="s">
        <v>401</v>
      </c>
      <c r="I1384" s="23" t="s">
        <v>6790</v>
      </c>
      <c r="J1384" s="12">
        <v>2015.0</v>
      </c>
      <c r="K1384" s="23" t="s">
        <v>6791</v>
      </c>
      <c r="L1384" s="24">
        <v>1.0</v>
      </c>
      <c r="M1384" s="25" t="s">
        <v>6792</v>
      </c>
      <c r="N1384" s="26" t="str">
        <f t="shared" si="2"/>
        <v>392.3
ABI
m</v>
      </c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</row>
    <row r="1385">
      <c r="A1385" s="10">
        <v>1384.0</v>
      </c>
      <c r="B1385" s="12" t="s">
        <v>2081</v>
      </c>
      <c r="C1385" s="12" t="s">
        <v>229</v>
      </c>
      <c r="D1385" s="23" t="s">
        <v>6793</v>
      </c>
      <c r="E1385" s="12" t="s">
        <v>6794</v>
      </c>
      <c r="F1385" s="12" t="s">
        <v>2084</v>
      </c>
      <c r="G1385" s="12" t="s">
        <v>518</v>
      </c>
      <c r="H1385" s="12" t="s">
        <v>2036</v>
      </c>
      <c r="I1385" s="23" t="s">
        <v>2085</v>
      </c>
      <c r="J1385" s="12">
        <v>2014.0</v>
      </c>
      <c r="K1385" s="23" t="s">
        <v>3381</v>
      </c>
      <c r="L1385" s="24">
        <v>2.0</v>
      </c>
      <c r="M1385" s="25" t="s">
        <v>6795</v>
      </c>
      <c r="N1385" s="26" t="str">
        <f t="shared" si="2"/>
        <v>390.09
WUL
p</v>
      </c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>
      <c r="A1386" s="10">
        <v>1385.0</v>
      </c>
      <c r="B1386" s="12" t="s">
        <v>6796</v>
      </c>
      <c r="C1386" s="12" t="s">
        <v>262</v>
      </c>
      <c r="D1386" s="23" t="s">
        <v>6797</v>
      </c>
      <c r="E1386" s="12" t="s">
        <v>6798</v>
      </c>
      <c r="F1386" s="12" t="s">
        <v>5085</v>
      </c>
      <c r="G1386" s="12" t="s">
        <v>5114</v>
      </c>
      <c r="H1386" s="12" t="s">
        <v>725</v>
      </c>
      <c r="I1386" s="23" t="s">
        <v>6799</v>
      </c>
      <c r="J1386" s="12">
        <v>2015.0</v>
      </c>
      <c r="K1386" s="23" t="s">
        <v>2364</v>
      </c>
      <c r="L1386" s="24">
        <v>1.0</v>
      </c>
      <c r="M1386" s="12" t="s">
        <v>340</v>
      </c>
      <c r="N1386" s="26" t="str">
        <f t="shared" si="2"/>
        <v>915.98
ENY
i</v>
      </c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</row>
    <row r="1387">
      <c r="A1387" s="10">
        <v>1386.0</v>
      </c>
      <c r="B1387" s="12" t="s">
        <v>6800</v>
      </c>
      <c r="C1387" s="12" t="s">
        <v>262</v>
      </c>
      <c r="D1387" s="23" t="s">
        <v>6797</v>
      </c>
      <c r="E1387" s="12" t="s">
        <v>6798</v>
      </c>
      <c r="F1387" s="12" t="s">
        <v>6801</v>
      </c>
      <c r="G1387" s="12"/>
      <c r="H1387" s="12" t="s">
        <v>3100</v>
      </c>
      <c r="I1387" s="23">
        <v>9.789790910379E12</v>
      </c>
      <c r="J1387" s="12">
        <v>2011.0</v>
      </c>
      <c r="K1387" s="23" t="s">
        <v>6802</v>
      </c>
      <c r="L1387" s="24">
        <v>1.0</v>
      </c>
      <c r="M1387" s="12" t="s">
        <v>340</v>
      </c>
      <c r="N1387" s="26" t="str">
        <f t="shared" si="2"/>
        <v>915.98
YUN
m</v>
      </c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</row>
    <row r="1388">
      <c r="A1388" s="10">
        <v>1387.0</v>
      </c>
      <c r="B1388" s="12" t="s">
        <v>6803</v>
      </c>
      <c r="C1388" s="12" t="s">
        <v>262</v>
      </c>
      <c r="D1388" s="47">
        <v>912014.0</v>
      </c>
      <c r="E1388" s="12" t="s">
        <v>6804</v>
      </c>
      <c r="F1388" s="12" t="s">
        <v>6805</v>
      </c>
      <c r="G1388" s="12"/>
      <c r="H1388" s="12" t="s">
        <v>3732</v>
      </c>
      <c r="I1388" s="23" t="s">
        <v>6806</v>
      </c>
      <c r="J1388" s="12">
        <v>1995.0</v>
      </c>
      <c r="K1388" s="23">
        <v>132.0</v>
      </c>
      <c r="L1388" s="24">
        <v>1.0</v>
      </c>
      <c r="M1388" s="12" t="s">
        <v>340</v>
      </c>
      <c r="N1388" s="26" t="str">
        <f t="shared" si="2"/>
        <v>912014
IR.
t</v>
      </c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</row>
    <row r="1389">
      <c r="A1389" s="10">
        <v>1388.0</v>
      </c>
      <c r="B1389" s="12" t="s">
        <v>6803</v>
      </c>
      <c r="C1389" s="12" t="s">
        <v>262</v>
      </c>
      <c r="D1389" s="47">
        <v>912014.0</v>
      </c>
      <c r="E1389" s="12" t="s">
        <v>6804</v>
      </c>
      <c r="F1389" s="12" t="s">
        <v>6807</v>
      </c>
      <c r="G1389" s="12" t="s">
        <v>6808</v>
      </c>
      <c r="H1389" s="12" t="s">
        <v>4790</v>
      </c>
      <c r="I1389" s="23" t="s">
        <v>6809</v>
      </c>
      <c r="J1389" s="12">
        <v>2008.0</v>
      </c>
      <c r="K1389" s="23">
        <v>96.0</v>
      </c>
      <c r="L1389" s="24">
        <v>1.0</v>
      </c>
      <c r="M1389" s="12" t="s">
        <v>340</v>
      </c>
      <c r="N1389" s="26" t="str">
        <f t="shared" si="2"/>
        <v>912014
N.S
t</v>
      </c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</row>
    <row r="1390">
      <c r="A1390" s="10">
        <v>1389.0</v>
      </c>
      <c r="B1390" s="12" t="s">
        <v>6810</v>
      </c>
      <c r="C1390" s="12" t="s">
        <v>262</v>
      </c>
      <c r="D1390" s="23">
        <v>912.0</v>
      </c>
      <c r="E1390" s="12" t="s">
        <v>6811</v>
      </c>
      <c r="F1390" s="12" t="s">
        <v>6812</v>
      </c>
      <c r="G1390" s="12" t="s">
        <v>6813</v>
      </c>
      <c r="H1390" s="12" t="s">
        <v>2721</v>
      </c>
      <c r="I1390" s="23">
        <v>9.786028608701E12</v>
      </c>
      <c r="J1390" s="12">
        <v>2010.0</v>
      </c>
      <c r="K1390" s="23" t="s">
        <v>3381</v>
      </c>
      <c r="L1390" s="24">
        <v>1.0</v>
      </c>
      <c r="M1390" s="12" t="s">
        <v>340</v>
      </c>
      <c r="N1390" s="26" t="str">
        <f t="shared" si="2"/>
        <v>912
NEN
p</v>
      </c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</row>
    <row r="1391">
      <c r="A1391" s="10">
        <v>1390.0</v>
      </c>
      <c r="B1391" s="12" t="s">
        <v>6814</v>
      </c>
      <c r="C1391" s="12" t="s">
        <v>262</v>
      </c>
      <c r="D1391" s="23">
        <v>910.0</v>
      </c>
      <c r="E1391" s="12" t="s">
        <v>6815</v>
      </c>
      <c r="F1391" s="12" t="s">
        <v>3558</v>
      </c>
      <c r="G1391" s="12" t="s">
        <v>6816</v>
      </c>
      <c r="H1391" s="12" t="s">
        <v>623</v>
      </c>
      <c r="I1391" s="23" t="s">
        <v>6817</v>
      </c>
      <c r="J1391" s="12">
        <v>2014.0</v>
      </c>
      <c r="K1391" s="23">
        <v>52.0</v>
      </c>
      <c r="L1391" s="24">
        <v>1.0</v>
      </c>
      <c r="M1391" s="25" t="s">
        <v>6818</v>
      </c>
      <c r="N1391" s="26" t="str">
        <f t="shared" si="2"/>
        <v>910
MAY
o</v>
      </c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</row>
    <row r="1392">
      <c r="A1392" s="10">
        <v>1391.0</v>
      </c>
      <c r="B1392" s="12" t="s">
        <v>6819</v>
      </c>
      <c r="C1392" s="12" t="s">
        <v>262</v>
      </c>
      <c r="D1392" s="23">
        <v>910.0</v>
      </c>
      <c r="E1392" s="12" t="s">
        <v>6815</v>
      </c>
      <c r="F1392" s="12" t="s">
        <v>3965</v>
      </c>
      <c r="G1392" s="12" t="s">
        <v>6820</v>
      </c>
      <c r="H1392" s="12" t="s">
        <v>623</v>
      </c>
      <c r="I1392" s="23" t="s">
        <v>6821</v>
      </c>
      <c r="J1392" s="12">
        <v>2014.0</v>
      </c>
      <c r="K1392" s="23">
        <v>52.0</v>
      </c>
      <c r="L1392" s="24">
        <v>1.0</v>
      </c>
      <c r="M1392" s="25" t="s">
        <v>6822</v>
      </c>
      <c r="N1392" s="26" t="str">
        <f t="shared" si="2"/>
        <v>910
RIA
o</v>
      </c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</row>
    <row r="1393">
      <c r="A1393" s="10">
        <v>1392.0</v>
      </c>
      <c r="B1393" s="12" t="s">
        <v>6823</v>
      </c>
      <c r="C1393" s="12" t="s">
        <v>262</v>
      </c>
      <c r="D1393" s="23" t="s">
        <v>6824</v>
      </c>
      <c r="E1393" s="12" t="s">
        <v>6825</v>
      </c>
      <c r="F1393" s="12" t="s">
        <v>6826</v>
      </c>
      <c r="G1393" s="12"/>
      <c r="H1393" s="12" t="s">
        <v>1900</v>
      </c>
      <c r="I1393" s="23"/>
      <c r="J1393" s="12">
        <v>2014.0</v>
      </c>
      <c r="K1393" s="23" t="s">
        <v>1093</v>
      </c>
      <c r="L1393" s="24">
        <v>1.0</v>
      </c>
      <c r="M1393" s="25" t="s">
        <v>6827</v>
      </c>
      <c r="N1393" s="26" t="str">
        <f t="shared" si="2"/>
        <v>923.5
R.M
t</v>
      </c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</row>
    <row r="1394">
      <c r="A1394" s="10">
        <v>1393.0</v>
      </c>
      <c r="B1394" s="12" t="s">
        <v>6828</v>
      </c>
      <c r="C1394" s="12" t="s">
        <v>229</v>
      </c>
      <c r="D1394" s="23" t="s">
        <v>1856</v>
      </c>
      <c r="E1394" s="12" t="s">
        <v>2500</v>
      </c>
      <c r="F1394" s="12" t="s">
        <v>2559</v>
      </c>
      <c r="G1394" s="12" t="s">
        <v>5953</v>
      </c>
      <c r="H1394" s="12" t="s">
        <v>2560</v>
      </c>
      <c r="I1394" s="23" t="s">
        <v>6829</v>
      </c>
      <c r="J1394" s="12">
        <v>2018.0</v>
      </c>
      <c r="K1394" s="23">
        <v>48.0</v>
      </c>
      <c r="L1394" s="24">
        <v>1.0</v>
      </c>
      <c r="M1394" s="25" t="s">
        <v>6830</v>
      </c>
      <c r="N1394" s="26" t="str">
        <f t="shared" si="2"/>
        <v>398.2
TAT
s</v>
      </c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</row>
    <row r="1395">
      <c r="A1395" s="10">
        <v>1394.0</v>
      </c>
      <c r="B1395" s="12" t="s">
        <v>6831</v>
      </c>
      <c r="C1395" s="12" t="s">
        <v>262</v>
      </c>
      <c r="D1395" s="23">
        <v>920.0</v>
      </c>
      <c r="E1395" s="12" t="s">
        <v>3747</v>
      </c>
      <c r="F1395" s="12" t="s">
        <v>2446</v>
      </c>
      <c r="G1395" s="12" t="s">
        <v>518</v>
      </c>
      <c r="H1395" s="12" t="s">
        <v>2565</v>
      </c>
      <c r="I1395" s="23" t="s">
        <v>6832</v>
      </c>
      <c r="J1395" s="12">
        <v>2009.0</v>
      </c>
      <c r="K1395" s="23">
        <v>48.0</v>
      </c>
      <c r="L1395" s="24">
        <v>2.0</v>
      </c>
      <c r="M1395" s="25" t="s">
        <v>6833</v>
      </c>
      <c r="N1395" s="26" t="str">
        <f t="shared" si="2"/>
        <v>920
BUD
m</v>
      </c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</row>
    <row r="1396">
      <c r="A1396" s="10">
        <v>1395.0</v>
      </c>
      <c r="B1396" s="12" t="s">
        <v>6834</v>
      </c>
      <c r="C1396" s="12" t="s">
        <v>38</v>
      </c>
      <c r="D1396" s="23">
        <v>819.0</v>
      </c>
      <c r="E1396" s="12" t="s">
        <v>2401</v>
      </c>
      <c r="F1396" s="12" t="s">
        <v>2446</v>
      </c>
      <c r="G1396" s="12" t="s">
        <v>518</v>
      </c>
      <c r="H1396" s="12" t="s">
        <v>2565</v>
      </c>
      <c r="I1396" s="23" t="s">
        <v>6835</v>
      </c>
      <c r="J1396" s="12">
        <v>2009.0</v>
      </c>
      <c r="K1396" s="23">
        <v>48.0</v>
      </c>
      <c r="L1396" s="23">
        <v>3.0</v>
      </c>
      <c r="M1396" s="25" t="s">
        <v>6836</v>
      </c>
      <c r="N1396" s="22" t="str">
        <f t="shared" si="2"/>
        <v>819
BUD
k</v>
      </c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</row>
    <row r="1397">
      <c r="A1397" s="10">
        <v>1396.0</v>
      </c>
      <c r="B1397" s="12" t="s">
        <v>6837</v>
      </c>
      <c r="C1397" s="12" t="s">
        <v>262</v>
      </c>
      <c r="D1397" s="23" t="s">
        <v>1938</v>
      </c>
      <c r="E1397" s="12" t="s">
        <v>1939</v>
      </c>
      <c r="F1397" s="12" t="s">
        <v>3950</v>
      </c>
      <c r="G1397" s="12" t="s">
        <v>340</v>
      </c>
      <c r="H1397" s="12" t="s">
        <v>3567</v>
      </c>
      <c r="I1397" s="23" t="s">
        <v>6838</v>
      </c>
      <c r="J1397" s="12">
        <v>2010.0</v>
      </c>
      <c r="K1397" s="23" t="s">
        <v>6839</v>
      </c>
      <c r="L1397" s="23">
        <v>1.0</v>
      </c>
      <c r="M1397" s="25" t="s">
        <v>6840</v>
      </c>
      <c r="N1397" s="22" t="str">
        <f t="shared" si="2"/>
        <v>959.8
SUL
k</v>
      </c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</row>
    <row r="1398">
      <c r="A1398" s="10">
        <v>1397.0</v>
      </c>
      <c r="B1398" s="12" t="s">
        <v>6841</v>
      </c>
      <c r="C1398" s="12" t="s">
        <v>262</v>
      </c>
      <c r="D1398" s="23" t="s">
        <v>6842</v>
      </c>
      <c r="E1398" s="22" t="s">
        <v>6843</v>
      </c>
      <c r="F1398" s="12" t="s">
        <v>6844</v>
      </c>
      <c r="G1398" s="12" t="s">
        <v>6845</v>
      </c>
      <c r="H1398" s="12" t="s">
        <v>206</v>
      </c>
      <c r="I1398" s="23" t="s">
        <v>6846</v>
      </c>
      <c r="J1398" s="12">
        <v>2008.0</v>
      </c>
      <c r="K1398" s="23">
        <v>58.0</v>
      </c>
      <c r="L1398" s="24">
        <v>1.0</v>
      </c>
      <c r="M1398" s="12" t="s">
        <v>340</v>
      </c>
      <c r="N1398" s="22" t="str">
        <f t="shared" si="2"/>
        <v>909
AEP
a</v>
      </c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</row>
    <row r="1399">
      <c r="A1399" s="10">
        <v>1398.0</v>
      </c>
      <c r="B1399" s="12" t="s">
        <v>6847</v>
      </c>
      <c r="C1399" s="12" t="s">
        <v>262</v>
      </c>
      <c r="D1399" s="23">
        <v>920.0</v>
      </c>
      <c r="E1399" s="12" t="s">
        <v>3747</v>
      </c>
      <c r="F1399" s="12" t="s">
        <v>6848</v>
      </c>
      <c r="G1399" s="12"/>
      <c r="H1399" s="12" t="s">
        <v>4337</v>
      </c>
      <c r="I1399" s="23"/>
      <c r="J1399" s="12"/>
      <c r="K1399" s="23"/>
      <c r="L1399" s="23">
        <v>2.0</v>
      </c>
      <c r="M1399" s="25" t="s">
        <v>6849</v>
      </c>
      <c r="N1399" s="22" t="str">
        <f t="shared" si="2"/>
        <v>920
ZAH
a</v>
      </c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</row>
    <row r="1400">
      <c r="A1400" s="10">
        <v>1399.0</v>
      </c>
      <c r="B1400" s="12" t="s">
        <v>6850</v>
      </c>
      <c r="C1400" s="12" t="s">
        <v>262</v>
      </c>
      <c r="D1400" s="23" t="s">
        <v>6851</v>
      </c>
      <c r="E1400" s="12" t="s">
        <v>6850</v>
      </c>
      <c r="F1400" s="12" t="s">
        <v>6852</v>
      </c>
      <c r="G1400" s="12" t="s">
        <v>652</v>
      </c>
      <c r="H1400" s="12" t="s">
        <v>646</v>
      </c>
      <c r="I1400" s="23" t="s">
        <v>6853</v>
      </c>
      <c r="J1400" s="12">
        <v>2014.0</v>
      </c>
      <c r="K1400" s="23">
        <v>124.0</v>
      </c>
      <c r="L1400" s="23">
        <v>2.0</v>
      </c>
      <c r="M1400" s="25" t="s">
        <v>6854</v>
      </c>
      <c r="N1400" s="22" t="str">
        <f t="shared" si="2"/>
        <v>910.3
PUT
k</v>
      </c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</row>
    <row r="1401">
      <c r="A1401" s="10">
        <v>1400.0</v>
      </c>
      <c r="B1401" s="12" t="s">
        <v>6855</v>
      </c>
      <c r="C1401" s="12" t="s">
        <v>262</v>
      </c>
      <c r="D1401" s="23" t="s">
        <v>3728</v>
      </c>
      <c r="E1401" s="12" t="s">
        <v>6856</v>
      </c>
      <c r="F1401" s="12" t="s">
        <v>6857</v>
      </c>
      <c r="G1401" s="12" t="s">
        <v>6858</v>
      </c>
      <c r="H1401" s="12" t="s">
        <v>4934</v>
      </c>
      <c r="I1401" s="23">
        <v>9.786021949245E12</v>
      </c>
      <c r="J1401" s="12">
        <v>2015.0</v>
      </c>
      <c r="K1401" s="23" t="s">
        <v>6859</v>
      </c>
      <c r="L1401" s="23">
        <v>1.0</v>
      </c>
      <c r="M1401" s="12" t="s">
        <v>340</v>
      </c>
      <c r="N1401" s="22" t="str">
        <f t="shared" si="2"/>
        <v>930.1
PAK
m</v>
      </c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</row>
    <row r="1402">
      <c r="A1402" s="10">
        <v>1401.0</v>
      </c>
      <c r="B1402" s="12" t="s">
        <v>6860</v>
      </c>
      <c r="C1402" s="12" t="s">
        <v>262</v>
      </c>
      <c r="D1402" s="23" t="s">
        <v>1938</v>
      </c>
      <c r="E1402" s="12" t="s">
        <v>1939</v>
      </c>
      <c r="F1402" s="12" t="s">
        <v>6861</v>
      </c>
      <c r="G1402" s="12" t="s">
        <v>5459</v>
      </c>
      <c r="H1402" s="12" t="s">
        <v>3670</v>
      </c>
      <c r="I1402" s="23"/>
      <c r="J1402" s="12">
        <v>2014.0</v>
      </c>
      <c r="K1402" s="23">
        <v>130.0</v>
      </c>
      <c r="L1402" s="24">
        <v>1.0</v>
      </c>
      <c r="M1402" s="12" t="s">
        <v>340</v>
      </c>
      <c r="N1402" s="22" t="str">
        <f t="shared" si="2"/>
        <v>959.8
M. 
s</v>
      </c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</row>
    <row r="1403">
      <c r="A1403" s="10">
        <v>1402.0</v>
      </c>
      <c r="B1403" s="12" t="s">
        <v>6862</v>
      </c>
      <c r="C1403" s="12" t="s">
        <v>262</v>
      </c>
      <c r="D1403" s="23" t="s">
        <v>6824</v>
      </c>
      <c r="E1403" s="12" t="s">
        <v>6863</v>
      </c>
      <c r="F1403" s="12" t="s">
        <v>6864</v>
      </c>
      <c r="G1403" s="12" t="s">
        <v>340</v>
      </c>
      <c r="H1403" s="12" t="s">
        <v>6865</v>
      </c>
      <c r="I1403" s="23" t="s">
        <v>6866</v>
      </c>
      <c r="J1403" s="12"/>
      <c r="K1403" s="23" t="s">
        <v>6867</v>
      </c>
      <c r="L1403" s="23">
        <v>2.0</v>
      </c>
      <c r="M1403" s="25" t="s">
        <v>6868</v>
      </c>
      <c r="N1403" s="22" t="str">
        <f t="shared" si="2"/>
        <v>923.5
RAH
s</v>
      </c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</row>
    <row r="1404">
      <c r="A1404" s="10">
        <v>1403.0</v>
      </c>
      <c r="B1404" s="12" t="s">
        <v>6869</v>
      </c>
      <c r="C1404" s="12" t="s">
        <v>262</v>
      </c>
      <c r="D1404" s="23">
        <v>900.0</v>
      </c>
      <c r="E1404" s="12" t="s">
        <v>6870</v>
      </c>
      <c r="F1404" s="12" t="s">
        <v>6871</v>
      </c>
      <c r="G1404" s="12" t="s">
        <v>553</v>
      </c>
      <c r="H1404" s="12" t="s">
        <v>554</v>
      </c>
      <c r="I1404" s="23" t="s">
        <v>6872</v>
      </c>
      <c r="J1404" s="12">
        <v>2015.0</v>
      </c>
      <c r="K1404" s="23">
        <v>58.0</v>
      </c>
      <c r="L1404" s="23">
        <v>3.0</v>
      </c>
      <c r="M1404" s="25" t="s">
        <v>6873</v>
      </c>
      <c r="N1404" s="22" t="str">
        <f t="shared" si="2"/>
        <v>900
JOD
s</v>
      </c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</row>
    <row r="1405">
      <c r="A1405" s="10">
        <v>1404.0</v>
      </c>
      <c r="B1405" s="12" t="s">
        <v>6874</v>
      </c>
      <c r="C1405" s="12" t="s">
        <v>229</v>
      </c>
      <c r="D1405" s="23" t="s">
        <v>2033</v>
      </c>
      <c r="E1405" s="12" t="s">
        <v>2034</v>
      </c>
      <c r="F1405" s="12" t="s">
        <v>6875</v>
      </c>
      <c r="G1405" s="12"/>
      <c r="H1405" s="12" t="s">
        <v>3951</v>
      </c>
      <c r="I1405" s="23" t="s">
        <v>6876</v>
      </c>
      <c r="J1405" s="12">
        <v>2007.0</v>
      </c>
      <c r="K1405" s="23">
        <v>64.0</v>
      </c>
      <c r="L1405" s="23">
        <v>2.0</v>
      </c>
      <c r="M1405" s="25" t="s">
        <v>6877</v>
      </c>
      <c r="N1405" s="22" t="str">
        <f t="shared" si="2"/>
        <v>332.4
ERN
s</v>
      </c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</row>
    <row r="1406">
      <c r="A1406" s="10">
        <v>1405.0</v>
      </c>
      <c r="B1406" s="12" t="s">
        <v>6878</v>
      </c>
      <c r="C1406" s="12" t="s">
        <v>262</v>
      </c>
      <c r="D1406" s="23"/>
      <c r="E1406" s="12"/>
      <c r="F1406" s="12" t="s">
        <v>6879</v>
      </c>
      <c r="G1406" s="12" t="s">
        <v>6880</v>
      </c>
      <c r="H1406" s="12" t="s">
        <v>6881</v>
      </c>
      <c r="I1406" s="23" t="s">
        <v>6882</v>
      </c>
      <c r="J1406" s="12">
        <v>2010.0</v>
      </c>
      <c r="K1406" s="23">
        <v>52.0</v>
      </c>
      <c r="L1406" s="23">
        <v>2.0</v>
      </c>
      <c r="M1406" s="12" t="s">
        <v>340</v>
      </c>
      <c r="N1406" s="22" t="str">
        <f t="shared" si="2"/>
        <v>
SUT
s</v>
      </c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</row>
    <row r="1407">
      <c r="A1407" s="10">
        <v>1406.0</v>
      </c>
      <c r="B1407" s="12" t="s">
        <v>6883</v>
      </c>
      <c r="C1407" s="12" t="s">
        <v>262</v>
      </c>
      <c r="D1407" s="23">
        <v>920.0</v>
      </c>
      <c r="E1407" s="12" t="s">
        <v>3747</v>
      </c>
      <c r="F1407" s="12" t="s">
        <v>6884</v>
      </c>
      <c r="G1407" s="12"/>
      <c r="H1407" s="12" t="s">
        <v>6885</v>
      </c>
      <c r="I1407" s="23" t="s">
        <v>6886</v>
      </c>
      <c r="J1407" s="12">
        <v>1987.0</v>
      </c>
      <c r="K1407" s="23">
        <v>66.0</v>
      </c>
      <c r="L1407" s="24">
        <v>1.0</v>
      </c>
      <c r="M1407" s="25" t="s">
        <v>6887</v>
      </c>
      <c r="N1407" s="22" t="str">
        <f t="shared" si="2"/>
        <v>920
SYA
a</v>
      </c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</row>
    <row r="1408">
      <c r="A1408" s="10">
        <v>1407.0</v>
      </c>
      <c r="B1408" s="12" t="s">
        <v>6888</v>
      </c>
      <c r="C1408" s="12" t="s">
        <v>262</v>
      </c>
      <c r="D1408" s="23">
        <v>910.0</v>
      </c>
      <c r="E1408" s="12" t="s">
        <v>6798</v>
      </c>
      <c r="F1408" s="12" t="s">
        <v>6889</v>
      </c>
      <c r="G1408" s="12" t="s">
        <v>4357</v>
      </c>
      <c r="H1408" s="12" t="s">
        <v>716</v>
      </c>
      <c r="I1408" s="23" t="s">
        <v>6890</v>
      </c>
      <c r="J1408" s="12">
        <v>2015.0</v>
      </c>
      <c r="K1408" s="23">
        <v>58.0</v>
      </c>
      <c r="L1408" s="24">
        <v>1.0</v>
      </c>
      <c r="M1408" s="25" t="s">
        <v>6891</v>
      </c>
      <c r="N1408" s="22" t="str">
        <f t="shared" si="2"/>
        <v>910
HAR
b</v>
      </c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</row>
    <row r="1409">
      <c r="A1409" s="10">
        <v>1408.0</v>
      </c>
      <c r="B1409" s="12" t="s">
        <v>6892</v>
      </c>
      <c r="C1409" s="12" t="s">
        <v>262</v>
      </c>
      <c r="D1409" s="23">
        <v>920.0</v>
      </c>
      <c r="E1409" s="12" t="s">
        <v>3747</v>
      </c>
      <c r="F1409" s="12" t="s">
        <v>106</v>
      </c>
      <c r="G1409" s="12" t="s">
        <v>107</v>
      </c>
      <c r="H1409" s="12" t="s">
        <v>6893</v>
      </c>
      <c r="I1409" s="23" t="s">
        <v>6894</v>
      </c>
      <c r="J1409" s="12">
        <v>2015.0</v>
      </c>
      <c r="K1409" s="23">
        <v>54.0</v>
      </c>
      <c r="L1409" s="23">
        <v>4.0</v>
      </c>
      <c r="M1409" s="25" t="s">
        <v>6895</v>
      </c>
      <c r="N1409" s="22" t="str">
        <f t="shared" si="2"/>
        <v>920
FAJ
s</v>
      </c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</row>
    <row r="1410">
      <c r="A1410" s="10">
        <v>1409.0</v>
      </c>
      <c r="B1410" s="12" t="s">
        <v>6896</v>
      </c>
      <c r="C1410" s="12" t="s">
        <v>262</v>
      </c>
      <c r="D1410" s="23" t="s">
        <v>6897</v>
      </c>
      <c r="E1410" s="12" t="s">
        <v>6898</v>
      </c>
      <c r="F1410" s="12" t="s">
        <v>6899</v>
      </c>
      <c r="G1410" s="12"/>
      <c r="H1410" s="12" t="s">
        <v>6881</v>
      </c>
      <c r="I1410" s="23" t="s">
        <v>6900</v>
      </c>
      <c r="J1410" s="12">
        <v>2010.0</v>
      </c>
      <c r="K1410" s="23">
        <v>62.0</v>
      </c>
      <c r="L1410" s="24">
        <v>1.0</v>
      </c>
      <c r="M1410" s="25" t="s">
        <v>6901</v>
      </c>
      <c r="N1410" s="22" t="str">
        <f t="shared" si="2"/>
        <v>920.71
Drs
g</v>
      </c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</row>
    <row r="1411">
      <c r="A1411" s="10">
        <v>1410.0</v>
      </c>
      <c r="B1411" s="12" t="s">
        <v>6902</v>
      </c>
      <c r="C1411" s="12" t="s">
        <v>262</v>
      </c>
      <c r="D1411" s="23">
        <v>920.0</v>
      </c>
      <c r="E1411" s="12" t="s">
        <v>3747</v>
      </c>
      <c r="F1411" s="12" t="s">
        <v>6879</v>
      </c>
      <c r="G1411" s="12"/>
      <c r="H1411" s="12" t="s">
        <v>6881</v>
      </c>
      <c r="I1411" s="23" t="s">
        <v>6903</v>
      </c>
      <c r="J1411" s="12">
        <v>2010.0</v>
      </c>
      <c r="K1411" s="23">
        <v>63.0</v>
      </c>
      <c r="L1411" s="23">
        <v>2.0</v>
      </c>
      <c r="M1411" s="25" t="s">
        <v>6904</v>
      </c>
      <c r="N1411" s="22" t="str">
        <f t="shared" si="2"/>
        <v>920
SUT
h</v>
      </c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</row>
    <row r="1412">
      <c r="A1412" s="10">
        <v>1411.0</v>
      </c>
      <c r="B1412" s="12" t="s">
        <v>6905</v>
      </c>
      <c r="C1412" s="12" t="s">
        <v>262</v>
      </c>
      <c r="D1412" s="23">
        <v>920.0</v>
      </c>
      <c r="E1412" s="12" t="s">
        <v>3747</v>
      </c>
      <c r="F1412" s="12" t="s">
        <v>6906</v>
      </c>
      <c r="G1412" s="12"/>
      <c r="H1412" s="12" t="s">
        <v>6881</v>
      </c>
      <c r="I1412" s="23">
        <v>9.789799331304E12</v>
      </c>
      <c r="J1412" s="12">
        <v>2010.0</v>
      </c>
      <c r="K1412" s="23">
        <v>74.0</v>
      </c>
      <c r="L1412" s="23">
        <v>3.0</v>
      </c>
      <c r="M1412" s="25" t="s">
        <v>6907</v>
      </c>
      <c r="N1412" s="22" t="str">
        <f t="shared" si="2"/>
        <v>920
MAR
s</v>
      </c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</row>
    <row r="1413">
      <c r="A1413" s="10">
        <v>1412.0</v>
      </c>
      <c r="B1413" s="12" t="s">
        <v>6908</v>
      </c>
      <c r="C1413" s="12" t="s">
        <v>262</v>
      </c>
      <c r="D1413" s="23"/>
      <c r="E1413" s="12"/>
      <c r="F1413" s="12" t="s">
        <v>888</v>
      </c>
      <c r="G1413" s="12"/>
      <c r="H1413" s="12" t="s">
        <v>6375</v>
      </c>
      <c r="I1413" s="23"/>
      <c r="J1413" s="12"/>
      <c r="K1413" s="23"/>
      <c r="L1413" s="24">
        <v>1.0</v>
      </c>
      <c r="M1413" s="12" t="s">
        <v>340</v>
      </c>
      <c r="N1413" s="22" t="str">
        <f t="shared" si="2"/>
        <v>
ICH
l</v>
      </c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</row>
    <row r="1414">
      <c r="A1414" s="10">
        <v>1413.0</v>
      </c>
      <c r="B1414" s="12" t="s">
        <v>6909</v>
      </c>
      <c r="C1414" s="12" t="s">
        <v>229</v>
      </c>
      <c r="D1414" s="23" t="s">
        <v>1856</v>
      </c>
      <c r="E1414" s="12" t="s">
        <v>2500</v>
      </c>
      <c r="F1414" s="12" t="s">
        <v>2559</v>
      </c>
      <c r="G1414" s="12" t="s">
        <v>5953</v>
      </c>
      <c r="H1414" s="12" t="s">
        <v>2560</v>
      </c>
      <c r="I1414" s="23" t="s">
        <v>6910</v>
      </c>
      <c r="J1414" s="12">
        <v>2018.0</v>
      </c>
      <c r="K1414" s="23">
        <v>48.0</v>
      </c>
      <c r="L1414" s="23">
        <v>1.0</v>
      </c>
      <c r="M1414" s="25" t="s">
        <v>6911</v>
      </c>
      <c r="N1414" s="22" t="str">
        <f t="shared" si="2"/>
        <v>398.2
TAT
s</v>
      </c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</row>
    <row r="1415">
      <c r="A1415" s="10">
        <v>1414.0</v>
      </c>
      <c r="B1415" s="12" t="s">
        <v>6912</v>
      </c>
      <c r="C1415" s="12" t="s">
        <v>262</v>
      </c>
      <c r="D1415" s="23">
        <v>923.0</v>
      </c>
      <c r="E1415" s="12" t="s">
        <v>2666</v>
      </c>
      <c r="F1415" s="12" t="s">
        <v>2667</v>
      </c>
      <c r="G1415" s="12"/>
      <c r="H1415" s="12" t="s">
        <v>6913</v>
      </c>
      <c r="I1415" s="23"/>
      <c r="J1415" s="12"/>
      <c r="K1415" s="23"/>
      <c r="L1415" s="24">
        <v>1.0</v>
      </c>
      <c r="M1415" s="25" t="s">
        <v>6914</v>
      </c>
      <c r="N1415" s="22" t="str">
        <f t="shared" si="2"/>
        <v>923
KAM
i</v>
      </c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</row>
    <row r="1416">
      <c r="A1416" s="10">
        <v>1415.0</v>
      </c>
      <c r="B1416" s="12" t="s">
        <v>6915</v>
      </c>
      <c r="C1416" s="12" t="s">
        <v>262</v>
      </c>
      <c r="D1416" s="23"/>
      <c r="E1416" s="12"/>
      <c r="F1416" s="12" t="s">
        <v>6916</v>
      </c>
      <c r="G1416" s="12" t="s">
        <v>6917</v>
      </c>
      <c r="H1416" s="12" t="s">
        <v>6918</v>
      </c>
      <c r="I1416" s="23"/>
      <c r="J1416" s="12">
        <v>2010.0</v>
      </c>
      <c r="K1416" s="23">
        <v>72.0</v>
      </c>
      <c r="L1416" s="23">
        <v>2.0</v>
      </c>
      <c r="M1416" s="12" t="s">
        <v>340</v>
      </c>
      <c r="N1416" s="22" t="str">
        <f t="shared" si="2"/>
        <v>
Drs
l</v>
      </c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</row>
    <row r="1417">
      <c r="A1417" s="10">
        <v>1416.0</v>
      </c>
      <c r="B1417" s="12" t="s">
        <v>6919</v>
      </c>
      <c r="C1417" s="12" t="s">
        <v>262</v>
      </c>
      <c r="D1417" s="23"/>
      <c r="E1417" s="12"/>
      <c r="F1417" s="12" t="s">
        <v>6920</v>
      </c>
      <c r="G1417" s="12" t="s">
        <v>340</v>
      </c>
      <c r="H1417" s="12" t="s">
        <v>6921</v>
      </c>
      <c r="I1417" s="23"/>
      <c r="J1417" s="12"/>
      <c r="K1417" s="23">
        <v>72.0</v>
      </c>
      <c r="L1417" s="24">
        <v>1.0</v>
      </c>
      <c r="M1417" s="12" t="s">
        <v>340</v>
      </c>
      <c r="N1417" s="22" t="str">
        <f t="shared" si="2"/>
        <v>
HAM
b</v>
      </c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</row>
    <row r="1418">
      <c r="A1418" s="10">
        <v>1417.0</v>
      </c>
      <c r="B1418" s="12" t="s">
        <v>6922</v>
      </c>
      <c r="C1418" s="12" t="s">
        <v>262</v>
      </c>
      <c r="D1418" s="23"/>
      <c r="E1418" s="12"/>
      <c r="F1418" s="12" t="s">
        <v>6923</v>
      </c>
      <c r="G1418" s="12" t="s">
        <v>518</v>
      </c>
      <c r="H1418" s="12" t="s">
        <v>3951</v>
      </c>
      <c r="I1418" s="23"/>
      <c r="J1418" s="12">
        <v>2008.0</v>
      </c>
      <c r="K1418" s="23">
        <v>92.0</v>
      </c>
      <c r="L1418" s="24">
        <v>1.0</v>
      </c>
      <c r="M1418" s="12" t="s">
        <v>340</v>
      </c>
      <c r="N1418" s="22" t="str">
        <f t="shared" si="2"/>
        <v>
AKH
m</v>
      </c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</row>
    <row r="1419">
      <c r="A1419" s="10">
        <v>1418.0</v>
      </c>
      <c r="B1419" s="12" t="s">
        <v>6924</v>
      </c>
      <c r="C1419" s="12" t="s">
        <v>262</v>
      </c>
      <c r="D1419" s="23">
        <v>920.0</v>
      </c>
      <c r="E1419" s="12" t="s">
        <v>3747</v>
      </c>
      <c r="F1419" s="12" t="s">
        <v>6925</v>
      </c>
      <c r="G1419" s="12" t="s">
        <v>6926</v>
      </c>
      <c r="H1419" s="12" t="s">
        <v>3670</v>
      </c>
      <c r="I1419" s="23"/>
      <c r="J1419" s="12">
        <v>2014.0</v>
      </c>
      <c r="K1419" s="23">
        <v>98.0</v>
      </c>
      <c r="L1419" s="23">
        <v>5.0</v>
      </c>
      <c r="M1419" s="25" t="s">
        <v>6927</v>
      </c>
      <c r="N1419" s="22" t="str">
        <f t="shared" si="2"/>
        <v>920
IWA
m</v>
      </c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</row>
    <row r="1420">
      <c r="A1420" s="10">
        <v>1419.0</v>
      </c>
      <c r="B1420" s="12" t="s">
        <v>6928</v>
      </c>
      <c r="C1420" s="12" t="s">
        <v>262</v>
      </c>
      <c r="D1420" s="23"/>
      <c r="E1420" s="12"/>
      <c r="F1420" s="12" t="s">
        <v>6925</v>
      </c>
      <c r="G1420" s="12" t="s">
        <v>6929</v>
      </c>
      <c r="H1420" s="12" t="s">
        <v>5090</v>
      </c>
      <c r="I1420" s="23"/>
      <c r="J1420" s="12">
        <v>2009.0</v>
      </c>
      <c r="K1420" s="23">
        <v>84.0</v>
      </c>
      <c r="L1420" s="23">
        <v>2.0</v>
      </c>
      <c r="M1420" s="12" t="s">
        <v>340</v>
      </c>
      <c r="N1420" s="22" t="str">
        <f t="shared" si="2"/>
        <v>
IWA
m</v>
      </c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</row>
    <row r="1421">
      <c r="A1421" s="10">
        <v>1420.0</v>
      </c>
      <c r="B1421" s="12" t="s">
        <v>6930</v>
      </c>
      <c r="C1421" s="12" t="s">
        <v>262</v>
      </c>
      <c r="D1421" s="23"/>
      <c r="E1421" s="12"/>
      <c r="F1421" s="12" t="s">
        <v>6931</v>
      </c>
      <c r="G1421" s="12" t="s">
        <v>518</v>
      </c>
      <c r="H1421" s="12" t="s">
        <v>6918</v>
      </c>
      <c r="I1421" s="23" t="s">
        <v>6932</v>
      </c>
      <c r="J1421" s="12">
        <v>2010.0</v>
      </c>
      <c r="K1421" s="23">
        <v>52.0</v>
      </c>
      <c r="L1421" s="24">
        <v>1.0</v>
      </c>
      <c r="M1421" s="12" t="s">
        <v>340</v>
      </c>
      <c r="N1421" s="22" t="str">
        <f t="shared" si="2"/>
        <v>
Drs
m</v>
      </c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</row>
    <row r="1422">
      <c r="A1422" s="10">
        <v>1421.0</v>
      </c>
      <c r="B1422" s="12" t="s">
        <v>6933</v>
      </c>
      <c r="C1422" s="12" t="s">
        <v>262</v>
      </c>
      <c r="D1422" s="23" t="s">
        <v>1938</v>
      </c>
      <c r="E1422" s="12" t="s">
        <v>1939</v>
      </c>
      <c r="F1422" s="12" t="s">
        <v>4450</v>
      </c>
      <c r="G1422" s="12" t="s">
        <v>1948</v>
      </c>
      <c r="H1422" s="12" t="s">
        <v>6934</v>
      </c>
      <c r="I1422" s="23" t="s">
        <v>6935</v>
      </c>
      <c r="J1422" s="12">
        <v>2015.0</v>
      </c>
      <c r="K1422" s="23">
        <v>104.0</v>
      </c>
      <c r="L1422" s="24">
        <v>1.0</v>
      </c>
      <c r="M1422" s="12" t="s">
        <v>340</v>
      </c>
      <c r="N1422" s="22" t="str">
        <f t="shared" si="2"/>
        <v>959.8
W. 
p</v>
      </c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</row>
    <row r="1423">
      <c r="A1423" s="10">
        <v>1422.0</v>
      </c>
      <c r="B1423" s="12" t="s">
        <v>6936</v>
      </c>
      <c r="C1423" s="12" t="s">
        <v>262</v>
      </c>
      <c r="D1423" s="23">
        <v>920.0</v>
      </c>
      <c r="E1423" s="12" t="s">
        <v>3747</v>
      </c>
      <c r="F1423" s="12" t="s">
        <v>4122</v>
      </c>
      <c r="G1423" s="12" t="s">
        <v>4123</v>
      </c>
      <c r="H1423" s="12" t="s">
        <v>4124</v>
      </c>
      <c r="I1423" s="23"/>
      <c r="J1423" s="12">
        <v>2013.0</v>
      </c>
      <c r="K1423" s="23">
        <v>60.0</v>
      </c>
      <c r="L1423" s="23">
        <v>3.0</v>
      </c>
      <c r="M1423" s="25" t="s">
        <v>6937</v>
      </c>
      <c r="N1423" s="22" t="str">
        <f t="shared" si="2"/>
        <v>920
AGU
p</v>
      </c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</row>
    <row r="1424">
      <c r="A1424" s="10">
        <v>1423.0</v>
      </c>
      <c r="B1424" s="12" t="s">
        <v>6938</v>
      </c>
      <c r="C1424" s="12" t="s">
        <v>262</v>
      </c>
      <c r="D1424" s="23">
        <v>920.0</v>
      </c>
      <c r="E1424" s="12" t="s">
        <v>6939</v>
      </c>
      <c r="F1424" s="12" t="s">
        <v>6940</v>
      </c>
      <c r="G1424" s="12" t="s">
        <v>6917</v>
      </c>
      <c r="H1424" s="12" t="s">
        <v>6918</v>
      </c>
      <c r="I1424" s="23">
        <v>9.789799331175E12</v>
      </c>
      <c r="J1424" s="12">
        <v>2010.0</v>
      </c>
      <c r="K1424" s="23">
        <v>58.0</v>
      </c>
      <c r="L1424" s="24">
        <v>1.0</v>
      </c>
      <c r="M1424" s="25" t="s">
        <v>6941</v>
      </c>
      <c r="N1424" s="22" t="str">
        <f t="shared" si="2"/>
        <v>920
MAR
r</v>
      </c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</row>
    <row r="1425">
      <c r="A1425" s="10">
        <v>1424.0</v>
      </c>
      <c r="B1425" s="12" t="s">
        <v>6878</v>
      </c>
      <c r="C1425" s="12" t="s">
        <v>262</v>
      </c>
      <c r="D1425" s="23"/>
      <c r="E1425" s="12"/>
      <c r="F1425" s="12" t="s">
        <v>6942</v>
      </c>
      <c r="G1425" s="12"/>
      <c r="H1425" s="12" t="s">
        <v>623</v>
      </c>
      <c r="I1425" s="23"/>
      <c r="J1425" s="12">
        <v>2015.0</v>
      </c>
      <c r="K1425" s="23">
        <v>52.0</v>
      </c>
      <c r="L1425" s="23">
        <v>2.0</v>
      </c>
      <c r="M1425" s="12" t="s">
        <v>340</v>
      </c>
      <c r="N1425" s="22" t="str">
        <f t="shared" si="2"/>
        <v>
A.M
s</v>
      </c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</row>
    <row r="1426">
      <c r="A1426" s="10">
        <v>1425.0</v>
      </c>
      <c r="B1426" s="12" t="s">
        <v>6943</v>
      </c>
      <c r="C1426" s="12" t="s">
        <v>262</v>
      </c>
      <c r="D1426" s="23">
        <v>920.0</v>
      </c>
      <c r="E1426" s="12" t="s">
        <v>3747</v>
      </c>
      <c r="F1426" s="12" t="s">
        <v>6944</v>
      </c>
      <c r="G1426" s="12" t="s">
        <v>6945</v>
      </c>
      <c r="H1426" s="12" t="s">
        <v>689</v>
      </c>
      <c r="I1426" s="23"/>
      <c r="J1426" s="12">
        <v>2000.0</v>
      </c>
      <c r="K1426" s="23">
        <v>111.0</v>
      </c>
      <c r="L1426" s="23">
        <v>2.0</v>
      </c>
      <c r="M1426" s="25" t="s">
        <v>6946</v>
      </c>
      <c r="N1426" s="22" t="str">
        <f t="shared" si="2"/>
        <v>920
REB
t</v>
      </c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</row>
    <row r="1427">
      <c r="A1427" s="10">
        <v>1426.0</v>
      </c>
      <c r="B1427" s="12" t="s">
        <v>6947</v>
      </c>
      <c r="C1427" s="12" t="s">
        <v>262</v>
      </c>
      <c r="D1427" s="23"/>
      <c r="E1427" s="12"/>
      <c r="F1427" s="12" t="s">
        <v>6826</v>
      </c>
      <c r="G1427" s="12"/>
      <c r="H1427" s="12" t="s">
        <v>1900</v>
      </c>
      <c r="I1427" s="23"/>
      <c r="J1427" s="12">
        <v>2009.0</v>
      </c>
      <c r="K1427" s="23">
        <v>56.0</v>
      </c>
      <c r="L1427" s="24">
        <v>1.0</v>
      </c>
      <c r="M1427" s="12" t="s">
        <v>340</v>
      </c>
      <c r="N1427" s="22" t="str">
        <f t="shared" si="2"/>
        <v>
R.M
s</v>
      </c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</row>
    <row r="1428">
      <c r="A1428" s="10">
        <v>1427.0</v>
      </c>
      <c r="B1428" s="12" t="s">
        <v>6948</v>
      </c>
      <c r="C1428" s="12" t="s">
        <v>262</v>
      </c>
      <c r="D1428" s="23"/>
      <c r="E1428" s="12"/>
      <c r="F1428" s="12" t="s">
        <v>3900</v>
      </c>
      <c r="G1428" s="12"/>
      <c r="H1428" s="12"/>
      <c r="I1428" s="23"/>
      <c r="J1428" s="12"/>
      <c r="K1428" s="23"/>
      <c r="L1428" s="24">
        <v>1.0</v>
      </c>
      <c r="M1428" s="12" t="s">
        <v>340</v>
      </c>
      <c r="N1428" s="22" t="str">
        <f t="shared" si="2"/>
        <v>
TIM
s</v>
      </c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</row>
    <row r="1429">
      <c r="A1429" s="10">
        <v>1428.0</v>
      </c>
      <c r="B1429" s="12" t="s">
        <v>6949</v>
      </c>
      <c r="C1429" s="12" t="s">
        <v>262</v>
      </c>
      <c r="D1429" s="23"/>
      <c r="E1429" s="12"/>
      <c r="F1429" s="12" t="s">
        <v>5022</v>
      </c>
      <c r="G1429" s="12" t="s">
        <v>2586</v>
      </c>
      <c r="H1429" s="12" t="s">
        <v>2587</v>
      </c>
      <c r="I1429" s="23" t="s">
        <v>6950</v>
      </c>
      <c r="J1429" s="12">
        <v>2010.0</v>
      </c>
      <c r="K1429" s="23">
        <v>54.0</v>
      </c>
      <c r="L1429" s="24">
        <v>1.0</v>
      </c>
      <c r="M1429" s="12" t="s">
        <v>340</v>
      </c>
      <c r="N1429" s="22" t="str">
        <f t="shared" si="2"/>
        <v>
DRS
t</v>
      </c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</row>
    <row r="1430">
      <c r="A1430" s="10">
        <v>1429.0</v>
      </c>
      <c r="B1430" s="12" t="s">
        <v>6951</v>
      </c>
      <c r="C1430" s="12" t="s">
        <v>262</v>
      </c>
      <c r="D1430" s="23"/>
      <c r="E1430" s="12"/>
      <c r="F1430" s="12" t="s">
        <v>1610</v>
      </c>
      <c r="G1430" s="12" t="s">
        <v>6952</v>
      </c>
      <c r="H1430" s="12" t="s">
        <v>653</v>
      </c>
      <c r="I1430" s="23" t="s">
        <v>6953</v>
      </c>
      <c r="J1430" s="12">
        <v>2016.0</v>
      </c>
      <c r="K1430" s="23">
        <v>44.0</v>
      </c>
      <c r="L1430" s="24">
        <v>1.0</v>
      </c>
      <c r="M1430" s="12" t="s">
        <v>340</v>
      </c>
      <c r="N1430" s="22" t="str">
        <f t="shared" si="2"/>
        <v>
IRW
a</v>
      </c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</row>
    <row r="1431">
      <c r="A1431" s="10">
        <v>1430.0</v>
      </c>
      <c r="B1431" s="12" t="s">
        <v>6954</v>
      </c>
      <c r="C1431" s="12" t="s">
        <v>262</v>
      </c>
      <c r="D1431" s="23"/>
      <c r="E1431" s="12"/>
      <c r="F1431" s="12" t="s">
        <v>6955</v>
      </c>
      <c r="G1431" s="12"/>
      <c r="H1431" s="12" t="s">
        <v>3732</v>
      </c>
      <c r="I1431" s="23"/>
      <c r="J1431" s="12">
        <v>1997.0</v>
      </c>
      <c r="K1431" s="23">
        <v>71.0</v>
      </c>
      <c r="L1431" s="24">
        <v>1.0</v>
      </c>
      <c r="M1431" s="12" t="s">
        <v>340</v>
      </c>
      <c r="N1431" s="22" t="str">
        <f t="shared" si="2"/>
        <v>
S. 
m</v>
      </c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</row>
    <row r="1432">
      <c r="A1432" s="10">
        <v>1431.0</v>
      </c>
      <c r="B1432" s="12" t="s">
        <v>6956</v>
      </c>
      <c r="C1432" s="12" t="s">
        <v>262</v>
      </c>
      <c r="D1432" s="23">
        <v>920.0</v>
      </c>
      <c r="E1432" s="12" t="s">
        <v>3747</v>
      </c>
      <c r="F1432" s="12" t="s">
        <v>6957</v>
      </c>
      <c r="G1432" s="12"/>
      <c r="H1432" s="12" t="s">
        <v>5207</v>
      </c>
      <c r="I1432" s="23"/>
      <c r="J1432" s="12">
        <v>2011.0</v>
      </c>
      <c r="K1432" s="23">
        <v>93.0</v>
      </c>
      <c r="L1432" s="23">
        <v>1.0</v>
      </c>
      <c r="M1432" s="25" t="s">
        <v>6958</v>
      </c>
      <c r="N1432" s="22" t="str">
        <f t="shared" si="2"/>
        <v>920
DIA
p</v>
      </c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</row>
    <row r="1433">
      <c r="A1433" s="10">
        <v>1432.0</v>
      </c>
      <c r="B1433" s="12" t="s">
        <v>6959</v>
      </c>
      <c r="C1433" s="12" t="s">
        <v>262</v>
      </c>
      <c r="D1433" s="23">
        <v>920.0</v>
      </c>
      <c r="E1433" s="12" t="s">
        <v>3747</v>
      </c>
      <c r="F1433" s="12" t="s">
        <v>3900</v>
      </c>
      <c r="G1433" s="12" t="s">
        <v>4122</v>
      </c>
      <c r="H1433" s="12" t="s">
        <v>653</v>
      </c>
      <c r="I1433" s="23" t="s">
        <v>6960</v>
      </c>
      <c r="J1433" s="12">
        <v>2016.0</v>
      </c>
      <c r="K1433" s="23">
        <v>59.0</v>
      </c>
      <c r="L1433" s="23">
        <v>4.0</v>
      </c>
      <c r="M1433" s="25" t="s">
        <v>6961</v>
      </c>
      <c r="N1433" s="22" t="str">
        <f t="shared" si="2"/>
        <v>920
TIM
a</v>
      </c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</row>
    <row r="1434">
      <c r="A1434" s="10">
        <v>1433.0</v>
      </c>
      <c r="B1434" s="12" t="s">
        <v>6962</v>
      </c>
      <c r="C1434" s="12" t="s">
        <v>262</v>
      </c>
      <c r="D1434" s="23"/>
      <c r="E1434" s="12"/>
      <c r="F1434" s="12" t="s">
        <v>6963</v>
      </c>
      <c r="G1434" s="12" t="s">
        <v>6880</v>
      </c>
      <c r="H1434" s="12" t="s">
        <v>6881</v>
      </c>
      <c r="I1434" s="23"/>
      <c r="J1434" s="12">
        <v>2010.0</v>
      </c>
      <c r="K1434" s="23">
        <v>76.0</v>
      </c>
      <c r="L1434" s="23">
        <v>2.0</v>
      </c>
      <c r="M1434" s="12" t="s">
        <v>340</v>
      </c>
      <c r="N1434" s="22" t="str">
        <f t="shared" si="2"/>
        <v>
DRS
s</v>
      </c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</row>
    <row r="1435">
      <c r="A1435" s="10">
        <v>1434.0</v>
      </c>
      <c r="B1435" s="12" t="s">
        <v>6964</v>
      </c>
      <c r="C1435" s="12" t="s">
        <v>262</v>
      </c>
      <c r="D1435" s="23"/>
      <c r="E1435" s="12"/>
      <c r="F1435" s="12" t="s">
        <v>6965</v>
      </c>
      <c r="G1435" s="12" t="s">
        <v>4122</v>
      </c>
      <c r="H1435" s="12" t="s">
        <v>646</v>
      </c>
      <c r="I1435" s="23">
        <v>9.786028395021E12</v>
      </c>
      <c r="J1435" s="12">
        <v>2016.0</v>
      </c>
      <c r="K1435" s="23">
        <v>68.0</v>
      </c>
      <c r="L1435" s="23">
        <v>3.0</v>
      </c>
      <c r="M1435" s="12" t="s">
        <v>340</v>
      </c>
      <c r="N1435" s="22" t="str">
        <f t="shared" si="2"/>
        <v>
ERL
b</v>
      </c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</row>
    <row r="1436">
      <c r="A1436" s="10">
        <v>1435.0</v>
      </c>
      <c r="B1436" s="12" t="s">
        <v>6966</v>
      </c>
      <c r="C1436" s="12" t="s">
        <v>262</v>
      </c>
      <c r="D1436" s="23">
        <v>920.0</v>
      </c>
      <c r="E1436" s="12" t="s">
        <v>3747</v>
      </c>
      <c r="F1436" s="12" t="s">
        <v>1610</v>
      </c>
      <c r="G1436" s="12" t="s">
        <v>6967</v>
      </c>
      <c r="H1436" s="12" t="s">
        <v>653</v>
      </c>
      <c r="I1436" s="23" t="s">
        <v>6968</v>
      </c>
      <c r="J1436" s="12">
        <v>2016.0</v>
      </c>
      <c r="K1436" s="23">
        <v>44.0</v>
      </c>
      <c r="L1436" s="23">
        <v>2.0</v>
      </c>
      <c r="M1436" s="25" t="s">
        <v>6969</v>
      </c>
      <c r="N1436" s="22" t="str">
        <f t="shared" si="2"/>
        <v>920
IRW
a</v>
      </c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</row>
    <row r="1437">
      <c r="A1437" s="10">
        <v>1436.0</v>
      </c>
      <c r="B1437" s="12" t="s">
        <v>6970</v>
      </c>
      <c r="C1437" s="12" t="s">
        <v>262</v>
      </c>
      <c r="D1437" s="23"/>
      <c r="E1437" s="12"/>
      <c r="F1437" s="12" t="s">
        <v>4122</v>
      </c>
      <c r="G1437" s="12"/>
      <c r="H1437" s="12" t="s">
        <v>4124</v>
      </c>
      <c r="I1437" s="23"/>
      <c r="J1437" s="12">
        <v>2013.0</v>
      </c>
      <c r="K1437" s="23">
        <v>58.0</v>
      </c>
      <c r="L1437" s="23">
        <v>3.0</v>
      </c>
      <c r="M1437" s="12" t="s">
        <v>340</v>
      </c>
      <c r="N1437" s="22" t="str">
        <f t="shared" si="2"/>
        <v>
AGU
a</v>
      </c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</row>
    <row r="1438">
      <c r="A1438" s="10">
        <v>1437.0</v>
      </c>
      <c r="B1438" s="12" t="s">
        <v>6971</v>
      </c>
      <c r="C1438" s="12" t="s">
        <v>262</v>
      </c>
      <c r="D1438" s="23" t="s">
        <v>1938</v>
      </c>
      <c r="E1438" s="12" t="s">
        <v>1939</v>
      </c>
      <c r="F1438" s="12"/>
      <c r="G1438" s="12"/>
      <c r="H1438" s="121" t="s">
        <v>6972</v>
      </c>
      <c r="I1438" s="23"/>
      <c r="J1438" s="12"/>
      <c r="K1438" s="23">
        <v>22.0</v>
      </c>
      <c r="L1438" s="23">
        <v>2.0</v>
      </c>
      <c r="M1438" s="12" t="s">
        <v>340</v>
      </c>
      <c r="N1438" s="22" t="str">
        <f t="shared" si="2"/>
        <v>959.8
p</v>
      </c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</row>
    <row r="1439">
      <c r="A1439" s="10">
        <v>1438.0</v>
      </c>
      <c r="B1439" s="12" t="s">
        <v>6973</v>
      </c>
      <c r="C1439" s="12" t="s">
        <v>262</v>
      </c>
      <c r="D1439" s="23"/>
      <c r="E1439" s="12"/>
      <c r="F1439" s="12" t="s">
        <v>6974</v>
      </c>
      <c r="G1439" s="12" t="s">
        <v>6975</v>
      </c>
      <c r="H1439" s="12" t="s">
        <v>623</v>
      </c>
      <c r="I1439" s="23"/>
      <c r="J1439" s="12">
        <v>2014.0</v>
      </c>
      <c r="K1439" s="23">
        <v>56.0</v>
      </c>
      <c r="L1439" s="23">
        <v>3.0</v>
      </c>
      <c r="M1439" s="12" t="s">
        <v>340</v>
      </c>
      <c r="N1439" s="22" t="str">
        <f t="shared" si="2"/>
        <v>
A.M
c</v>
      </c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</row>
    <row r="1440">
      <c r="A1440" s="10">
        <v>1439.0</v>
      </c>
      <c r="B1440" s="12" t="s">
        <v>6976</v>
      </c>
      <c r="C1440" s="12" t="s">
        <v>262</v>
      </c>
      <c r="D1440" s="23"/>
      <c r="E1440" s="12"/>
      <c r="F1440" s="12" t="s">
        <v>6974</v>
      </c>
      <c r="G1440" s="12" t="s">
        <v>6977</v>
      </c>
      <c r="H1440" s="12" t="s">
        <v>623</v>
      </c>
      <c r="I1440" s="23"/>
      <c r="J1440" s="12">
        <v>2014.0</v>
      </c>
      <c r="K1440" s="23">
        <v>52.0</v>
      </c>
      <c r="L1440" s="24">
        <v>1.0</v>
      </c>
      <c r="M1440" s="12" t="s">
        <v>340</v>
      </c>
      <c r="N1440" s="22" t="str">
        <f t="shared" si="2"/>
        <v>
A.M
c</v>
      </c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</row>
    <row r="1441">
      <c r="A1441" s="10">
        <v>1440.0</v>
      </c>
      <c r="B1441" s="12" t="s">
        <v>6978</v>
      </c>
      <c r="C1441" s="12" t="s">
        <v>262</v>
      </c>
      <c r="D1441" s="23">
        <v>920.0</v>
      </c>
      <c r="E1441" s="12" t="s">
        <v>3747</v>
      </c>
      <c r="F1441" s="12" t="s">
        <v>4122</v>
      </c>
      <c r="G1441" s="12"/>
      <c r="H1441" s="12" t="s">
        <v>4124</v>
      </c>
      <c r="I1441" s="23"/>
      <c r="J1441" s="12">
        <v>2013.0</v>
      </c>
      <c r="K1441" s="23">
        <v>60.0</v>
      </c>
      <c r="L1441" s="23">
        <v>2.0</v>
      </c>
      <c r="M1441" s="25" t="s">
        <v>6979</v>
      </c>
      <c r="N1441" s="22" t="str">
        <f t="shared" si="2"/>
        <v>920
AGU
h</v>
      </c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</row>
    <row r="1442">
      <c r="A1442" s="10">
        <v>1441.0</v>
      </c>
      <c r="B1442" s="12" t="s">
        <v>6980</v>
      </c>
      <c r="C1442" s="12" t="s">
        <v>262</v>
      </c>
      <c r="D1442" s="23" t="s">
        <v>6981</v>
      </c>
      <c r="E1442" s="12" t="s">
        <v>6980</v>
      </c>
      <c r="F1442" s="12" t="s">
        <v>2652</v>
      </c>
      <c r="G1442" s="12" t="s">
        <v>6982</v>
      </c>
      <c r="H1442" s="12" t="s">
        <v>2654</v>
      </c>
      <c r="I1442" s="23" t="s">
        <v>6983</v>
      </c>
      <c r="J1442" s="12">
        <v>2015.0</v>
      </c>
      <c r="K1442" s="23">
        <v>64.0</v>
      </c>
      <c r="L1442" s="23">
        <v>2.0</v>
      </c>
      <c r="M1442" s="25" t="s">
        <v>6984</v>
      </c>
      <c r="N1442" s="22" t="str">
        <f t="shared" si="2"/>
        <v>940.53
WAH
p</v>
      </c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</row>
    <row r="1443">
      <c r="A1443" s="10">
        <v>1442.0</v>
      </c>
      <c r="B1443" s="12" t="s">
        <v>6985</v>
      </c>
      <c r="C1443" s="12" t="s">
        <v>262</v>
      </c>
      <c r="D1443" s="23"/>
      <c r="E1443" s="12"/>
      <c r="F1443" s="12" t="s">
        <v>5752</v>
      </c>
      <c r="G1443" s="12" t="s">
        <v>518</v>
      </c>
      <c r="H1443" s="12" t="s">
        <v>2565</v>
      </c>
      <c r="I1443" s="23">
        <v>9.789792417449E12</v>
      </c>
      <c r="J1443" s="12">
        <v>2009.0</v>
      </c>
      <c r="K1443" s="23">
        <v>64.0</v>
      </c>
      <c r="L1443" s="23">
        <v>3.0</v>
      </c>
      <c r="M1443" s="12" t="s">
        <v>340</v>
      </c>
      <c r="N1443" s="22" t="str">
        <f t="shared" si="2"/>
        <v>
NAR
s</v>
      </c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</row>
    <row r="1444">
      <c r="A1444" s="10">
        <v>1443.0</v>
      </c>
      <c r="B1444" s="12" t="s">
        <v>6986</v>
      </c>
      <c r="C1444" s="12" t="s">
        <v>262</v>
      </c>
      <c r="D1444" s="23">
        <v>920.0</v>
      </c>
      <c r="E1444" s="12" t="s">
        <v>3747</v>
      </c>
      <c r="F1444" s="12" t="s">
        <v>6987</v>
      </c>
      <c r="G1444" s="12" t="s">
        <v>2253</v>
      </c>
      <c r="H1444" s="12" t="s">
        <v>4465</v>
      </c>
      <c r="I1444" s="23" t="s">
        <v>6988</v>
      </c>
      <c r="J1444" s="12">
        <v>2013.0</v>
      </c>
      <c r="K1444" s="23">
        <v>148.0</v>
      </c>
      <c r="L1444" s="24">
        <v>1.0</v>
      </c>
      <c r="M1444" s="25" t="s">
        <v>6989</v>
      </c>
      <c r="N1444" s="22" t="str">
        <f t="shared" si="2"/>
        <v>920
NAZ
q</v>
      </c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</row>
    <row r="1445">
      <c r="A1445" s="10">
        <v>1444.0</v>
      </c>
      <c r="B1445" s="12" t="s">
        <v>6990</v>
      </c>
      <c r="C1445" s="12" t="s">
        <v>262</v>
      </c>
      <c r="D1445" s="23">
        <v>920.0</v>
      </c>
      <c r="E1445" s="12" t="s">
        <v>3747</v>
      </c>
      <c r="F1445" s="12" t="s">
        <v>2712</v>
      </c>
      <c r="G1445" s="12" t="s">
        <v>1933</v>
      </c>
      <c r="H1445" s="12" t="s">
        <v>2647</v>
      </c>
      <c r="I1445" s="23" t="s">
        <v>5707</v>
      </c>
      <c r="J1445" s="12">
        <v>2015.0</v>
      </c>
      <c r="K1445" s="23">
        <v>68.0</v>
      </c>
      <c r="L1445" s="23">
        <v>2.0</v>
      </c>
      <c r="M1445" s="12" t="s">
        <v>340</v>
      </c>
      <c r="N1445" s="22" t="str">
        <f t="shared" si="2"/>
        <v>920
BER
s</v>
      </c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</row>
    <row r="1446">
      <c r="A1446" s="10">
        <v>1445.0</v>
      </c>
      <c r="B1446" s="12" t="s">
        <v>6991</v>
      </c>
      <c r="C1446" s="12" t="s">
        <v>262</v>
      </c>
      <c r="D1446" s="23"/>
      <c r="E1446" s="12"/>
      <c r="F1446" s="12" t="s">
        <v>6992</v>
      </c>
      <c r="G1446" s="12"/>
      <c r="H1446" s="12" t="s">
        <v>1742</v>
      </c>
      <c r="I1446" s="23" t="s">
        <v>6993</v>
      </c>
      <c r="J1446" s="12">
        <v>2018.0</v>
      </c>
      <c r="K1446" s="23">
        <v>180.0</v>
      </c>
      <c r="L1446" s="24">
        <v>1.0</v>
      </c>
      <c r="M1446" s="12" t="s">
        <v>340</v>
      </c>
      <c r="N1446" s="22" t="str">
        <f t="shared" si="2"/>
        <v>
SAN
s</v>
      </c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</row>
    <row r="1447">
      <c r="A1447" s="10">
        <v>1446.0</v>
      </c>
      <c r="B1447" s="12" t="s">
        <v>6994</v>
      </c>
      <c r="C1447" s="12" t="s">
        <v>262</v>
      </c>
      <c r="D1447" s="23"/>
      <c r="E1447" s="12"/>
      <c r="F1447" s="12" t="s">
        <v>6995</v>
      </c>
      <c r="G1447" s="12" t="s">
        <v>6996</v>
      </c>
      <c r="H1447" s="12" t="s">
        <v>6997</v>
      </c>
      <c r="I1447" s="23" t="s">
        <v>6998</v>
      </c>
      <c r="J1447" s="12">
        <v>2014.0</v>
      </c>
      <c r="K1447" s="23">
        <v>119.0</v>
      </c>
      <c r="L1447" s="24">
        <v>1.0</v>
      </c>
      <c r="M1447" s="12" t="s">
        <v>340</v>
      </c>
      <c r="N1447" s="22" t="str">
        <f t="shared" si="2"/>
        <v>
RIN
i</v>
      </c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</row>
    <row r="1448">
      <c r="A1448" s="10">
        <v>1447.0</v>
      </c>
      <c r="B1448" s="12" t="s">
        <v>6999</v>
      </c>
      <c r="C1448" s="12" t="s">
        <v>262</v>
      </c>
      <c r="D1448" s="23" t="s">
        <v>1938</v>
      </c>
      <c r="E1448" s="12" t="s">
        <v>1939</v>
      </c>
      <c r="F1448" s="12" t="s">
        <v>7000</v>
      </c>
      <c r="G1448" s="12" t="s">
        <v>7001</v>
      </c>
      <c r="H1448" s="12" t="s">
        <v>7002</v>
      </c>
      <c r="I1448" s="23" t="s">
        <v>7003</v>
      </c>
      <c r="J1448" s="12">
        <v>1991.0</v>
      </c>
      <c r="K1448" s="23">
        <v>157.0</v>
      </c>
      <c r="L1448" s="24">
        <v>1.0</v>
      </c>
      <c r="M1448" s="25" t="s">
        <v>7004</v>
      </c>
      <c r="N1448" s="22" t="str">
        <f t="shared" si="2"/>
        <v>959.8
DRS
p</v>
      </c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</row>
    <row r="1449">
      <c r="A1449" s="10">
        <v>1448.0</v>
      </c>
      <c r="B1449" s="12" t="s">
        <v>7005</v>
      </c>
      <c r="C1449" s="12" t="s">
        <v>262</v>
      </c>
      <c r="D1449" s="23">
        <v>920.0</v>
      </c>
      <c r="E1449" s="12" t="s">
        <v>3747</v>
      </c>
      <c r="F1449" s="12" t="s">
        <v>2308</v>
      </c>
      <c r="G1449" s="12" t="s">
        <v>107</v>
      </c>
      <c r="H1449" s="12" t="s">
        <v>253</v>
      </c>
      <c r="I1449" s="23" t="s">
        <v>7006</v>
      </c>
      <c r="J1449" s="12">
        <v>2015.0</v>
      </c>
      <c r="K1449" s="23">
        <v>68.0</v>
      </c>
      <c r="L1449" s="23">
        <v>3.0</v>
      </c>
      <c r="M1449" s="25" t="s">
        <v>7007</v>
      </c>
      <c r="N1449" s="22" t="str">
        <f t="shared" si="2"/>
        <v>920
HET
k</v>
      </c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</row>
    <row r="1450">
      <c r="A1450" s="10">
        <v>1449.0</v>
      </c>
      <c r="B1450" s="12" t="s">
        <v>7008</v>
      </c>
      <c r="C1450" s="12" t="s">
        <v>262</v>
      </c>
      <c r="D1450" s="23">
        <v>920.0</v>
      </c>
      <c r="E1450" s="12" t="s">
        <v>3747</v>
      </c>
      <c r="F1450" s="12" t="s">
        <v>4122</v>
      </c>
      <c r="G1450" s="12" t="s">
        <v>7009</v>
      </c>
      <c r="H1450" s="12" t="s">
        <v>4124</v>
      </c>
      <c r="I1450" s="23"/>
      <c r="J1450" s="12">
        <v>2013.0</v>
      </c>
      <c r="K1450" s="23">
        <v>58.0</v>
      </c>
      <c r="L1450" s="23">
        <v>4.0</v>
      </c>
      <c r="M1450" s="25" t="s">
        <v>7010</v>
      </c>
      <c r="N1450" s="22" t="str">
        <f t="shared" si="2"/>
        <v>920
AGU
k</v>
      </c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</row>
    <row r="1451">
      <c r="A1451" s="10">
        <v>1450.0</v>
      </c>
      <c r="B1451" s="12" t="s">
        <v>7011</v>
      </c>
      <c r="C1451" s="12" t="s">
        <v>262</v>
      </c>
      <c r="D1451" s="23"/>
      <c r="E1451" s="12"/>
      <c r="F1451" s="12" t="s">
        <v>7012</v>
      </c>
      <c r="G1451" s="12"/>
      <c r="H1451" s="12" t="s">
        <v>2609</v>
      </c>
      <c r="I1451" s="23"/>
      <c r="J1451" s="12"/>
      <c r="K1451" s="23">
        <v>160.0</v>
      </c>
      <c r="L1451" s="24">
        <v>1.0</v>
      </c>
      <c r="M1451" s="12" t="s">
        <v>340</v>
      </c>
      <c r="N1451" s="22" t="str">
        <f t="shared" si="2"/>
        <v>
MB.
k</v>
      </c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</row>
    <row r="1452">
      <c r="A1452" s="10">
        <v>1451.0</v>
      </c>
      <c r="B1452" s="12" t="s">
        <v>7013</v>
      </c>
      <c r="C1452" s="12" t="s">
        <v>226</v>
      </c>
      <c r="D1452" s="23" t="s">
        <v>7014</v>
      </c>
      <c r="E1452" s="12" t="s">
        <v>6939</v>
      </c>
      <c r="F1452" s="12" t="s">
        <v>7015</v>
      </c>
      <c r="G1452" s="12" t="s">
        <v>7016</v>
      </c>
      <c r="H1452" s="12" t="s">
        <v>646</v>
      </c>
      <c r="I1452" s="23" t="s">
        <v>7017</v>
      </c>
      <c r="J1452" s="12">
        <v>2015.0</v>
      </c>
      <c r="K1452" s="23">
        <v>220.0</v>
      </c>
      <c r="L1452" s="23">
        <v>2.0</v>
      </c>
      <c r="M1452" s="25" t="s">
        <v>7018</v>
      </c>
      <c r="N1452" s="22" t="str">
        <f t="shared" si="2"/>
        <v>297.61
DR.
j</v>
      </c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</row>
    <row r="1453">
      <c r="A1453" s="10">
        <v>1452.0</v>
      </c>
      <c r="B1453" s="12" t="s">
        <v>7019</v>
      </c>
      <c r="C1453" s="12" t="s">
        <v>262</v>
      </c>
      <c r="D1453" s="23" t="s">
        <v>7020</v>
      </c>
      <c r="E1453" s="12" t="s">
        <v>7021</v>
      </c>
      <c r="F1453" s="12" t="s">
        <v>7022</v>
      </c>
      <c r="G1453" s="12" t="s">
        <v>7023</v>
      </c>
      <c r="H1453" s="12" t="s">
        <v>646</v>
      </c>
      <c r="I1453" s="23" t="s">
        <v>7024</v>
      </c>
      <c r="J1453" s="12">
        <v>2015.0</v>
      </c>
      <c r="K1453" s="23">
        <v>544.0</v>
      </c>
      <c r="L1453" s="23">
        <v>2.0</v>
      </c>
      <c r="M1453" s="12" t="s">
        <v>340</v>
      </c>
      <c r="N1453" s="22" t="str">
        <f t="shared" si="2"/>
        <v>920.72
REA
p</v>
      </c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</row>
    <row r="1454">
      <c r="A1454" s="10">
        <v>1453.0</v>
      </c>
      <c r="B1454" s="12" t="s">
        <v>7025</v>
      </c>
      <c r="C1454" s="12" t="s">
        <v>262</v>
      </c>
      <c r="D1454" s="23" t="s">
        <v>6797</v>
      </c>
      <c r="E1454" s="12" t="s">
        <v>7026</v>
      </c>
      <c r="F1454" s="12" t="s">
        <v>1330</v>
      </c>
      <c r="G1454" s="12" t="s">
        <v>7027</v>
      </c>
      <c r="H1454" s="12" t="s">
        <v>623</v>
      </c>
      <c r="I1454" s="23"/>
      <c r="J1454" s="12">
        <v>2014.0</v>
      </c>
      <c r="K1454" s="23">
        <v>52.0</v>
      </c>
      <c r="L1454" s="24">
        <v>1.0</v>
      </c>
      <c r="M1454" s="12" t="s">
        <v>340</v>
      </c>
      <c r="N1454" s="22" t="str">
        <f t="shared" si="2"/>
        <v>915.98
RIS
a</v>
      </c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</row>
    <row r="1455">
      <c r="A1455" s="10">
        <v>1454.0</v>
      </c>
      <c r="B1455" s="12" t="s">
        <v>7028</v>
      </c>
      <c r="C1455" s="12" t="s">
        <v>262</v>
      </c>
      <c r="D1455" s="23">
        <v>930.0</v>
      </c>
      <c r="E1455" s="12" t="s">
        <v>7029</v>
      </c>
      <c r="F1455" s="12" t="s">
        <v>7030</v>
      </c>
      <c r="G1455" s="12" t="s">
        <v>5133</v>
      </c>
      <c r="H1455" s="12" t="s">
        <v>7031</v>
      </c>
      <c r="I1455" s="23" t="s">
        <v>7032</v>
      </c>
      <c r="J1455" s="12">
        <v>2015.0</v>
      </c>
      <c r="K1455" s="23">
        <v>74.0</v>
      </c>
      <c r="L1455" s="24">
        <v>1.0</v>
      </c>
      <c r="M1455" s="25" t="s">
        <v>7033</v>
      </c>
      <c r="N1455" s="22" t="str">
        <f t="shared" si="2"/>
        <v>930
HER
m</v>
      </c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</row>
    <row r="1456">
      <c r="A1456" s="10">
        <v>1455.0</v>
      </c>
      <c r="B1456" s="12" t="s">
        <v>7034</v>
      </c>
      <c r="C1456" s="12" t="s">
        <v>262</v>
      </c>
      <c r="D1456" s="23"/>
      <c r="E1456" s="12"/>
      <c r="F1456" s="12" t="s">
        <v>7035</v>
      </c>
      <c r="G1456" s="12" t="s">
        <v>3360</v>
      </c>
      <c r="H1456" s="12" t="s">
        <v>3957</v>
      </c>
      <c r="I1456" s="23" t="s">
        <v>7036</v>
      </c>
      <c r="J1456" s="12">
        <v>2015.0</v>
      </c>
      <c r="K1456" s="23">
        <v>74.0</v>
      </c>
      <c r="L1456" s="24">
        <v>1.0</v>
      </c>
      <c r="M1456" s="12" t="s">
        <v>340</v>
      </c>
      <c r="N1456" s="22" t="str">
        <f t="shared" si="2"/>
        <v>
YUN
m</v>
      </c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</row>
    <row r="1457">
      <c r="A1457" s="10">
        <v>1456.0</v>
      </c>
      <c r="B1457" s="12" t="s">
        <v>7037</v>
      </c>
      <c r="C1457" s="12" t="s">
        <v>262</v>
      </c>
      <c r="D1457" s="23" t="s">
        <v>7038</v>
      </c>
      <c r="E1457" s="12" t="s">
        <v>7039</v>
      </c>
      <c r="F1457" s="12" t="s">
        <v>7035</v>
      </c>
      <c r="G1457" s="12" t="s">
        <v>3477</v>
      </c>
      <c r="H1457" s="12" t="s">
        <v>3100</v>
      </c>
      <c r="I1457" s="23" t="s">
        <v>7040</v>
      </c>
      <c r="J1457" s="12">
        <v>2015.0</v>
      </c>
      <c r="K1457" s="23">
        <v>76.0</v>
      </c>
      <c r="L1457" s="24">
        <v>1.0</v>
      </c>
      <c r="M1457" s="12" t="s">
        <v>340</v>
      </c>
      <c r="N1457" s="22" t="str">
        <f t="shared" si="2"/>
        <v>910.4
YUN
m</v>
      </c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</row>
    <row r="1458">
      <c r="A1458" s="10">
        <v>1457.0</v>
      </c>
      <c r="B1458" s="12" t="s">
        <v>7041</v>
      </c>
      <c r="C1458" s="12" t="s">
        <v>262</v>
      </c>
      <c r="D1458" s="23"/>
      <c r="E1458" s="12"/>
      <c r="F1458" s="12" t="s">
        <v>732</v>
      </c>
      <c r="G1458" s="12" t="s">
        <v>733</v>
      </c>
      <c r="H1458" s="12" t="s">
        <v>7042</v>
      </c>
      <c r="I1458" s="23" t="s">
        <v>7043</v>
      </c>
      <c r="J1458" s="12">
        <v>2015.0</v>
      </c>
      <c r="K1458" s="23">
        <v>56.0</v>
      </c>
      <c r="L1458" s="24">
        <v>1.0</v>
      </c>
      <c r="M1458" s="12" t="s">
        <v>340</v>
      </c>
      <c r="N1458" s="22" t="str">
        <f t="shared" si="2"/>
        <v>
IRM
1</v>
      </c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</row>
    <row r="1459">
      <c r="A1459" s="10">
        <v>1458.0</v>
      </c>
      <c r="B1459" s="12" t="s">
        <v>7044</v>
      </c>
      <c r="C1459" s="12" t="s">
        <v>262</v>
      </c>
      <c r="D1459" s="23" t="s">
        <v>7045</v>
      </c>
      <c r="E1459" s="12" t="s">
        <v>7046</v>
      </c>
      <c r="F1459" s="12" t="s">
        <v>7047</v>
      </c>
      <c r="G1459" s="12" t="s">
        <v>2325</v>
      </c>
      <c r="H1459" s="12" t="s">
        <v>554</v>
      </c>
      <c r="I1459" s="23" t="s">
        <v>7048</v>
      </c>
      <c r="J1459" s="12">
        <v>2014.0</v>
      </c>
      <c r="K1459" s="23">
        <v>58.0</v>
      </c>
      <c r="L1459" s="23">
        <v>3.0</v>
      </c>
      <c r="M1459" s="25" t="s">
        <v>7049</v>
      </c>
      <c r="N1459" s="22" t="str">
        <f t="shared" si="2"/>
        <v>910.09
DIN
w</v>
      </c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</row>
    <row r="1460">
      <c r="A1460" s="10">
        <v>1459.0</v>
      </c>
      <c r="B1460" s="12" t="s">
        <v>7050</v>
      </c>
      <c r="C1460" s="12" t="s">
        <v>262</v>
      </c>
      <c r="D1460" s="23">
        <v>920.0</v>
      </c>
      <c r="E1460" s="12" t="s">
        <v>3747</v>
      </c>
      <c r="F1460" s="12" t="s">
        <v>7051</v>
      </c>
      <c r="G1460" s="12" t="s">
        <v>7052</v>
      </c>
      <c r="H1460" s="12" t="s">
        <v>7053</v>
      </c>
      <c r="I1460" s="23" t="s">
        <v>7054</v>
      </c>
      <c r="J1460" s="12">
        <v>2015.0</v>
      </c>
      <c r="K1460" s="23">
        <v>48.0</v>
      </c>
      <c r="L1460" s="23">
        <v>2.0</v>
      </c>
      <c r="M1460" s="25" t="s">
        <v>7055</v>
      </c>
      <c r="N1460" s="22" t="str">
        <f t="shared" si="2"/>
        <v>920
AND
w</v>
      </c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</row>
    <row r="1461">
      <c r="A1461" s="10">
        <v>1460.0</v>
      </c>
      <c r="B1461" s="12" t="s">
        <v>7056</v>
      </c>
      <c r="C1461" s="12" t="s">
        <v>262</v>
      </c>
      <c r="D1461" s="23">
        <v>921.0</v>
      </c>
      <c r="E1461" s="12" t="s">
        <v>7057</v>
      </c>
      <c r="F1461" s="12" t="s">
        <v>7058</v>
      </c>
      <c r="G1461" s="12" t="s">
        <v>7052</v>
      </c>
      <c r="H1461" s="12" t="s">
        <v>7053</v>
      </c>
      <c r="I1461" s="23" t="s">
        <v>7059</v>
      </c>
      <c r="J1461" s="12">
        <v>2015.0</v>
      </c>
      <c r="K1461" s="23">
        <v>48.0</v>
      </c>
      <c r="L1461" s="23">
        <v>4.0</v>
      </c>
      <c r="M1461" s="25" t="s">
        <v>7060</v>
      </c>
      <c r="N1461" s="22" t="str">
        <f t="shared" si="2"/>
        <v>921
FRI
i</v>
      </c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</row>
    <row r="1462">
      <c r="A1462" s="10">
        <v>1461.0</v>
      </c>
      <c r="B1462" s="12" t="s">
        <v>7061</v>
      </c>
      <c r="C1462" s="12" t="s">
        <v>262</v>
      </c>
      <c r="D1462" s="23" t="s">
        <v>7062</v>
      </c>
      <c r="E1462" s="12" t="s">
        <v>6939</v>
      </c>
      <c r="F1462" s="12" t="s">
        <v>7063</v>
      </c>
      <c r="G1462" s="12" t="s">
        <v>7064</v>
      </c>
      <c r="H1462" s="12" t="s">
        <v>3100</v>
      </c>
      <c r="I1462" s="23" t="s">
        <v>7065</v>
      </c>
      <c r="J1462" s="12">
        <v>2015.0</v>
      </c>
      <c r="K1462" s="23">
        <v>48.0</v>
      </c>
      <c r="L1462" s="23">
        <v>2.0</v>
      </c>
      <c r="M1462" s="12" t="s">
        <v>340</v>
      </c>
      <c r="N1462" s="22" t="str">
        <f t="shared" si="2"/>
        <v>920
ABI
k</v>
      </c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</row>
    <row r="1463">
      <c r="A1463" s="10">
        <v>1462.0</v>
      </c>
      <c r="B1463" s="12" t="s">
        <v>7066</v>
      </c>
      <c r="C1463" s="12" t="s">
        <v>262</v>
      </c>
      <c r="D1463" s="23"/>
      <c r="E1463" s="12"/>
      <c r="F1463" s="12" t="s">
        <v>7067</v>
      </c>
      <c r="G1463" s="12" t="s">
        <v>7068</v>
      </c>
      <c r="H1463" s="12" t="s">
        <v>1679</v>
      </c>
      <c r="I1463" s="23" t="s">
        <v>7069</v>
      </c>
      <c r="J1463" s="12">
        <v>2007.0</v>
      </c>
      <c r="K1463" s="23">
        <v>67.0</v>
      </c>
      <c r="L1463" s="24">
        <v>1.0</v>
      </c>
      <c r="M1463" s="12" t="s">
        <v>340</v>
      </c>
      <c r="N1463" s="22" t="str">
        <f t="shared" si="2"/>
        <v>
B.A
p</v>
      </c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</row>
    <row r="1464">
      <c r="A1464" s="10">
        <v>1463.0</v>
      </c>
      <c r="B1464" s="12" t="s">
        <v>7070</v>
      </c>
      <c r="C1464" s="12" t="s">
        <v>262</v>
      </c>
      <c r="D1464" s="23">
        <v>920.0</v>
      </c>
      <c r="E1464" s="12" t="s">
        <v>3747</v>
      </c>
      <c r="F1464" s="12" t="s">
        <v>7071</v>
      </c>
      <c r="G1464" s="12" t="s">
        <v>7052</v>
      </c>
      <c r="H1464" s="12" t="s">
        <v>7072</v>
      </c>
      <c r="I1464" s="23" t="s">
        <v>7073</v>
      </c>
      <c r="J1464" s="12">
        <v>2015.0</v>
      </c>
      <c r="K1464" s="23">
        <v>48.0</v>
      </c>
      <c r="L1464" s="23">
        <v>2.0</v>
      </c>
      <c r="M1464" s="25" t="s">
        <v>7074</v>
      </c>
      <c r="N1464" s="22" t="str">
        <f t="shared" si="2"/>
        <v>920
ANR
w</v>
      </c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</row>
    <row r="1465">
      <c r="A1465" s="10">
        <v>1464.0</v>
      </c>
      <c r="B1465" s="12" t="s">
        <v>7075</v>
      </c>
      <c r="C1465" s="12" t="s">
        <v>262</v>
      </c>
      <c r="D1465" s="23" t="s">
        <v>6824</v>
      </c>
      <c r="E1465" s="12" t="s">
        <v>7076</v>
      </c>
      <c r="F1465" s="12" t="s">
        <v>7067</v>
      </c>
      <c r="G1465" s="12" t="s">
        <v>7077</v>
      </c>
      <c r="H1465" s="12" t="s">
        <v>1879</v>
      </c>
      <c r="I1465" s="23">
        <v>9.789799281685E12</v>
      </c>
      <c r="J1465" s="12">
        <v>2007.0</v>
      </c>
      <c r="K1465" s="23">
        <v>83.0</v>
      </c>
      <c r="L1465" s="23">
        <v>5.0</v>
      </c>
      <c r="M1465" s="25" t="s">
        <v>7078</v>
      </c>
      <c r="N1465" s="22" t="str">
        <f t="shared" si="2"/>
        <v>923.5
B.A
k</v>
      </c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</row>
    <row r="1466">
      <c r="A1466" s="10">
        <v>1465.0</v>
      </c>
      <c r="B1466" s="12" t="s">
        <v>7079</v>
      </c>
      <c r="C1466" s="12" t="s">
        <v>262</v>
      </c>
      <c r="D1466" s="23" t="s">
        <v>1938</v>
      </c>
      <c r="E1466" s="12" t="s">
        <v>1939</v>
      </c>
      <c r="F1466" s="12" t="s">
        <v>2225</v>
      </c>
      <c r="G1466" s="12" t="s">
        <v>3388</v>
      </c>
      <c r="H1466" s="12" t="s">
        <v>3583</v>
      </c>
      <c r="I1466" s="23" t="s">
        <v>7080</v>
      </c>
      <c r="J1466" s="12">
        <v>2014.0</v>
      </c>
      <c r="K1466" s="23">
        <v>64.0</v>
      </c>
      <c r="L1466" s="24">
        <v>1.0</v>
      </c>
      <c r="M1466" s="12" t="s">
        <v>340</v>
      </c>
      <c r="N1466" s="22" t="str">
        <f t="shared" si="2"/>
        <v>959.8
DEV
m</v>
      </c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</row>
    <row r="1467">
      <c r="A1467" s="10">
        <v>1466.0</v>
      </c>
      <c r="B1467" s="12" t="s">
        <v>7081</v>
      </c>
      <c r="C1467" s="12" t="s">
        <v>262</v>
      </c>
      <c r="D1467" s="23" t="s">
        <v>6824</v>
      </c>
      <c r="E1467" s="12" t="s">
        <v>6863</v>
      </c>
      <c r="F1467" s="12" t="s">
        <v>2446</v>
      </c>
      <c r="G1467" s="12" t="s">
        <v>518</v>
      </c>
      <c r="H1467" s="12" t="s">
        <v>2565</v>
      </c>
      <c r="I1467" s="23" t="s">
        <v>7082</v>
      </c>
      <c r="J1467" s="12">
        <v>2009.0</v>
      </c>
      <c r="K1467" s="23">
        <v>48.0</v>
      </c>
      <c r="L1467" s="24">
        <v>1.0</v>
      </c>
      <c r="M1467" s="12" t="s">
        <v>340</v>
      </c>
      <c r="N1467" s="22" t="str">
        <f t="shared" si="2"/>
        <v>923.5
BUD
l</v>
      </c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</row>
    <row r="1468">
      <c r="A1468" s="10">
        <v>1467.0</v>
      </c>
      <c r="B1468" s="12" t="s">
        <v>7083</v>
      </c>
      <c r="C1468" s="12" t="s">
        <v>262</v>
      </c>
      <c r="D1468" s="23" t="s">
        <v>6824</v>
      </c>
      <c r="E1468" s="12" t="s">
        <v>6863</v>
      </c>
      <c r="F1468" s="12" t="s">
        <v>2225</v>
      </c>
      <c r="G1468" s="12" t="s">
        <v>3558</v>
      </c>
      <c r="H1468" s="12" t="s">
        <v>271</v>
      </c>
      <c r="I1468" s="23" t="s">
        <v>7084</v>
      </c>
      <c r="J1468" s="12">
        <v>2010.0</v>
      </c>
      <c r="K1468" s="23">
        <v>60.0</v>
      </c>
      <c r="L1468" s="24">
        <v>1.0</v>
      </c>
      <c r="M1468" s="12" t="s">
        <v>340</v>
      </c>
      <c r="N1468" s="22" t="str">
        <f t="shared" si="2"/>
        <v>923.5
DEV
m</v>
      </c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</row>
    <row r="1469">
      <c r="A1469" s="10">
        <v>1468.0</v>
      </c>
      <c r="B1469" s="12" t="s">
        <v>7085</v>
      </c>
      <c r="C1469" s="12" t="s">
        <v>262</v>
      </c>
      <c r="D1469" s="23">
        <v>920.0</v>
      </c>
      <c r="E1469" s="12" t="s">
        <v>3747</v>
      </c>
      <c r="F1469" s="12" t="s">
        <v>3204</v>
      </c>
      <c r="G1469" s="12" t="s">
        <v>897</v>
      </c>
      <c r="H1469" s="12" t="s">
        <v>7086</v>
      </c>
      <c r="I1469" s="23" t="s">
        <v>7087</v>
      </c>
      <c r="J1469" s="12">
        <v>2015.0</v>
      </c>
      <c r="K1469" s="23">
        <v>52.0</v>
      </c>
      <c r="L1469" s="23">
        <v>2.0</v>
      </c>
      <c r="M1469" s="25" t="s">
        <v>7088</v>
      </c>
      <c r="N1469" s="22" t="str">
        <f t="shared" si="2"/>
        <v>920
AND
m</v>
      </c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</row>
    <row r="1470">
      <c r="A1470" s="10">
        <v>1469.0</v>
      </c>
      <c r="B1470" s="12" t="s">
        <v>7089</v>
      </c>
      <c r="C1470" s="12" t="s">
        <v>262</v>
      </c>
      <c r="D1470" s="23">
        <v>920.0</v>
      </c>
      <c r="E1470" s="12" t="s">
        <v>3747</v>
      </c>
      <c r="F1470" s="12" t="s">
        <v>7063</v>
      </c>
      <c r="G1470" s="12" t="s">
        <v>7090</v>
      </c>
      <c r="H1470" s="12" t="s">
        <v>401</v>
      </c>
      <c r="I1470" s="23" t="s">
        <v>7091</v>
      </c>
      <c r="J1470" s="12">
        <v>2015.0</v>
      </c>
      <c r="K1470" s="23">
        <v>54.0</v>
      </c>
      <c r="L1470" s="23">
        <v>1.0</v>
      </c>
      <c r="M1470" s="25" t="s">
        <v>7092</v>
      </c>
      <c r="N1470" s="22" t="str">
        <f t="shared" si="2"/>
        <v>920
ABI
k</v>
      </c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</row>
    <row r="1471">
      <c r="A1471" s="10">
        <v>1470.0</v>
      </c>
      <c r="B1471" s="12" t="s">
        <v>7093</v>
      </c>
      <c r="C1471" s="12" t="s">
        <v>262</v>
      </c>
      <c r="D1471" s="23">
        <v>922.0</v>
      </c>
      <c r="E1471" s="12" t="s">
        <v>6759</v>
      </c>
      <c r="F1471" s="12" t="s">
        <v>7094</v>
      </c>
      <c r="G1471" s="12" t="s">
        <v>518</v>
      </c>
      <c r="H1471" s="12" t="s">
        <v>7095</v>
      </c>
      <c r="I1471" s="23">
        <v>9.797394638E9</v>
      </c>
      <c r="J1471" s="12">
        <v>2007.0</v>
      </c>
      <c r="K1471" s="23" t="s">
        <v>7096</v>
      </c>
      <c r="L1471" s="24">
        <v>1.0</v>
      </c>
      <c r="M1471" s="25" t="s">
        <v>7097</v>
      </c>
      <c r="N1471" s="22" t="str">
        <f t="shared" si="2"/>
        <v>922
RAT
i</v>
      </c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</row>
    <row r="1472">
      <c r="A1472" s="10">
        <v>1471.0</v>
      </c>
      <c r="B1472" s="12" t="s">
        <v>7098</v>
      </c>
      <c r="C1472" s="12" t="s">
        <v>84</v>
      </c>
      <c r="D1472" s="23" t="s">
        <v>7099</v>
      </c>
      <c r="E1472" s="12" t="s">
        <v>7100</v>
      </c>
      <c r="F1472" s="12" t="s">
        <v>5100</v>
      </c>
      <c r="G1472" s="12" t="s">
        <v>518</v>
      </c>
      <c r="H1472" s="12" t="s">
        <v>401</v>
      </c>
      <c r="I1472" s="23" t="s">
        <v>7101</v>
      </c>
      <c r="J1472" s="12">
        <v>2015.0</v>
      </c>
      <c r="K1472" s="23" t="s">
        <v>7102</v>
      </c>
      <c r="L1472" s="23">
        <v>2.0</v>
      </c>
      <c r="M1472" s="25" t="s">
        <v>7103</v>
      </c>
      <c r="N1472" s="22" t="str">
        <f t="shared" si="2"/>
        <v>722.4
DWI
e</v>
      </c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</row>
    <row r="1473">
      <c r="A1473" s="10">
        <v>1472.0</v>
      </c>
      <c r="B1473" s="12" t="s">
        <v>7104</v>
      </c>
      <c r="C1473" s="12" t="s">
        <v>262</v>
      </c>
      <c r="D1473" s="23" t="s">
        <v>1938</v>
      </c>
      <c r="E1473" s="12" t="s">
        <v>1939</v>
      </c>
      <c r="F1473" s="12" t="s">
        <v>7105</v>
      </c>
      <c r="G1473" s="12" t="s">
        <v>7106</v>
      </c>
      <c r="H1473" s="12" t="s">
        <v>2369</v>
      </c>
      <c r="I1473" s="23" t="s">
        <v>7107</v>
      </c>
      <c r="J1473" s="12">
        <v>2015.0</v>
      </c>
      <c r="K1473" s="23">
        <v>124.0</v>
      </c>
      <c r="L1473" s="24">
        <v>1.0</v>
      </c>
      <c r="M1473" s="12" t="s">
        <v>340</v>
      </c>
      <c r="N1473" s="22" t="str">
        <f t="shared" si="2"/>
        <v>959.8
HER
i</v>
      </c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</row>
    <row r="1474">
      <c r="A1474" s="10">
        <v>1473.0</v>
      </c>
      <c r="B1474" s="12" t="s">
        <v>7108</v>
      </c>
      <c r="C1474" s="12" t="s">
        <v>262</v>
      </c>
      <c r="D1474" s="23">
        <v>920.0</v>
      </c>
      <c r="E1474" s="12" t="s">
        <v>3747</v>
      </c>
      <c r="F1474" s="12" t="s">
        <v>7109</v>
      </c>
      <c r="G1474" s="12" t="s">
        <v>7110</v>
      </c>
      <c r="H1474" s="12" t="s">
        <v>1679</v>
      </c>
      <c r="I1474" s="23" t="s">
        <v>7111</v>
      </c>
      <c r="J1474" s="12">
        <v>2007.0</v>
      </c>
      <c r="K1474" s="23" t="s">
        <v>7112</v>
      </c>
      <c r="L1474" s="23">
        <v>5.0</v>
      </c>
      <c r="M1474" s="38" t="s">
        <v>7113</v>
      </c>
      <c r="N1474" s="22" t="str">
        <f t="shared" si="2"/>
        <v>920
SAL
h</v>
      </c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</row>
    <row r="1475">
      <c r="A1475" s="10">
        <v>1474.0</v>
      </c>
      <c r="B1475" s="12" t="s">
        <v>6938</v>
      </c>
      <c r="C1475" s="12" t="s">
        <v>262</v>
      </c>
      <c r="D1475" s="23" t="s">
        <v>7020</v>
      </c>
      <c r="E1475" s="12" t="s">
        <v>7114</v>
      </c>
      <c r="F1475" s="12" t="s">
        <v>7067</v>
      </c>
      <c r="G1475" s="12" t="s">
        <v>7115</v>
      </c>
      <c r="H1475" s="12" t="s">
        <v>1679</v>
      </c>
      <c r="I1475" s="23">
        <v>9.789799281692E12</v>
      </c>
      <c r="J1475" s="12">
        <v>2007.0</v>
      </c>
      <c r="K1475" s="23" t="s">
        <v>7116</v>
      </c>
      <c r="L1475" s="23">
        <v>5.0</v>
      </c>
      <c r="M1475" s="25" t="s">
        <v>7117</v>
      </c>
      <c r="N1475" s="22" t="str">
        <f t="shared" si="2"/>
        <v>920.72
B.A
r</v>
      </c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</row>
    <row r="1476">
      <c r="A1476" s="10">
        <v>1475.0</v>
      </c>
      <c r="B1476" s="12" t="s">
        <v>7118</v>
      </c>
      <c r="C1476" s="12" t="s">
        <v>262</v>
      </c>
      <c r="D1476" s="23">
        <v>923.0</v>
      </c>
      <c r="E1476" s="12" t="s">
        <v>3747</v>
      </c>
      <c r="F1476" s="12" t="s">
        <v>2667</v>
      </c>
      <c r="G1476" s="12"/>
      <c r="H1476" s="12" t="s">
        <v>7119</v>
      </c>
      <c r="I1476" s="23"/>
      <c r="J1476" s="12"/>
      <c r="K1476" s="23"/>
      <c r="L1476" s="23">
        <v>1.0</v>
      </c>
      <c r="M1476" s="25" t="s">
        <v>7120</v>
      </c>
      <c r="N1476" s="22" t="str">
        <f t="shared" si="2"/>
        <v>923
KAM
s</v>
      </c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</row>
    <row r="1477">
      <c r="A1477" s="10">
        <v>1476.0</v>
      </c>
      <c r="B1477" s="12" t="s">
        <v>7121</v>
      </c>
      <c r="C1477" s="12" t="s">
        <v>262</v>
      </c>
      <c r="D1477" s="23" t="s">
        <v>7020</v>
      </c>
      <c r="E1477" s="12" t="s">
        <v>7114</v>
      </c>
      <c r="F1477" s="12" t="s">
        <v>2667</v>
      </c>
      <c r="G1477" s="12"/>
      <c r="H1477" s="12" t="s">
        <v>7119</v>
      </c>
      <c r="I1477" s="23"/>
      <c r="J1477" s="12">
        <v>2001.0</v>
      </c>
      <c r="K1477" s="23">
        <v>43.0</v>
      </c>
      <c r="L1477" s="23">
        <v>1.0</v>
      </c>
      <c r="M1477" s="12" t="s">
        <v>340</v>
      </c>
      <c r="N1477" s="22" t="str">
        <f t="shared" si="2"/>
        <v>920.72
KAM
s</v>
      </c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</row>
    <row r="1478">
      <c r="A1478" s="10">
        <v>1477.0</v>
      </c>
      <c r="B1478" s="12" t="s">
        <v>7122</v>
      </c>
      <c r="C1478" s="12" t="s">
        <v>262</v>
      </c>
      <c r="D1478" s="23" t="s">
        <v>6824</v>
      </c>
      <c r="E1478" s="22" t="s">
        <v>6863</v>
      </c>
      <c r="F1478" s="12" t="s">
        <v>2667</v>
      </c>
      <c r="G1478" s="12"/>
      <c r="H1478" s="12" t="s">
        <v>7119</v>
      </c>
      <c r="I1478" s="23"/>
      <c r="J1478" s="12">
        <v>2001.0</v>
      </c>
      <c r="K1478" s="23">
        <v>43.0</v>
      </c>
      <c r="L1478" s="23">
        <v>6.0</v>
      </c>
      <c r="M1478" s="25" t="s">
        <v>7123</v>
      </c>
      <c r="N1478" s="22" t="str">
        <f t="shared" si="2"/>
        <v>923.5
KAM
s</v>
      </c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</row>
    <row r="1479">
      <c r="A1479" s="10">
        <v>1478.0</v>
      </c>
      <c r="B1479" s="12" t="s">
        <v>7124</v>
      </c>
      <c r="C1479" s="12" t="s">
        <v>262</v>
      </c>
      <c r="D1479" s="23" t="s">
        <v>6824</v>
      </c>
      <c r="E1479" s="22" t="s">
        <v>6863</v>
      </c>
      <c r="F1479" s="12" t="s">
        <v>2667</v>
      </c>
      <c r="G1479" s="12"/>
      <c r="H1479" s="12" t="s">
        <v>7119</v>
      </c>
      <c r="I1479" s="23"/>
      <c r="J1479" s="12">
        <v>2001.0</v>
      </c>
      <c r="K1479" s="23">
        <v>43.0</v>
      </c>
      <c r="L1479" s="23">
        <v>10.0</v>
      </c>
      <c r="M1479" s="25" t="s">
        <v>7125</v>
      </c>
      <c r="N1479" s="22" t="str">
        <f t="shared" si="2"/>
        <v>923.5
KAM
s</v>
      </c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</row>
    <row r="1480">
      <c r="A1480" s="10">
        <v>1479.0</v>
      </c>
      <c r="B1480" s="12" t="s">
        <v>7126</v>
      </c>
      <c r="C1480" s="12" t="s">
        <v>262</v>
      </c>
      <c r="D1480" s="23" t="s">
        <v>1938</v>
      </c>
      <c r="E1480" s="12" t="s">
        <v>1939</v>
      </c>
      <c r="F1480" s="12" t="s">
        <v>7127</v>
      </c>
      <c r="G1480" s="12"/>
      <c r="H1480" s="12" t="s">
        <v>7128</v>
      </c>
      <c r="I1480" s="23"/>
      <c r="J1480" s="12">
        <v>1982.0</v>
      </c>
      <c r="K1480" s="23"/>
      <c r="L1480" s="24">
        <v>1.0</v>
      </c>
      <c r="M1480" s="25" t="s">
        <v>7129</v>
      </c>
      <c r="N1480" s="22" t="str">
        <f t="shared" si="2"/>
        <v>959.8
PIM
b</v>
      </c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</row>
    <row r="1481">
      <c r="A1481" s="10">
        <v>1480.0</v>
      </c>
      <c r="B1481" s="12" t="s">
        <v>7130</v>
      </c>
      <c r="C1481" s="12" t="s">
        <v>262</v>
      </c>
      <c r="D1481" s="23" t="s">
        <v>7131</v>
      </c>
      <c r="E1481" s="12" t="s">
        <v>7132</v>
      </c>
      <c r="F1481" s="12" t="s">
        <v>2239</v>
      </c>
      <c r="G1481" s="12" t="s">
        <v>7133</v>
      </c>
      <c r="H1481" s="12" t="s">
        <v>7134</v>
      </c>
      <c r="I1481" s="23">
        <v>9.786029168846E12</v>
      </c>
      <c r="J1481" s="12">
        <v>2017.0</v>
      </c>
      <c r="K1481" s="23" t="s">
        <v>7135</v>
      </c>
      <c r="L1481" s="24">
        <v>3.0</v>
      </c>
      <c r="M1481" s="25" t="s">
        <v>7136</v>
      </c>
      <c r="N1481" s="22" t="str">
        <f t="shared" si="2"/>
        <v>930.12
AND
s</v>
      </c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</row>
    <row r="1482">
      <c r="A1482" s="10">
        <v>1481.0</v>
      </c>
      <c r="B1482" s="12" t="s">
        <v>7137</v>
      </c>
      <c r="C1482" s="12" t="s">
        <v>262</v>
      </c>
      <c r="D1482" s="23">
        <v>920.0</v>
      </c>
      <c r="E1482" s="12" t="s">
        <v>3747</v>
      </c>
      <c r="F1482" s="12" t="s">
        <v>7138</v>
      </c>
      <c r="G1482" s="12" t="s">
        <v>4357</v>
      </c>
      <c r="H1482" s="12" t="s">
        <v>7139</v>
      </c>
      <c r="I1482" s="23">
        <v>9.786029107067E12</v>
      </c>
      <c r="J1482" s="12">
        <v>2015.0</v>
      </c>
      <c r="K1482" s="23" t="s">
        <v>7140</v>
      </c>
      <c r="L1482" s="23">
        <v>1.0</v>
      </c>
      <c r="M1482" s="25" t="s">
        <v>7141</v>
      </c>
      <c r="N1482" s="22" t="str">
        <f t="shared" si="2"/>
        <v>920
THA
s</v>
      </c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</row>
    <row r="1483">
      <c r="A1483" s="10">
        <v>1482.0</v>
      </c>
      <c r="B1483" s="12" t="s">
        <v>7142</v>
      </c>
      <c r="C1483" s="12" t="s">
        <v>262</v>
      </c>
      <c r="D1483" s="23">
        <v>930.0</v>
      </c>
      <c r="E1483" s="12" t="s">
        <v>7143</v>
      </c>
      <c r="F1483" s="12" t="s">
        <v>2239</v>
      </c>
      <c r="G1483" s="12" t="s">
        <v>7133</v>
      </c>
      <c r="H1483" s="12" t="s">
        <v>2241</v>
      </c>
      <c r="I1483" s="23">
        <v>9.786029168853E12</v>
      </c>
      <c r="J1483" s="12">
        <v>2017.0</v>
      </c>
      <c r="K1483" s="23" t="s">
        <v>7135</v>
      </c>
      <c r="L1483" s="23">
        <v>2.0</v>
      </c>
      <c r="M1483" s="25" t="s">
        <v>7144</v>
      </c>
      <c r="N1483" s="22" t="str">
        <f t="shared" si="2"/>
        <v>930
AND
s</v>
      </c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</row>
    <row r="1484">
      <c r="A1484" s="10">
        <v>1483.0</v>
      </c>
      <c r="B1484" s="12" t="s">
        <v>7145</v>
      </c>
      <c r="C1484" s="12" t="s">
        <v>262</v>
      </c>
      <c r="D1484" s="23">
        <v>930.0</v>
      </c>
      <c r="E1484" s="12" t="s">
        <v>7146</v>
      </c>
      <c r="F1484" s="12" t="s">
        <v>2239</v>
      </c>
      <c r="G1484" s="12" t="s">
        <v>7133</v>
      </c>
      <c r="H1484" s="12" t="s">
        <v>2241</v>
      </c>
      <c r="I1484" s="23">
        <v>9.78602916886E12</v>
      </c>
      <c r="J1484" s="12">
        <v>2017.0</v>
      </c>
      <c r="K1484" s="23" t="s">
        <v>7135</v>
      </c>
      <c r="L1484" s="23">
        <v>3.0</v>
      </c>
      <c r="M1484" s="25" t="s">
        <v>7147</v>
      </c>
      <c r="N1484" s="22" t="str">
        <f t="shared" si="2"/>
        <v>930
AND
s</v>
      </c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</row>
    <row r="1485">
      <c r="A1485" s="10">
        <v>1484.0</v>
      </c>
      <c r="B1485" s="12" t="s">
        <v>7148</v>
      </c>
      <c r="C1485" s="12" t="s">
        <v>262</v>
      </c>
      <c r="D1485" s="23">
        <v>912.0</v>
      </c>
      <c r="E1485" s="12" t="s">
        <v>6811</v>
      </c>
      <c r="F1485" s="12" t="s">
        <v>2225</v>
      </c>
      <c r="G1485" s="12" t="s">
        <v>3965</v>
      </c>
      <c r="H1485" s="12" t="s">
        <v>2036</v>
      </c>
      <c r="I1485" s="23">
        <v>9.789796783717E12</v>
      </c>
      <c r="J1485" s="12">
        <v>2014.0</v>
      </c>
      <c r="K1485" s="23">
        <v>56.0</v>
      </c>
      <c r="L1485" s="23">
        <v>3.0</v>
      </c>
      <c r="M1485" s="12" t="s">
        <v>340</v>
      </c>
      <c r="N1485" s="22" t="str">
        <f t="shared" si="2"/>
        <v>912
DEV
m</v>
      </c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</row>
    <row r="1486">
      <c r="A1486" s="10">
        <v>1485.0</v>
      </c>
      <c r="B1486" s="12" t="s">
        <v>7149</v>
      </c>
      <c r="C1486" s="12" t="s">
        <v>262</v>
      </c>
      <c r="D1486" s="23">
        <v>910.0</v>
      </c>
      <c r="E1486" s="12" t="s">
        <v>7150</v>
      </c>
      <c r="F1486" s="12" t="s">
        <v>3934</v>
      </c>
      <c r="G1486" s="12" t="s">
        <v>7151</v>
      </c>
      <c r="H1486" s="12" t="s">
        <v>3682</v>
      </c>
      <c r="I1486" s="23">
        <v>9.789793711256E12</v>
      </c>
      <c r="J1486" s="12">
        <v>2007.0</v>
      </c>
      <c r="K1486" s="23">
        <v>72.0</v>
      </c>
      <c r="L1486" s="23">
        <v>5.0</v>
      </c>
      <c r="M1486" s="25" t="s">
        <v>7152</v>
      </c>
      <c r="N1486" s="22" t="str">
        <f t="shared" si="2"/>
        <v>910
TIM
m</v>
      </c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</row>
    <row r="1487">
      <c r="A1487" s="10">
        <v>1486.0</v>
      </c>
      <c r="B1487" s="12" t="s">
        <v>7153</v>
      </c>
      <c r="C1487" s="12" t="s">
        <v>262</v>
      </c>
      <c r="D1487" s="23">
        <v>910.0</v>
      </c>
      <c r="E1487" s="12" t="s">
        <v>7150</v>
      </c>
      <c r="F1487" s="12" t="s">
        <v>3934</v>
      </c>
      <c r="G1487" s="12" t="s">
        <v>7154</v>
      </c>
      <c r="H1487" s="12" t="s">
        <v>3682</v>
      </c>
      <c r="I1487" s="23">
        <v>9.78979371127E12</v>
      </c>
      <c r="J1487" s="12">
        <v>2007.0</v>
      </c>
      <c r="K1487" s="23">
        <v>80.0</v>
      </c>
      <c r="L1487" s="23">
        <v>4.0</v>
      </c>
      <c r="M1487" s="25" t="s">
        <v>7155</v>
      </c>
      <c r="N1487" s="22" t="str">
        <f t="shared" si="2"/>
        <v>910
TIM
m</v>
      </c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</row>
    <row r="1488">
      <c r="A1488" s="10">
        <v>1487.0</v>
      </c>
      <c r="B1488" s="12" t="s">
        <v>7156</v>
      </c>
      <c r="C1488" s="12" t="s">
        <v>262</v>
      </c>
      <c r="D1488" s="47">
        <v>910231.0</v>
      </c>
      <c r="E1488" s="12" t="s">
        <v>7157</v>
      </c>
      <c r="F1488" s="12" t="s">
        <v>3934</v>
      </c>
      <c r="G1488" s="12" t="s">
        <v>7158</v>
      </c>
      <c r="H1488" s="12" t="s">
        <v>7159</v>
      </c>
      <c r="I1488" s="23">
        <v>9.78979928262E12</v>
      </c>
      <c r="J1488" s="12">
        <v>2007.0</v>
      </c>
      <c r="K1488" s="23" t="s">
        <v>7160</v>
      </c>
      <c r="L1488" s="23">
        <v>4.0</v>
      </c>
      <c r="M1488" s="12" t="s">
        <v>340</v>
      </c>
      <c r="N1488" s="22" t="str">
        <f t="shared" si="2"/>
        <v>910231
TIM
k</v>
      </c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</row>
    <row r="1489">
      <c r="A1489" s="10">
        <v>1488.0</v>
      </c>
      <c r="B1489" s="12" t="s">
        <v>7161</v>
      </c>
      <c r="C1489" s="12" t="s">
        <v>262</v>
      </c>
      <c r="D1489" s="23">
        <v>954.0</v>
      </c>
      <c r="E1489" s="12" t="s">
        <v>7162</v>
      </c>
      <c r="F1489" s="12" t="s">
        <v>3934</v>
      </c>
      <c r="G1489" s="12" t="s">
        <v>7163</v>
      </c>
      <c r="H1489" s="12" t="s">
        <v>7159</v>
      </c>
      <c r="I1489" s="23">
        <v>9.789799282651E12</v>
      </c>
      <c r="J1489" s="12">
        <v>2007.0</v>
      </c>
      <c r="K1489" s="23">
        <v>71.0</v>
      </c>
      <c r="L1489" s="23">
        <v>4.0</v>
      </c>
      <c r="M1489" s="12" t="s">
        <v>340</v>
      </c>
      <c r="N1489" s="22" t="str">
        <f t="shared" si="2"/>
        <v>954
TIM
k</v>
      </c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</row>
    <row r="1490">
      <c r="A1490" s="10">
        <v>1489.0</v>
      </c>
      <c r="B1490" s="12" t="s">
        <v>7164</v>
      </c>
      <c r="C1490" s="12" t="s">
        <v>38</v>
      </c>
      <c r="D1490" s="23">
        <v>813.0</v>
      </c>
      <c r="E1490" s="12" t="s">
        <v>1089</v>
      </c>
      <c r="F1490" s="12" t="s">
        <v>3934</v>
      </c>
      <c r="G1490" s="12" t="s">
        <v>7165</v>
      </c>
      <c r="H1490" s="12" t="s">
        <v>7159</v>
      </c>
      <c r="I1490" s="23">
        <v>9.789799282637E12</v>
      </c>
      <c r="J1490" s="12">
        <v>2007.0</v>
      </c>
      <c r="K1490" s="23">
        <v>55.0</v>
      </c>
      <c r="L1490" s="23">
        <v>4.0</v>
      </c>
      <c r="M1490" s="25" t="s">
        <v>7166</v>
      </c>
      <c r="N1490" s="22" t="str">
        <f t="shared" si="2"/>
        <v>813
TIM
k</v>
      </c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</row>
    <row r="1491">
      <c r="A1491" s="10">
        <v>1490.0</v>
      </c>
      <c r="B1491" s="12" t="s">
        <v>7167</v>
      </c>
      <c r="C1491" s="12" t="s">
        <v>262</v>
      </c>
      <c r="D1491" s="23">
        <v>910.0</v>
      </c>
      <c r="E1491" s="12" t="s">
        <v>6798</v>
      </c>
      <c r="F1491" s="12" t="s">
        <v>7168</v>
      </c>
      <c r="G1491" s="12"/>
      <c r="H1491" s="12" t="s">
        <v>2303</v>
      </c>
      <c r="I1491" s="23">
        <v>9.786028982238E12</v>
      </c>
      <c r="J1491" s="12">
        <v>2017.0</v>
      </c>
      <c r="K1491" s="23">
        <v>76.0</v>
      </c>
      <c r="L1491" s="23">
        <v>2.0</v>
      </c>
      <c r="M1491" s="25" t="s">
        <v>7169</v>
      </c>
      <c r="N1491" s="22" t="str">
        <f t="shared" si="2"/>
        <v>910
KAM
m</v>
      </c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</row>
    <row r="1492">
      <c r="A1492" s="10">
        <v>1491.0</v>
      </c>
      <c r="B1492" s="12" t="s">
        <v>7170</v>
      </c>
      <c r="C1492" s="12" t="s">
        <v>262</v>
      </c>
      <c r="D1492" s="23"/>
      <c r="E1492" s="12"/>
      <c r="F1492" s="12" t="s">
        <v>7171</v>
      </c>
      <c r="G1492" s="12" t="s">
        <v>3726</v>
      </c>
      <c r="H1492" s="12" t="s">
        <v>2587</v>
      </c>
      <c r="I1492" s="23">
        <v>9.786028982146E12</v>
      </c>
      <c r="J1492" s="12">
        <v>2010.0</v>
      </c>
      <c r="K1492" s="23" t="s">
        <v>7172</v>
      </c>
      <c r="L1492" s="23">
        <v>4.0</v>
      </c>
      <c r="M1492" s="12" t="s">
        <v>340</v>
      </c>
      <c r="N1492" s="22" t="str">
        <f t="shared" si="2"/>
        <v>
Drs
p</v>
      </c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</row>
    <row r="1493">
      <c r="A1493" s="10">
        <v>1492.0</v>
      </c>
      <c r="B1493" s="12" t="s">
        <v>7173</v>
      </c>
      <c r="C1493" s="12" t="s">
        <v>262</v>
      </c>
      <c r="D1493" s="23" t="s">
        <v>7062</v>
      </c>
      <c r="E1493" s="12" t="s">
        <v>6939</v>
      </c>
      <c r="F1493" s="12" t="s">
        <v>7174</v>
      </c>
      <c r="G1493" s="12" t="s">
        <v>3726</v>
      </c>
      <c r="H1493" s="12" t="s">
        <v>2587</v>
      </c>
      <c r="I1493" s="23">
        <v>9.786028982122E12</v>
      </c>
      <c r="J1493" s="12">
        <v>2017.0</v>
      </c>
      <c r="K1493" s="23" t="s">
        <v>7175</v>
      </c>
      <c r="L1493" s="23">
        <v>1.0</v>
      </c>
      <c r="M1493" s="25" t="s">
        <v>7176</v>
      </c>
      <c r="N1493" s="22" t="str">
        <f t="shared" si="2"/>
        <v>920
VAL
p</v>
      </c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</row>
    <row r="1494">
      <c r="A1494" s="10">
        <v>1493.0</v>
      </c>
      <c r="B1494" s="12" t="s">
        <v>7177</v>
      </c>
      <c r="C1494" s="12" t="s">
        <v>262</v>
      </c>
      <c r="D1494" s="23">
        <v>912.0</v>
      </c>
      <c r="E1494" s="12" t="s">
        <v>7178</v>
      </c>
      <c r="F1494" s="12" t="s">
        <v>7179</v>
      </c>
      <c r="G1494" s="12" t="s">
        <v>7180</v>
      </c>
      <c r="H1494" s="12" t="s">
        <v>588</v>
      </c>
      <c r="I1494" s="23">
        <v>9.789790159525E12</v>
      </c>
      <c r="J1494" s="12">
        <v>2007.0</v>
      </c>
      <c r="K1494" s="23" t="s">
        <v>7181</v>
      </c>
      <c r="L1494" s="24">
        <v>1.0</v>
      </c>
      <c r="M1494" s="12" t="s">
        <v>340</v>
      </c>
      <c r="N1494" s="22" t="str">
        <f t="shared" si="2"/>
        <v>912
SIM
a</v>
      </c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</row>
    <row r="1495">
      <c r="A1495" s="10">
        <v>1494.0</v>
      </c>
      <c r="B1495" s="12" t="s">
        <v>7182</v>
      </c>
      <c r="C1495" s="12" t="s">
        <v>262</v>
      </c>
      <c r="D1495" s="23" t="s">
        <v>1938</v>
      </c>
      <c r="E1495" s="12" t="s">
        <v>1939</v>
      </c>
      <c r="F1495" s="12" t="s">
        <v>7183</v>
      </c>
      <c r="G1495" s="12" t="s">
        <v>6977</v>
      </c>
      <c r="H1495" s="12" t="s">
        <v>623</v>
      </c>
      <c r="I1495" s="23">
        <v>9.78979678309E12</v>
      </c>
      <c r="J1495" s="12">
        <v>2009.0</v>
      </c>
      <c r="K1495" s="23" t="s">
        <v>7184</v>
      </c>
      <c r="L1495" s="24">
        <v>1.0</v>
      </c>
      <c r="M1495" s="12" t="s">
        <v>340</v>
      </c>
      <c r="N1495" s="22" t="str">
        <f t="shared" si="2"/>
        <v>959.8
ST.
p</v>
      </c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</row>
    <row r="1496">
      <c r="A1496" s="10">
        <v>1495.0</v>
      </c>
      <c r="B1496" s="12" t="s">
        <v>7185</v>
      </c>
      <c r="C1496" s="12" t="s">
        <v>262</v>
      </c>
      <c r="D1496" s="23" t="s">
        <v>1938</v>
      </c>
      <c r="E1496" s="22" t="s">
        <v>7186</v>
      </c>
      <c r="F1496" s="12" t="s">
        <v>7187</v>
      </c>
      <c r="G1496" s="12" t="s">
        <v>7133</v>
      </c>
      <c r="H1496" s="12" t="s">
        <v>2241</v>
      </c>
      <c r="I1496" s="23">
        <v>9.786029153903E12</v>
      </c>
      <c r="J1496" s="12">
        <v>2011.0</v>
      </c>
      <c r="K1496" s="23">
        <v>88.0</v>
      </c>
      <c r="L1496" s="24">
        <v>1.0</v>
      </c>
      <c r="M1496" s="25" t="s">
        <v>7188</v>
      </c>
      <c r="N1496" s="22" t="str">
        <f t="shared" si="2"/>
        <v>959.8
ERS
p</v>
      </c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</row>
    <row r="1497">
      <c r="A1497" s="10">
        <v>1496.0</v>
      </c>
      <c r="B1497" s="12" t="s">
        <v>7189</v>
      </c>
      <c r="C1497" s="12" t="s">
        <v>262</v>
      </c>
      <c r="D1497" s="23">
        <v>920.0</v>
      </c>
      <c r="E1497" s="12" t="s">
        <v>6939</v>
      </c>
      <c r="F1497" s="12" t="s">
        <v>7190</v>
      </c>
      <c r="G1497" s="12" t="s">
        <v>1610</v>
      </c>
      <c r="H1497" s="12" t="s">
        <v>646</v>
      </c>
      <c r="I1497" s="23">
        <v>9.786023500239E12</v>
      </c>
      <c r="J1497" s="12">
        <v>2017.0</v>
      </c>
      <c r="K1497" s="23">
        <v>100.0</v>
      </c>
      <c r="L1497" s="23">
        <v>2.0</v>
      </c>
      <c r="M1497" s="25" t="s">
        <v>7191</v>
      </c>
      <c r="N1497" s="22" t="str">
        <f t="shared" si="2"/>
        <v>920
MOH
k</v>
      </c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</row>
    <row r="1498">
      <c r="A1498" s="10">
        <v>1497.0</v>
      </c>
      <c r="B1498" s="12" t="s">
        <v>7192</v>
      </c>
      <c r="C1498" s="12" t="s">
        <v>262</v>
      </c>
      <c r="D1498" s="23" t="s">
        <v>7062</v>
      </c>
      <c r="E1498" s="12" t="s">
        <v>6939</v>
      </c>
      <c r="F1498" s="12" t="s">
        <v>5022</v>
      </c>
      <c r="G1498" s="12"/>
      <c r="H1498" s="12" t="s">
        <v>5023</v>
      </c>
      <c r="I1498" s="23">
        <v>9.786028982139E12</v>
      </c>
      <c r="J1498" s="12">
        <v>2015.0</v>
      </c>
      <c r="K1498" s="23">
        <v>54.0</v>
      </c>
      <c r="L1498" s="23">
        <v>4.0</v>
      </c>
      <c r="M1498" s="12" t="s">
        <v>340</v>
      </c>
      <c r="N1498" s="22" t="str">
        <f t="shared" si="2"/>
        <v>920
DRS
p</v>
      </c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</row>
    <row r="1499">
      <c r="A1499" s="10">
        <v>1498.0</v>
      </c>
      <c r="B1499" s="12" t="s">
        <v>7193</v>
      </c>
      <c r="C1499" s="12" t="s">
        <v>262</v>
      </c>
      <c r="D1499" s="23">
        <v>920.0</v>
      </c>
      <c r="E1499" s="12" t="s">
        <v>6939</v>
      </c>
      <c r="F1499" s="12" t="s">
        <v>7194</v>
      </c>
      <c r="G1499" s="12"/>
      <c r="H1499" s="12" t="s">
        <v>5023</v>
      </c>
      <c r="I1499" s="23">
        <v>9.786028982115E12</v>
      </c>
      <c r="J1499" s="12">
        <v>2010.0</v>
      </c>
      <c r="K1499" s="23" t="s">
        <v>7195</v>
      </c>
      <c r="L1499" s="23">
        <v>1.0</v>
      </c>
      <c r="M1499" s="25" t="s">
        <v>7196</v>
      </c>
      <c r="N1499" s="22" t="str">
        <f t="shared" si="2"/>
        <v>920
VAL
p</v>
      </c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</row>
    <row r="1500">
      <c r="A1500" s="10">
        <v>1499.0</v>
      </c>
      <c r="B1500" s="12" t="s">
        <v>7197</v>
      </c>
      <c r="C1500" s="12" t="s">
        <v>262</v>
      </c>
      <c r="D1500" s="23" t="s">
        <v>7020</v>
      </c>
      <c r="E1500" s="12" t="s">
        <v>7114</v>
      </c>
      <c r="F1500" s="12" t="s">
        <v>7198</v>
      </c>
      <c r="G1500" s="12" t="s">
        <v>7199</v>
      </c>
      <c r="H1500" s="12" t="s">
        <v>588</v>
      </c>
      <c r="I1500" s="23" t="s">
        <v>7200</v>
      </c>
      <c r="J1500" s="12">
        <v>2015.0</v>
      </c>
      <c r="K1500" s="23" t="s">
        <v>7201</v>
      </c>
      <c r="L1500" s="24">
        <v>1.0</v>
      </c>
      <c r="M1500" s="25" t="s">
        <v>7202</v>
      </c>
      <c r="N1500" s="22" t="str">
        <f t="shared" si="2"/>
        <v>920.72
YUG
a</v>
      </c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</row>
    <row r="1501">
      <c r="A1501" s="10">
        <v>1500.0</v>
      </c>
      <c r="B1501" s="12" t="s">
        <v>7203</v>
      </c>
      <c r="C1501" s="12" t="s">
        <v>225</v>
      </c>
      <c r="D1501" s="23" t="s">
        <v>7204</v>
      </c>
      <c r="E1501" s="12" t="s">
        <v>7205</v>
      </c>
      <c r="F1501" s="12" t="s">
        <v>7206</v>
      </c>
      <c r="G1501" s="12"/>
      <c r="H1501" s="12" t="s">
        <v>7207</v>
      </c>
      <c r="I1501" s="23" t="s">
        <v>7208</v>
      </c>
      <c r="J1501" s="12">
        <v>2001.0</v>
      </c>
      <c r="K1501" s="23" t="s">
        <v>7209</v>
      </c>
      <c r="L1501" s="24">
        <v>1.0</v>
      </c>
      <c r="M1501" s="25" t="s">
        <v>7210</v>
      </c>
      <c r="N1501" s="22" t="str">
        <f t="shared" si="2"/>
        <v>155.4
DAV
a</v>
      </c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</row>
    <row r="1502">
      <c r="A1502" s="10">
        <v>1501.0</v>
      </c>
      <c r="B1502" s="12" t="s">
        <v>7211</v>
      </c>
      <c r="C1502" s="12" t="s">
        <v>31</v>
      </c>
      <c r="D1502" s="21" t="s">
        <v>7212</v>
      </c>
      <c r="E1502" s="12" t="s">
        <v>7213</v>
      </c>
      <c r="F1502" s="12" t="s">
        <v>2308</v>
      </c>
      <c r="G1502" s="12"/>
      <c r="H1502" s="12" t="s">
        <v>1735</v>
      </c>
      <c r="I1502" s="23" t="s">
        <v>7214</v>
      </c>
      <c r="J1502" s="12">
        <v>2015.0</v>
      </c>
      <c r="K1502" s="23">
        <v>64.0</v>
      </c>
      <c r="L1502" s="23">
        <v>4.0</v>
      </c>
      <c r="M1502" s="25" t="s">
        <v>7215</v>
      </c>
      <c r="N1502" s="22" t="str">
        <f t="shared" si="2"/>
        <v>070
HET
e</v>
      </c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</row>
    <row r="1503">
      <c r="A1503" s="10">
        <v>1502.0</v>
      </c>
      <c r="B1503" s="12" t="s">
        <v>7216</v>
      </c>
      <c r="C1503" s="12" t="s">
        <v>262</v>
      </c>
      <c r="D1503" s="23" t="s">
        <v>6824</v>
      </c>
      <c r="E1503" s="22" t="s">
        <v>6863</v>
      </c>
      <c r="F1503" s="12" t="s">
        <v>2667</v>
      </c>
      <c r="G1503" s="12"/>
      <c r="H1503" s="12" t="s">
        <v>7119</v>
      </c>
      <c r="I1503" s="23"/>
      <c r="J1503" s="12">
        <v>2001.0</v>
      </c>
      <c r="K1503" s="23">
        <v>43.0</v>
      </c>
      <c r="L1503" s="24">
        <v>1.0</v>
      </c>
      <c r="M1503" s="25" t="s">
        <v>7217</v>
      </c>
      <c r="N1503" s="22" t="str">
        <f t="shared" si="2"/>
        <v>923.5
KAM
s</v>
      </c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</row>
    <row r="1504">
      <c r="A1504" s="10">
        <v>1503.0</v>
      </c>
      <c r="B1504" s="12" t="s">
        <v>7218</v>
      </c>
      <c r="C1504" s="12" t="s">
        <v>38</v>
      </c>
      <c r="D1504" s="23" t="s">
        <v>445</v>
      </c>
      <c r="E1504" s="22" t="s">
        <v>5296</v>
      </c>
      <c r="F1504" s="12" t="s">
        <v>7219</v>
      </c>
      <c r="G1504" s="12" t="s">
        <v>430</v>
      </c>
      <c r="H1504" s="12" t="s">
        <v>564</v>
      </c>
      <c r="I1504" s="23">
        <v>9.786029124316E12</v>
      </c>
      <c r="J1504" s="12">
        <v>2015.0</v>
      </c>
      <c r="K1504" s="23" t="s">
        <v>7220</v>
      </c>
      <c r="L1504" s="23">
        <v>1.0</v>
      </c>
      <c r="M1504" s="25" t="s">
        <v>7221</v>
      </c>
      <c r="N1504" s="22" t="str">
        <f t="shared" si="2"/>
        <v>813
BAM
p</v>
      </c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</row>
    <row r="1505">
      <c r="A1505" s="10">
        <v>1504.0</v>
      </c>
      <c r="B1505" s="12" t="s">
        <v>7222</v>
      </c>
      <c r="C1505" s="12" t="s">
        <v>38</v>
      </c>
      <c r="D1505" s="23" t="s">
        <v>445</v>
      </c>
      <c r="E1505" s="22" t="s">
        <v>5296</v>
      </c>
      <c r="F1505" s="12" t="s">
        <v>7219</v>
      </c>
      <c r="G1505" s="12" t="s">
        <v>724</v>
      </c>
      <c r="H1505" s="12" t="s">
        <v>564</v>
      </c>
      <c r="I1505" s="23">
        <v>9.786029124293E12</v>
      </c>
      <c r="J1505" s="12">
        <v>2015.0</v>
      </c>
      <c r="K1505" s="23" t="s">
        <v>7220</v>
      </c>
      <c r="L1505" s="23">
        <v>1.0</v>
      </c>
      <c r="M1505" s="25" t="s">
        <v>7223</v>
      </c>
      <c r="N1505" s="22" t="str">
        <f t="shared" si="2"/>
        <v>813
BAM
p</v>
      </c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</row>
    <row r="1506">
      <c r="A1506" s="10">
        <v>1505.0</v>
      </c>
      <c r="B1506" s="12" t="s">
        <v>7224</v>
      </c>
      <c r="C1506" s="12" t="s">
        <v>84</v>
      </c>
      <c r="D1506" s="23" t="s">
        <v>7225</v>
      </c>
      <c r="E1506" s="22" t="s">
        <v>7226</v>
      </c>
      <c r="F1506" s="12" t="s">
        <v>7227</v>
      </c>
      <c r="G1506" s="12" t="s">
        <v>7228</v>
      </c>
      <c r="H1506" s="12" t="s">
        <v>7229</v>
      </c>
      <c r="I1506" s="22"/>
      <c r="J1506" s="12">
        <v>2013.0</v>
      </c>
      <c r="K1506" s="12" t="s">
        <v>7230</v>
      </c>
      <c r="L1506" s="12">
        <v>1.0</v>
      </c>
      <c r="M1506" s="12" t="s">
        <v>340</v>
      </c>
      <c r="N1506" s="22" t="str">
        <f t="shared" si="2"/>
        <v>782.265
YUL
1</v>
      </c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</row>
    <row r="1507">
      <c r="A1507" s="10">
        <v>1506.0</v>
      </c>
      <c r="B1507" s="12" t="s">
        <v>7231</v>
      </c>
      <c r="C1507" s="12" t="s">
        <v>262</v>
      </c>
      <c r="D1507" s="23" t="s">
        <v>7232</v>
      </c>
      <c r="E1507" s="22" t="s">
        <v>7233</v>
      </c>
      <c r="F1507" s="12" t="s">
        <v>2193</v>
      </c>
      <c r="G1507" s="12" t="s">
        <v>7234</v>
      </c>
      <c r="H1507" s="12" t="s">
        <v>7235</v>
      </c>
      <c r="I1507" s="23">
        <v>9.78602822736E12</v>
      </c>
      <c r="J1507" s="12">
        <v>2013.0</v>
      </c>
      <c r="K1507" s="23">
        <v>56.0</v>
      </c>
      <c r="L1507" s="24">
        <v>1.0</v>
      </c>
      <c r="M1507" s="12" t="s">
        <v>340</v>
      </c>
      <c r="N1507" s="22" t="str">
        <f t="shared" si="2"/>
        <v>910.2
ADH
p</v>
      </c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</row>
    <row r="1508">
      <c r="A1508" s="10">
        <v>1507.0</v>
      </c>
      <c r="B1508" s="12" t="s">
        <v>7236</v>
      </c>
      <c r="C1508" s="12" t="s">
        <v>262</v>
      </c>
      <c r="D1508" s="23" t="s">
        <v>7232</v>
      </c>
      <c r="E1508" s="22" t="s">
        <v>7233</v>
      </c>
      <c r="F1508" s="12" t="s">
        <v>2193</v>
      </c>
      <c r="G1508" s="12" t="s">
        <v>7234</v>
      </c>
      <c r="H1508" s="12" t="s">
        <v>7235</v>
      </c>
      <c r="I1508" s="23">
        <v>9.786028227384E12</v>
      </c>
      <c r="J1508" s="12">
        <v>2013.0</v>
      </c>
      <c r="K1508" s="23">
        <v>56.0</v>
      </c>
      <c r="L1508" s="23">
        <v>1.0</v>
      </c>
      <c r="M1508" s="12" t="s">
        <v>340</v>
      </c>
      <c r="N1508" s="22" t="str">
        <f t="shared" si="2"/>
        <v>910.2
ADH
p</v>
      </c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</row>
    <row r="1509">
      <c r="A1509" s="10">
        <v>1508.0</v>
      </c>
      <c r="B1509" s="12" t="s">
        <v>7146</v>
      </c>
      <c r="C1509" s="12" t="s">
        <v>262</v>
      </c>
      <c r="D1509" s="23" t="s">
        <v>7237</v>
      </c>
      <c r="E1509" s="22" t="s">
        <v>7238</v>
      </c>
      <c r="F1509" s="12" t="s">
        <v>7239</v>
      </c>
      <c r="G1509" s="12"/>
      <c r="H1509" s="12" t="s">
        <v>2097</v>
      </c>
      <c r="I1509" s="23">
        <v>9.789795145479E12</v>
      </c>
      <c r="J1509" s="12">
        <v>2009.0</v>
      </c>
      <c r="K1509" s="23">
        <v>52.0</v>
      </c>
      <c r="L1509" s="23">
        <v>1.0</v>
      </c>
      <c r="M1509" s="12" t="s">
        <v>340</v>
      </c>
      <c r="N1509" s="22" t="str">
        <f t="shared" si="2"/>
        <v>930.11
TIM
p</v>
      </c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</row>
    <row r="1510">
      <c r="A1510" s="10">
        <v>1509.0</v>
      </c>
      <c r="B1510" s="12" t="s">
        <v>7240</v>
      </c>
      <c r="C1510" s="12" t="s">
        <v>262</v>
      </c>
      <c r="D1510" s="105" t="s">
        <v>7241</v>
      </c>
      <c r="E1510" s="44" t="s">
        <v>7242</v>
      </c>
      <c r="F1510" s="12" t="s">
        <v>7243</v>
      </c>
      <c r="G1510" s="12" t="s">
        <v>2660</v>
      </c>
      <c r="H1510" s="12" t="s">
        <v>2369</v>
      </c>
      <c r="I1510" s="23">
        <v>9.789790181434E12</v>
      </c>
      <c r="J1510" s="12">
        <v>2007.0</v>
      </c>
      <c r="K1510" s="23" t="s">
        <v>7244</v>
      </c>
      <c r="L1510" s="23">
        <v>2.0</v>
      </c>
      <c r="M1510" s="12" t="s">
        <v>340</v>
      </c>
      <c r="N1510" s="22" t="str">
        <f t="shared" si="2"/>
        <v>911.598
TIM
s</v>
      </c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</row>
    <row r="1511">
      <c r="A1511" s="10">
        <v>1510.0</v>
      </c>
      <c r="B1511" s="12" t="s">
        <v>7245</v>
      </c>
      <c r="C1511" s="12" t="s">
        <v>38</v>
      </c>
      <c r="D1511" s="23" t="s">
        <v>445</v>
      </c>
      <c r="E1511" s="12" t="s">
        <v>64</v>
      </c>
      <c r="F1511" s="12" t="s">
        <v>7246</v>
      </c>
      <c r="G1511" s="12" t="s">
        <v>7247</v>
      </c>
      <c r="H1511" s="12" t="s">
        <v>7248</v>
      </c>
      <c r="I1511" s="23">
        <v>9.78602949824E12</v>
      </c>
      <c r="J1511" s="12">
        <v>2012.0</v>
      </c>
      <c r="K1511" s="23" t="s">
        <v>7249</v>
      </c>
      <c r="L1511" s="23">
        <v>1.0</v>
      </c>
      <c r="M1511" s="38" t="s">
        <v>7250</v>
      </c>
      <c r="N1511" s="22" t="str">
        <f t="shared" si="2"/>
        <v>813
KHR
s</v>
      </c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</row>
    <row r="1512">
      <c r="A1512" s="10">
        <v>1511.0</v>
      </c>
      <c r="B1512" s="12" t="s">
        <v>7251</v>
      </c>
      <c r="C1512" s="12" t="s">
        <v>38</v>
      </c>
      <c r="D1512" s="23" t="s">
        <v>445</v>
      </c>
      <c r="E1512" s="12" t="s">
        <v>64</v>
      </c>
      <c r="F1512" s="12" t="s">
        <v>7252</v>
      </c>
      <c r="G1512" s="12" t="s">
        <v>7253</v>
      </c>
      <c r="H1512" s="12" t="s">
        <v>7254</v>
      </c>
      <c r="I1512" s="23">
        <v>9.799795619887E12</v>
      </c>
      <c r="J1512" s="12">
        <v>2005.0</v>
      </c>
      <c r="K1512" s="23" t="s">
        <v>7255</v>
      </c>
      <c r="L1512" s="23">
        <v>1.0</v>
      </c>
      <c r="M1512" s="38" t="s">
        <v>7256</v>
      </c>
      <c r="N1512" s="22" t="str">
        <f t="shared" si="2"/>
        <v>813
THO
s</v>
      </c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</row>
    <row r="1513">
      <c r="A1513" s="10">
        <v>1512.0</v>
      </c>
      <c r="B1513" s="12" t="s">
        <v>7257</v>
      </c>
      <c r="C1513" s="12" t="s">
        <v>38</v>
      </c>
      <c r="D1513" s="23" t="s">
        <v>445</v>
      </c>
      <c r="E1513" s="12" t="s">
        <v>64</v>
      </c>
      <c r="F1513" s="12" t="s">
        <v>7258</v>
      </c>
      <c r="G1513" s="12"/>
      <c r="H1513" s="12" t="s">
        <v>7259</v>
      </c>
      <c r="I1513" s="23" t="s">
        <v>7260</v>
      </c>
      <c r="J1513" s="12">
        <v>2007.0</v>
      </c>
      <c r="K1513" s="23" t="s">
        <v>7261</v>
      </c>
      <c r="L1513" s="23">
        <v>1.0</v>
      </c>
      <c r="M1513" s="38" t="s">
        <v>7262</v>
      </c>
      <c r="N1513" s="22" t="str">
        <f t="shared" si="2"/>
        <v>813
SIT
s</v>
      </c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</row>
    <row r="1514">
      <c r="A1514" s="10">
        <v>1513.0</v>
      </c>
      <c r="B1514" s="12" t="s">
        <v>7263</v>
      </c>
      <c r="C1514" s="12" t="s">
        <v>38</v>
      </c>
      <c r="D1514" s="23">
        <v>819.0</v>
      </c>
      <c r="E1514" s="12" t="s">
        <v>7264</v>
      </c>
      <c r="F1514" s="12" t="s">
        <v>7265</v>
      </c>
      <c r="G1514" s="12"/>
      <c r="H1514" s="12" t="s">
        <v>6589</v>
      </c>
      <c r="I1514" s="23" t="s">
        <v>7266</v>
      </c>
      <c r="J1514" s="12">
        <v>2018.0</v>
      </c>
      <c r="K1514" s="23" t="s">
        <v>7267</v>
      </c>
      <c r="L1514" s="23">
        <v>3.0</v>
      </c>
      <c r="M1514" s="38" t="s">
        <v>7268</v>
      </c>
      <c r="N1514" s="22" t="str">
        <f t="shared" si="2"/>
        <v>819
QUE
k</v>
      </c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</row>
    <row r="1515">
      <c r="A1515" s="10">
        <v>1514.0</v>
      </c>
      <c r="B1515" s="12" t="s">
        <v>7269</v>
      </c>
      <c r="C1515" s="12" t="s">
        <v>38</v>
      </c>
      <c r="D1515" s="23">
        <v>819.0</v>
      </c>
      <c r="E1515" s="12" t="s">
        <v>7270</v>
      </c>
      <c r="F1515" s="12" t="s">
        <v>2285</v>
      </c>
      <c r="G1515" s="12"/>
      <c r="H1515" s="12" t="s">
        <v>6589</v>
      </c>
      <c r="I1515" s="23" t="s">
        <v>7271</v>
      </c>
      <c r="J1515" s="12">
        <v>2016.0</v>
      </c>
      <c r="K1515" s="23" t="s">
        <v>7272</v>
      </c>
      <c r="L1515" s="23">
        <v>1.0</v>
      </c>
      <c r="M1515" s="38" t="s">
        <v>7273</v>
      </c>
      <c r="N1515" s="22" t="str">
        <f t="shared" si="2"/>
        <v>819
DOD
j</v>
      </c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</row>
    <row r="1516">
      <c r="A1516" s="10">
        <v>1515.0</v>
      </c>
      <c r="B1516" s="12" t="s">
        <v>7274</v>
      </c>
      <c r="C1516" s="12" t="s">
        <v>38</v>
      </c>
      <c r="D1516" s="105">
        <v>813.0</v>
      </c>
      <c r="E1516" s="42" t="s">
        <v>5107</v>
      </c>
      <c r="F1516" s="12" t="s">
        <v>7275</v>
      </c>
      <c r="G1516" s="12" t="s">
        <v>7276</v>
      </c>
      <c r="H1516" s="12" t="s">
        <v>7277</v>
      </c>
      <c r="I1516" s="12" t="s">
        <v>7278</v>
      </c>
      <c r="J1516" s="12">
        <v>2010.0</v>
      </c>
      <c r="K1516" s="12" t="s">
        <v>7279</v>
      </c>
      <c r="L1516" s="23">
        <v>1.0</v>
      </c>
      <c r="M1516" s="38" t="s">
        <v>7280</v>
      </c>
      <c r="N1516" s="22" t="str">
        <f t="shared" si="2"/>
        <v>813
ABD
w</v>
      </c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</row>
    <row r="1517">
      <c r="A1517" s="10">
        <v>1516.0</v>
      </c>
      <c r="B1517" s="12" t="s">
        <v>7281</v>
      </c>
      <c r="C1517" s="12" t="s">
        <v>229</v>
      </c>
      <c r="D1517" s="23">
        <v>301.0</v>
      </c>
      <c r="E1517" s="12" t="s">
        <v>7282</v>
      </c>
      <c r="F1517" s="49" t="s">
        <v>7283</v>
      </c>
      <c r="G1517" s="12" t="s">
        <v>7284</v>
      </c>
      <c r="H1517" s="12" t="s">
        <v>1516</v>
      </c>
      <c r="I1517" s="23" t="s">
        <v>7285</v>
      </c>
      <c r="J1517" s="12">
        <v>2010.0</v>
      </c>
      <c r="K1517" s="23" t="s">
        <v>7286</v>
      </c>
      <c r="L1517" s="23">
        <v>4.0</v>
      </c>
      <c r="M1517" s="38" t="s">
        <v>7287</v>
      </c>
      <c r="N1517" s="22" t="str">
        <f t="shared" si="2"/>
        <v>301
AWA
d</v>
      </c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</row>
    <row r="1518">
      <c r="A1518" s="10">
        <v>1517.0</v>
      </c>
      <c r="B1518" s="12" t="s">
        <v>7288</v>
      </c>
      <c r="C1518" s="12" t="s">
        <v>246</v>
      </c>
      <c r="D1518" s="23">
        <v>500.0</v>
      </c>
      <c r="E1518" s="12" t="s">
        <v>2955</v>
      </c>
      <c r="F1518" s="12" t="s">
        <v>7289</v>
      </c>
      <c r="G1518" s="12" t="s">
        <v>7290</v>
      </c>
      <c r="H1518" s="12" t="s">
        <v>1516</v>
      </c>
      <c r="I1518" s="23" t="s">
        <v>7291</v>
      </c>
      <c r="J1518" s="12">
        <v>2011.0</v>
      </c>
      <c r="K1518" s="23" t="s">
        <v>7292</v>
      </c>
      <c r="L1518" s="23">
        <v>4.0</v>
      </c>
      <c r="M1518" s="38" t="s">
        <v>7293</v>
      </c>
      <c r="N1518" s="22" t="str">
        <f t="shared" si="2"/>
        <v>500
ENJ
p</v>
      </c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</row>
    <row r="1519">
      <c r="A1519" s="10">
        <v>1518.0</v>
      </c>
      <c r="B1519" s="12" t="s">
        <v>7294</v>
      </c>
      <c r="C1519" s="12" t="s">
        <v>229</v>
      </c>
      <c r="D1519" s="23" t="s">
        <v>1657</v>
      </c>
      <c r="E1519" s="12" t="s">
        <v>1784</v>
      </c>
      <c r="F1519" s="12" t="s">
        <v>7295</v>
      </c>
      <c r="G1519" s="12" t="s">
        <v>7296</v>
      </c>
      <c r="H1519" s="12" t="s">
        <v>1516</v>
      </c>
      <c r="I1519" s="23" t="s">
        <v>7297</v>
      </c>
      <c r="J1519" s="12">
        <v>2010.0</v>
      </c>
      <c r="K1519" s="23" t="s">
        <v>7298</v>
      </c>
      <c r="L1519" s="23">
        <v>4.0</v>
      </c>
      <c r="M1519" s="38" t="s">
        <v>7299</v>
      </c>
      <c r="N1519" s="22" t="str">
        <f t="shared" si="2"/>
        <v>371.3
KOS
p</v>
      </c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</row>
    <row r="1520">
      <c r="A1520" s="10">
        <v>1519.0</v>
      </c>
      <c r="B1520" s="12" t="s">
        <v>7300</v>
      </c>
      <c r="C1520" s="12" t="s">
        <v>229</v>
      </c>
      <c r="D1520" s="95">
        <v>341.48</v>
      </c>
      <c r="E1520" s="12" t="s">
        <v>7301</v>
      </c>
      <c r="F1520" s="49" t="s">
        <v>7302</v>
      </c>
      <c r="G1520" s="12" t="s">
        <v>7303</v>
      </c>
      <c r="H1520" s="12" t="s">
        <v>1516</v>
      </c>
      <c r="I1520" s="23" t="s">
        <v>7304</v>
      </c>
      <c r="J1520" s="12">
        <v>2010.0</v>
      </c>
      <c r="K1520" s="23" t="s">
        <v>7292</v>
      </c>
      <c r="L1520" s="23">
        <v>4.0</v>
      </c>
      <c r="M1520" s="38" t="s">
        <v>7305</v>
      </c>
      <c r="N1520" s="22" t="str">
        <f t="shared" si="2"/>
        <v>341,48
DAS
p</v>
      </c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</row>
    <row r="1521">
      <c r="A1521" s="10">
        <v>1520.0</v>
      </c>
      <c r="B1521" s="12" t="s">
        <v>7306</v>
      </c>
      <c r="C1521" s="12" t="s">
        <v>229</v>
      </c>
      <c r="D1521" s="106">
        <v>363.73874</v>
      </c>
      <c r="E1521" s="42" t="s">
        <v>7307</v>
      </c>
      <c r="F1521" s="49" t="s">
        <v>7302</v>
      </c>
      <c r="G1521" s="12" t="s">
        <v>7308</v>
      </c>
      <c r="H1521" s="12" t="s">
        <v>57</v>
      </c>
      <c r="I1521" s="23" t="s">
        <v>7309</v>
      </c>
      <c r="J1521" s="12">
        <v>2010.0</v>
      </c>
      <c r="K1521" s="23" t="s">
        <v>7310</v>
      </c>
      <c r="L1521" s="23">
        <v>4.0</v>
      </c>
      <c r="M1521" s="38" t="s">
        <v>7311</v>
      </c>
      <c r="N1521" s="22" t="str">
        <f t="shared" si="2"/>
        <v>363,73874
DAS
h</v>
      </c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</row>
    <row r="1522">
      <c r="A1522" s="10">
        <v>1521.0</v>
      </c>
      <c r="B1522" s="12" t="s">
        <v>7312</v>
      </c>
      <c r="C1522" s="12" t="s">
        <v>229</v>
      </c>
      <c r="D1522" s="23">
        <v>371.36</v>
      </c>
      <c r="E1522" s="12" t="s">
        <v>2012</v>
      </c>
      <c r="F1522" s="49" t="s">
        <v>7302</v>
      </c>
      <c r="G1522" s="12" t="s">
        <v>7313</v>
      </c>
      <c r="H1522" s="12" t="s">
        <v>1516</v>
      </c>
      <c r="I1522" s="23" t="s">
        <v>7314</v>
      </c>
      <c r="J1522" s="12">
        <v>2009.0</v>
      </c>
      <c r="K1522" s="23" t="s">
        <v>7292</v>
      </c>
      <c r="L1522" s="23">
        <v>4.0</v>
      </c>
      <c r="M1522" s="25" t="s">
        <v>7315</v>
      </c>
      <c r="N1522" s="22" t="str">
        <f t="shared" si="2"/>
        <v>371,36
DAS
p</v>
      </c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</row>
    <row r="1523">
      <c r="A1523" s="10">
        <v>1522.0</v>
      </c>
      <c r="B1523" s="12" t="s">
        <v>7316</v>
      </c>
      <c r="C1523" s="12" t="s">
        <v>229</v>
      </c>
      <c r="D1523" s="23">
        <v>371.36</v>
      </c>
      <c r="E1523" s="12" t="s">
        <v>2012</v>
      </c>
      <c r="F1523" s="12" t="s">
        <v>7295</v>
      </c>
      <c r="G1523" s="12" t="s">
        <v>7296</v>
      </c>
      <c r="H1523" s="12" t="s">
        <v>1516</v>
      </c>
      <c r="I1523" s="23" t="s">
        <v>7317</v>
      </c>
      <c r="J1523" s="12">
        <v>2010.0</v>
      </c>
      <c r="K1523" s="23" t="s">
        <v>7298</v>
      </c>
      <c r="L1523" s="23">
        <v>4.0</v>
      </c>
      <c r="M1523" s="25" t="s">
        <v>7318</v>
      </c>
      <c r="N1523" s="22" t="str">
        <f t="shared" si="2"/>
        <v>371,36
KOS
s</v>
      </c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</row>
    <row r="1524">
      <c r="A1524" s="10">
        <v>1523.0</v>
      </c>
      <c r="B1524" s="12" t="s">
        <v>7319</v>
      </c>
      <c r="C1524" s="12" t="s">
        <v>249</v>
      </c>
      <c r="D1524" s="23">
        <v>616.0</v>
      </c>
      <c r="E1524" s="12" t="s">
        <v>7320</v>
      </c>
      <c r="F1524" s="12" t="s">
        <v>7321</v>
      </c>
      <c r="G1524" s="12" t="s">
        <v>4785</v>
      </c>
      <c r="H1524" s="12" t="s">
        <v>57</v>
      </c>
      <c r="I1524" s="23" t="s">
        <v>7322</v>
      </c>
      <c r="J1524" s="12">
        <v>2010.0</v>
      </c>
      <c r="K1524" s="23">
        <v>88.0</v>
      </c>
      <c r="L1524" s="23">
        <v>4.0</v>
      </c>
      <c r="M1524" s="25" t="s">
        <v>7323</v>
      </c>
      <c r="N1524" s="22" t="str">
        <f t="shared" si="2"/>
        <v>616
ANN
o</v>
      </c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</row>
    <row r="1525">
      <c r="A1525" s="10">
        <v>1524.0</v>
      </c>
      <c r="B1525" s="12" t="s">
        <v>7324</v>
      </c>
      <c r="C1525" s="12" t="s">
        <v>229</v>
      </c>
      <c r="D1525" s="23">
        <v>371.36</v>
      </c>
      <c r="E1525" s="12" t="s">
        <v>2012</v>
      </c>
      <c r="F1525" s="12" t="s">
        <v>7295</v>
      </c>
      <c r="G1525" s="12" t="s">
        <v>7296</v>
      </c>
      <c r="H1525" s="12" t="s">
        <v>1516</v>
      </c>
      <c r="I1525" s="23" t="s">
        <v>7325</v>
      </c>
      <c r="J1525" s="12">
        <v>2010.0</v>
      </c>
      <c r="K1525" s="23">
        <v>92.0</v>
      </c>
      <c r="L1525" s="23">
        <v>4.0</v>
      </c>
      <c r="M1525" s="25" t="s">
        <v>7326</v>
      </c>
      <c r="N1525" s="22" t="str">
        <f t="shared" si="2"/>
        <v>371,36
KOS
p</v>
      </c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</row>
    <row r="1526">
      <c r="A1526" s="10">
        <v>1525.0</v>
      </c>
      <c r="B1526" s="12" t="s">
        <v>7327</v>
      </c>
      <c r="C1526" s="12" t="s">
        <v>246</v>
      </c>
      <c r="D1526" s="23">
        <v>503.0</v>
      </c>
      <c r="E1526" s="12" t="s">
        <v>7328</v>
      </c>
      <c r="F1526" s="12" t="s">
        <v>7329</v>
      </c>
      <c r="G1526" s="12" t="s">
        <v>7330</v>
      </c>
      <c r="H1526" s="12" t="s">
        <v>57</v>
      </c>
      <c r="I1526" s="23" t="s">
        <v>7331</v>
      </c>
      <c r="J1526" s="12">
        <v>2007.0</v>
      </c>
      <c r="K1526" s="23">
        <v>156.0</v>
      </c>
      <c r="L1526" s="23">
        <v>4.0</v>
      </c>
      <c r="M1526" s="25" t="s">
        <v>7332</v>
      </c>
      <c r="N1526" s="22" t="str">
        <f t="shared" si="2"/>
        <v>503
TIM
k</v>
      </c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</row>
    <row r="1527">
      <c r="A1527" s="10">
        <v>1526.0</v>
      </c>
      <c r="B1527" s="12" t="s">
        <v>7333</v>
      </c>
      <c r="C1527" s="12" t="s">
        <v>229</v>
      </c>
      <c r="D1527" s="23">
        <v>320.0</v>
      </c>
      <c r="E1527" s="12" t="s">
        <v>2268</v>
      </c>
      <c r="F1527" s="12" t="s">
        <v>7302</v>
      </c>
      <c r="G1527" s="12" t="s">
        <v>1660</v>
      </c>
      <c r="H1527" s="12" t="s">
        <v>1516</v>
      </c>
      <c r="I1527" s="23" t="s">
        <v>7334</v>
      </c>
      <c r="J1527" s="12">
        <v>2010.0</v>
      </c>
      <c r="K1527" s="23">
        <v>60.0</v>
      </c>
      <c r="L1527" s="23">
        <v>4.0</v>
      </c>
      <c r="M1527" s="25" t="s">
        <v>7335</v>
      </c>
      <c r="N1527" s="22" t="str">
        <f t="shared" si="2"/>
        <v>320
DAS
k</v>
      </c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</row>
    <row r="1528">
      <c r="A1528" s="10">
        <v>1527.0</v>
      </c>
      <c r="B1528" s="12" t="s">
        <v>7336</v>
      </c>
      <c r="C1528" s="12" t="s">
        <v>229</v>
      </c>
      <c r="D1528" s="23">
        <v>340.0</v>
      </c>
      <c r="E1528" s="12" t="s">
        <v>7337</v>
      </c>
      <c r="F1528" s="12" t="s">
        <v>7302</v>
      </c>
      <c r="G1528" s="12" t="s">
        <v>1660</v>
      </c>
      <c r="H1528" s="12" t="s">
        <v>1516</v>
      </c>
      <c r="I1528" s="23" t="s">
        <v>7338</v>
      </c>
      <c r="J1528" s="12">
        <v>2010.0</v>
      </c>
      <c r="K1528" s="23">
        <v>60.0</v>
      </c>
      <c r="L1528" s="23">
        <v>4.0</v>
      </c>
      <c r="M1528" s="25" t="s">
        <v>7339</v>
      </c>
      <c r="N1528" s="22" t="str">
        <f t="shared" si="2"/>
        <v>340
DAS
k</v>
      </c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</row>
    <row r="1529">
      <c r="A1529" s="10">
        <v>1528.0</v>
      </c>
      <c r="B1529" s="12" t="s">
        <v>7340</v>
      </c>
      <c r="C1529" s="12" t="s">
        <v>246</v>
      </c>
      <c r="D1529" s="105">
        <v>510.0</v>
      </c>
      <c r="E1529" s="107" t="s">
        <v>3019</v>
      </c>
      <c r="F1529" s="12" t="s">
        <v>7341</v>
      </c>
      <c r="G1529" s="12" t="s">
        <v>3021</v>
      </c>
      <c r="H1529" s="12" t="s">
        <v>57</v>
      </c>
      <c r="I1529" s="23" t="s">
        <v>7342</v>
      </c>
      <c r="J1529" s="12">
        <v>2010.0</v>
      </c>
      <c r="K1529" s="23">
        <v>76.0</v>
      </c>
      <c r="L1529" s="23">
        <v>4.0</v>
      </c>
      <c r="M1529" s="25" t="s">
        <v>7343</v>
      </c>
      <c r="N1529" s="22" t="str">
        <f t="shared" si="2"/>
        <v>510
WAH
m</v>
      </c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</row>
    <row r="1530">
      <c r="A1530" s="10">
        <v>1529.0</v>
      </c>
      <c r="B1530" s="12" t="s">
        <v>7344</v>
      </c>
      <c r="C1530" s="12" t="s">
        <v>38</v>
      </c>
      <c r="D1530" s="23">
        <v>813.0</v>
      </c>
      <c r="E1530" s="12" t="s">
        <v>64</v>
      </c>
      <c r="F1530" s="12" t="s">
        <v>7345</v>
      </c>
      <c r="G1530" s="12"/>
      <c r="H1530" s="12" t="s">
        <v>4206</v>
      </c>
      <c r="I1530" s="23" t="s">
        <v>7346</v>
      </c>
      <c r="J1530" s="12">
        <v>2010.0</v>
      </c>
      <c r="K1530" s="23">
        <v>116.0</v>
      </c>
      <c r="L1530" s="23">
        <v>1.0</v>
      </c>
      <c r="M1530" s="25" t="s">
        <v>7347</v>
      </c>
      <c r="N1530" s="22" t="str">
        <f t="shared" si="2"/>
        <v>813
ALF
t</v>
      </c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</row>
    <row r="1531">
      <c r="A1531" s="10">
        <v>1530.0</v>
      </c>
      <c r="B1531" s="12" t="s">
        <v>7348</v>
      </c>
      <c r="C1531" s="12" t="s">
        <v>38</v>
      </c>
      <c r="D1531" s="105">
        <v>817.0</v>
      </c>
      <c r="E1531" s="42" t="s">
        <v>7349</v>
      </c>
      <c r="F1531" s="12" t="s">
        <v>7350</v>
      </c>
      <c r="G1531" s="12"/>
      <c r="H1531" s="12" t="s">
        <v>4206</v>
      </c>
      <c r="I1531" s="23" t="s">
        <v>7351</v>
      </c>
      <c r="J1531" s="12"/>
      <c r="K1531" s="23">
        <v>208.0</v>
      </c>
      <c r="L1531" s="23">
        <v>1.0</v>
      </c>
      <c r="M1531" s="25" t="s">
        <v>7352</v>
      </c>
      <c r="N1531" s="22" t="str">
        <f t="shared" si="2"/>
        <v>817
CAN
y</v>
      </c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</row>
    <row r="1532">
      <c r="A1532" s="10">
        <v>1531.0</v>
      </c>
      <c r="B1532" s="12" t="s">
        <v>7353</v>
      </c>
      <c r="C1532" s="12" t="s">
        <v>235</v>
      </c>
      <c r="D1532" s="23">
        <v>413.0</v>
      </c>
      <c r="E1532" s="12" t="s">
        <v>2814</v>
      </c>
      <c r="F1532" s="12" t="s">
        <v>7354</v>
      </c>
      <c r="G1532" s="12"/>
      <c r="H1532" s="12" t="s">
        <v>2560</v>
      </c>
      <c r="I1532" s="23" t="s">
        <v>7355</v>
      </c>
      <c r="J1532" s="12">
        <v>2015.0</v>
      </c>
      <c r="K1532" s="23">
        <v>212.0</v>
      </c>
      <c r="L1532" s="23">
        <v>1.0</v>
      </c>
      <c r="M1532" s="25" t="s">
        <v>7356</v>
      </c>
      <c r="N1532" s="22" t="str">
        <f t="shared" si="2"/>
        <v>413
BUD
k</v>
      </c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</row>
    <row r="1533">
      <c r="A1533" s="10">
        <v>1532.0</v>
      </c>
      <c r="B1533" s="12" t="s">
        <v>7357</v>
      </c>
      <c r="C1533" s="12" t="s">
        <v>226</v>
      </c>
      <c r="D1533" s="36" t="s">
        <v>7358</v>
      </c>
      <c r="E1533" s="12" t="s">
        <v>7359</v>
      </c>
      <c r="F1533" s="12" t="s">
        <v>7360</v>
      </c>
      <c r="G1533" s="12" t="s">
        <v>7361</v>
      </c>
      <c r="H1533" s="12" t="s">
        <v>2314</v>
      </c>
      <c r="I1533" s="23" t="s">
        <v>7362</v>
      </c>
      <c r="J1533" s="12">
        <v>2008.0</v>
      </c>
      <c r="K1533" s="23">
        <v>60.0</v>
      </c>
      <c r="L1533" s="23">
        <v>1.0</v>
      </c>
      <c r="M1533" s="25" t="s">
        <v>7363</v>
      </c>
      <c r="N1533" s="22" t="str">
        <f t="shared" si="2"/>
        <v>297.351
WAI
s</v>
      </c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</row>
    <row r="1534">
      <c r="A1534" s="10">
        <v>1533.0</v>
      </c>
      <c r="B1534" s="12" t="s">
        <v>7364</v>
      </c>
      <c r="C1534" s="12" t="s">
        <v>246</v>
      </c>
      <c r="D1534" s="23" t="s">
        <v>3442</v>
      </c>
      <c r="E1534" s="12" t="s">
        <v>1107</v>
      </c>
      <c r="F1534" s="12" t="s">
        <v>7365</v>
      </c>
      <c r="G1534" s="12" t="s">
        <v>7366</v>
      </c>
      <c r="H1534" s="12" t="s">
        <v>3356</v>
      </c>
      <c r="I1534" s="23" t="s">
        <v>7367</v>
      </c>
      <c r="J1534" s="12">
        <v>2014.0</v>
      </c>
      <c r="K1534" s="23">
        <v>108.0</v>
      </c>
      <c r="L1534" s="23">
        <v>2.0</v>
      </c>
      <c r="M1534" s="25" t="s">
        <v>7368</v>
      </c>
      <c r="N1534" s="22" t="str">
        <f t="shared" si="2"/>
        <v>535.1
IIN
s</v>
      </c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</row>
    <row r="1535">
      <c r="A1535" s="10">
        <v>1534.0</v>
      </c>
      <c r="B1535" s="12" t="s">
        <v>7369</v>
      </c>
      <c r="C1535" s="12" t="s">
        <v>38</v>
      </c>
      <c r="D1535" s="36" t="s">
        <v>5317</v>
      </c>
      <c r="E1535" s="12" t="s">
        <v>486</v>
      </c>
      <c r="F1535" s="12" t="s">
        <v>7370</v>
      </c>
      <c r="G1535" s="12" t="s">
        <v>7371</v>
      </c>
      <c r="H1535" s="12" t="s">
        <v>6648</v>
      </c>
      <c r="I1535" s="23" t="s">
        <v>7372</v>
      </c>
      <c r="J1535" s="12">
        <v>2022.0</v>
      </c>
      <c r="K1535" s="23" t="s">
        <v>7373</v>
      </c>
      <c r="L1535" s="23">
        <v>1.0</v>
      </c>
      <c r="M1535" s="25" t="s">
        <v>7374</v>
      </c>
      <c r="N1535" s="22" t="str">
        <f t="shared" si="2"/>
        <v>811
RAF
a</v>
      </c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</row>
    <row r="1536">
      <c r="A1536" s="10">
        <v>1535.0</v>
      </c>
      <c r="B1536" s="12" t="s">
        <v>7375</v>
      </c>
      <c r="C1536" s="12" t="s">
        <v>246</v>
      </c>
      <c r="D1536" s="23">
        <v>510.0</v>
      </c>
      <c r="E1536" s="12" t="s">
        <v>3019</v>
      </c>
      <c r="F1536" s="12" t="s">
        <v>7376</v>
      </c>
      <c r="G1536" s="12" t="s">
        <v>7377</v>
      </c>
      <c r="H1536" s="12" t="s">
        <v>705</v>
      </c>
      <c r="I1536" s="23" t="s">
        <v>7378</v>
      </c>
      <c r="J1536" s="12">
        <v>2009.0</v>
      </c>
      <c r="K1536" s="23" t="s">
        <v>7379</v>
      </c>
      <c r="L1536" s="23">
        <v>1.0</v>
      </c>
      <c r="M1536" s="25" t="s">
        <v>7380</v>
      </c>
      <c r="N1536" s="22" t="str">
        <f t="shared" si="2"/>
        <v>510
SUE
m</v>
      </c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</row>
    <row r="1537">
      <c r="A1537" s="10">
        <v>1536.0</v>
      </c>
      <c r="B1537" s="12" t="s">
        <v>7381</v>
      </c>
      <c r="C1537" s="12" t="s">
        <v>246</v>
      </c>
      <c r="D1537" s="23" t="s">
        <v>7382</v>
      </c>
      <c r="E1537" s="12" t="s">
        <v>7383</v>
      </c>
      <c r="F1537" s="12" t="s">
        <v>7384</v>
      </c>
      <c r="G1537" s="12" t="s">
        <v>7385</v>
      </c>
      <c r="H1537" s="12" t="s">
        <v>7386</v>
      </c>
      <c r="I1537" s="23" t="s">
        <v>7387</v>
      </c>
      <c r="J1537" s="12">
        <v>2015.0</v>
      </c>
      <c r="K1537" s="23" t="s">
        <v>7388</v>
      </c>
      <c r="L1537" s="23">
        <v>1.0</v>
      </c>
      <c r="M1537" s="25" t="s">
        <v>7389</v>
      </c>
      <c r="N1537" s="22" t="str">
        <f t="shared" si="2"/>
        <v>509.2
IRA
p</v>
      </c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</row>
    <row r="1538">
      <c r="A1538" s="10">
        <v>1537.0</v>
      </c>
      <c r="B1538" s="12" t="s">
        <v>7390</v>
      </c>
      <c r="C1538" s="12" t="s">
        <v>246</v>
      </c>
      <c r="D1538" s="23">
        <v>510.0</v>
      </c>
      <c r="E1538" s="12" t="s">
        <v>3019</v>
      </c>
      <c r="F1538" s="12" t="s">
        <v>7376</v>
      </c>
      <c r="G1538" s="12" t="s">
        <v>7391</v>
      </c>
      <c r="H1538" s="12" t="s">
        <v>705</v>
      </c>
      <c r="I1538" s="23" t="s">
        <v>7392</v>
      </c>
      <c r="J1538" s="12">
        <v>2009.0</v>
      </c>
      <c r="K1538" s="23" t="s">
        <v>7379</v>
      </c>
      <c r="L1538" s="23">
        <v>1.0</v>
      </c>
      <c r="M1538" s="25" t="s">
        <v>7393</v>
      </c>
      <c r="N1538" s="22" t="str">
        <f t="shared" si="2"/>
        <v>510
SUE
m</v>
      </c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</row>
    <row r="1539">
      <c r="A1539" s="10">
        <v>1538.0</v>
      </c>
      <c r="B1539" s="12" t="s">
        <v>7394</v>
      </c>
      <c r="C1539" s="12" t="s">
        <v>246</v>
      </c>
      <c r="D1539" s="23">
        <v>510.0</v>
      </c>
      <c r="E1539" s="12" t="s">
        <v>3019</v>
      </c>
      <c r="F1539" s="12" t="s">
        <v>3554</v>
      </c>
      <c r="G1539" s="12" t="s">
        <v>3546</v>
      </c>
      <c r="H1539" s="12" t="s">
        <v>705</v>
      </c>
      <c r="I1539" s="23" t="s">
        <v>7395</v>
      </c>
      <c r="J1539" s="12">
        <v>2009.0</v>
      </c>
      <c r="K1539" s="23" t="s">
        <v>7379</v>
      </c>
      <c r="L1539" s="23">
        <v>1.0</v>
      </c>
      <c r="M1539" s="25" t="s">
        <v>7396</v>
      </c>
      <c r="N1539" s="22" t="str">
        <f t="shared" si="2"/>
        <v>510
BAR
m</v>
      </c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</row>
    <row r="1540">
      <c r="A1540" s="10">
        <v>1539.0</v>
      </c>
      <c r="B1540" s="12" t="s">
        <v>7397</v>
      </c>
      <c r="C1540" s="12" t="s">
        <v>246</v>
      </c>
      <c r="D1540" s="23">
        <v>510.0</v>
      </c>
      <c r="E1540" s="12" t="s">
        <v>3019</v>
      </c>
      <c r="F1540" s="12" t="s">
        <v>7376</v>
      </c>
      <c r="G1540" s="12" t="s">
        <v>7391</v>
      </c>
      <c r="H1540" s="12" t="s">
        <v>705</v>
      </c>
      <c r="I1540" s="23" t="s">
        <v>7398</v>
      </c>
      <c r="J1540" s="12">
        <v>2015.0</v>
      </c>
      <c r="K1540" s="23">
        <v>55.0</v>
      </c>
      <c r="L1540" s="23">
        <v>1.0</v>
      </c>
      <c r="M1540" s="25" t="s">
        <v>7399</v>
      </c>
      <c r="N1540" s="22" t="str">
        <f t="shared" si="2"/>
        <v>510
SUE
m</v>
      </c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</row>
    <row r="1541">
      <c r="A1541" s="10">
        <v>1540.0</v>
      </c>
      <c r="B1541" s="12" t="s">
        <v>7400</v>
      </c>
      <c r="C1541" s="12" t="s">
        <v>246</v>
      </c>
      <c r="D1541" s="23">
        <v>510.0</v>
      </c>
      <c r="E1541" s="12" t="s">
        <v>3019</v>
      </c>
      <c r="F1541" s="12" t="s">
        <v>7376</v>
      </c>
      <c r="G1541" s="12" t="s">
        <v>7391</v>
      </c>
      <c r="H1541" s="12" t="s">
        <v>705</v>
      </c>
      <c r="I1541" s="23" t="s">
        <v>7401</v>
      </c>
      <c r="J1541" s="12">
        <v>2015.0</v>
      </c>
      <c r="K1541" s="23" t="s">
        <v>7402</v>
      </c>
      <c r="L1541" s="23">
        <v>1.0</v>
      </c>
      <c r="M1541" s="25" t="s">
        <v>7403</v>
      </c>
      <c r="N1541" s="22" t="str">
        <f t="shared" si="2"/>
        <v>510
SUE
m</v>
      </c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</row>
    <row r="1542">
      <c r="A1542" s="10">
        <v>1541.0</v>
      </c>
      <c r="B1542" s="12" t="s">
        <v>7404</v>
      </c>
      <c r="C1542" s="12" t="s">
        <v>229</v>
      </c>
      <c r="D1542" s="23">
        <v>370.0</v>
      </c>
      <c r="E1542" s="12" t="s">
        <v>1639</v>
      </c>
      <c r="F1542" s="12" t="s">
        <v>1875</v>
      </c>
      <c r="G1542" s="12"/>
      <c r="H1542" s="12" t="s">
        <v>1875</v>
      </c>
      <c r="I1542" s="23"/>
      <c r="J1542" s="12">
        <v>2015.0</v>
      </c>
      <c r="K1542" s="23">
        <v>129.0</v>
      </c>
      <c r="L1542" s="23">
        <v>1.0</v>
      </c>
      <c r="M1542" s="25" t="s">
        <v>7405</v>
      </c>
      <c r="N1542" s="22" t="str">
        <f t="shared" si="2"/>
        <v>370
KEM
p</v>
      </c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</row>
    <row r="1543">
      <c r="A1543" s="10">
        <v>1542.0</v>
      </c>
      <c r="B1543" s="12" t="s">
        <v>7406</v>
      </c>
      <c r="C1543" s="12" t="s">
        <v>249</v>
      </c>
      <c r="D1543" s="23" t="s">
        <v>7407</v>
      </c>
      <c r="E1543" s="12" t="s">
        <v>7408</v>
      </c>
      <c r="F1543" s="12" t="s">
        <v>2341</v>
      </c>
      <c r="G1543" s="12" t="s">
        <v>761</v>
      </c>
      <c r="H1543" s="12" t="s">
        <v>2309</v>
      </c>
      <c r="I1543" s="23" t="s">
        <v>7409</v>
      </c>
      <c r="J1543" s="12">
        <v>2013.0</v>
      </c>
      <c r="K1543" s="23" t="s">
        <v>7410</v>
      </c>
      <c r="L1543" s="23">
        <v>1.0</v>
      </c>
      <c r="M1543" s="25" t="s">
        <v>7411</v>
      </c>
      <c r="N1543" s="22" t="str">
        <f t="shared" si="2"/>
        <v>620.23
IND
p</v>
      </c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</row>
    <row r="1544">
      <c r="A1544" s="10">
        <v>1543.0</v>
      </c>
      <c r="B1544" s="12" t="s">
        <v>7412</v>
      </c>
      <c r="C1544" s="12" t="s">
        <v>84</v>
      </c>
      <c r="D1544" s="23" t="s">
        <v>7413</v>
      </c>
      <c r="E1544" s="12" t="s">
        <v>7414</v>
      </c>
      <c r="F1544" s="12" t="s">
        <v>4929</v>
      </c>
      <c r="G1544" s="12" t="s">
        <v>7415</v>
      </c>
      <c r="H1544" s="12" t="s">
        <v>7416</v>
      </c>
      <c r="I1544" s="23" t="s">
        <v>7417</v>
      </c>
      <c r="J1544" s="12">
        <v>2008.0</v>
      </c>
      <c r="K1544" s="23">
        <v>52.0</v>
      </c>
      <c r="L1544" s="23">
        <v>1.0</v>
      </c>
      <c r="M1544" s="25" t="s">
        <v>7418</v>
      </c>
      <c r="N1544" s="22" t="str">
        <f t="shared" si="2"/>
        <v>741.2
MUN
m</v>
      </c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</row>
    <row r="1545">
      <c r="A1545" s="10">
        <v>1544.0</v>
      </c>
      <c r="B1545" s="12" t="s">
        <v>7419</v>
      </c>
      <c r="C1545" s="12" t="s">
        <v>246</v>
      </c>
      <c r="D1545" s="23">
        <v>510.0</v>
      </c>
      <c r="E1545" s="12" t="s">
        <v>3019</v>
      </c>
      <c r="F1545" s="12" t="s">
        <v>7376</v>
      </c>
      <c r="G1545" s="12" t="s">
        <v>7377</v>
      </c>
      <c r="H1545" s="12" t="s">
        <v>705</v>
      </c>
      <c r="I1545" s="23" t="s">
        <v>7420</v>
      </c>
      <c r="J1545" s="12">
        <v>2015.0</v>
      </c>
      <c r="K1545" s="23">
        <v>55.0</v>
      </c>
      <c r="L1545" s="23">
        <v>1.0</v>
      </c>
      <c r="M1545" s="25" t="s">
        <v>7421</v>
      </c>
      <c r="N1545" s="22" t="str">
        <f t="shared" si="2"/>
        <v>510
SUE
m</v>
      </c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</row>
    <row r="1546">
      <c r="A1546" s="10">
        <v>1545.0</v>
      </c>
      <c r="B1546" s="12" t="s">
        <v>7422</v>
      </c>
      <c r="C1546" s="12" t="s">
        <v>229</v>
      </c>
      <c r="D1546" s="23">
        <v>370.0</v>
      </c>
      <c r="E1546" s="12" t="s">
        <v>1639</v>
      </c>
      <c r="F1546" s="12" t="s">
        <v>1970</v>
      </c>
      <c r="G1546" s="12"/>
      <c r="H1546" s="12"/>
      <c r="I1546" s="23"/>
      <c r="J1546" s="12"/>
      <c r="K1546" s="23"/>
      <c r="L1546" s="23">
        <v>1.0</v>
      </c>
      <c r="M1546" s="12" t="s">
        <v>340</v>
      </c>
      <c r="N1546" s="22" t="str">
        <f t="shared" si="2"/>
        <v>370
DIN
h</v>
      </c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</row>
    <row r="1547">
      <c r="A1547" s="10">
        <v>1546.0</v>
      </c>
      <c r="B1547" s="12" t="s">
        <v>7423</v>
      </c>
      <c r="C1547" s="12" t="s">
        <v>249</v>
      </c>
      <c r="D1547" s="23">
        <v>620.0</v>
      </c>
      <c r="E1547" s="12" t="s">
        <v>4181</v>
      </c>
      <c r="F1547" s="12" t="s">
        <v>6537</v>
      </c>
      <c r="G1547" s="12" t="s">
        <v>7424</v>
      </c>
      <c r="H1547" s="12" t="s">
        <v>2314</v>
      </c>
      <c r="I1547" s="23" t="s">
        <v>7425</v>
      </c>
      <c r="J1547" s="12">
        <v>2007.0</v>
      </c>
      <c r="K1547" s="23">
        <v>44.0</v>
      </c>
      <c r="L1547" s="23">
        <v>1.0</v>
      </c>
      <c r="M1547" s="25" t="s">
        <v>7426</v>
      </c>
      <c r="N1547" s="22" t="str">
        <f t="shared" si="2"/>
        <v>620
ADR
e</v>
      </c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</row>
    <row r="1548">
      <c r="A1548" s="10">
        <v>1547.0</v>
      </c>
      <c r="B1548" s="12" t="s">
        <v>7427</v>
      </c>
      <c r="C1548" s="12" t="s">
        <v>229</v>
      </c>
      <c r="D1548" s="23" t="s">
        <v>1856</v>
      </c>
      <c r="E1548" s="12" t="s">
        <v>1898</v>
      </c>
      <c r="F1548" s="12" t="s">
        <v>5722</v>
      </c>
      <c r="G1548" s="12"/>
      <c r="H1548" s="12" t="s">
        <v>7428</v>
      </c>
      <c r="I1548" s="23"/>
      <c r="J1548" s="12">
        <v>2014.0</v>
      </c>
      <c r="K1548" s="23">
        <v>85.0</v>
      </c>
      <c r="L1548" s="23">
        <v>1.0</v>
      </c>
      <c r="M1548" s="25" t="s">
        <v>7429</v>
      </c>
      <c r="N1548" s="22" t="str">
        <f t="shared" si="2"/>
        <v>398.2
AAN
p</v>
      </c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</row>
    <row r="1549">
      <c r="A1549" s="10">
        <v>1548.0</v>
      </c>
      <c r="B1549" s="12" t="s">
        <v>7430</v>
      </c>
      <c r="C1549" s="12" t="s">
        <v>235</v>
      </c>
      <c r="D1549" s="23" t="s">
        <v>7431</v>
      </c>
      <c r="E1549" s="12" t="s">
        <v>7432</v>
      </c>
      <c r="F1549" s="12" t="s">
        <v>7433</v>
      </c>
      <c r="G1549" s="12" t="s">
        <v>7434</v>
      </c>
      <c r="H1549" s="12" t="s">
        <v>2314</v>
      </c>
      <c r="I1549" s="23" t="s">
        <v>7435</v>
      </c>
      <c r="J1549" s="12">
        <v>2009.0</v>
      </c>
      <c r="K1549" s="23" t="s">
        <v>7436</v>
      </c>
      <c r="L1549" s="23">
        <v>1.0</v>
      </c>
      <c r="M1549" s="25" t="s">
        <v>7437</v>
      </c>
      <c r="N1549" s="22" t="str">
        <f t="shared" si="2"/>
        <v>413.1
ANI
i</v>
      </c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</row>
    <row r="1550">
      <c r="A1550" s="10">
        <v>1549.0</v>
      </c>
      <c r="B1550" s="12" t="s">
        <v>7438</v>
      </c>
      <c r="C1550" s="12" t="s">
        <v>249</v>
      </c>
      <c r="D1550" s="23">
        <v>680.0</v>
      </c>
      <c r="E1550" s="12" t="s">
        <v>7439</v>
      </c>
      <c r="F1550" s="12" t="s">
        <v>7440</v>
      </c>
      <c r="G1550" s="12" t="s">
        <v>2392</v>
      </c>
      <c r="H1550" s="12" t="s">
        <v>762</v>
      </c>
      <c r="I1550" s="23" t="s">
        <v>7441</v>
      </c>
      <c r="J1550" s="12">
        <v>2015.0</v>
      </c>
      <c r="K1550" s="23" t="s">
        <v>7442</v>
      </c>
      <c r="L1550" s="23">
        <v>3.0</v>
      </c>
      <c r="M1550" s="25" t="s">
        <v>7443</v>
      </c>
      <c r="N1550" s="22" t="str">
        <f t="shared" si="2"/>
        <v>680
FIR
b</v>
      </c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</row>
    <row r="1551">
      <c r="A1551" s="10">
        <v>1550.0</v>
      </c>
      <c r="B1551" s="12" t="s">
        <v>7444</v>
      </c>
      <c r="C1551" s="12" t="s">
        <v>249</v>
      </c>
      <c r="D1551" s="23">
        <v>613.0</v>
      </c>
      <c r="E1551" s="12" t="s">
        <v>4127</v>
      </c>
      <c r="F1551" s="12" t="s">
        <v>7445</v>
      </c>
      <c r="G1551" s="12" t="s">
        <v>3669</v>
      </c>
      <c r="H1551" s="12" t="s">
        <v>2036</v>
      </c>
      <c r="I1551" s="23" t="s">
        <v>7446</v>
      </c>
      <c r="J1551" s="12">
        <v>2014.0</v>
      </c>
      <c r="K1551" s="23" t="s">
        <v>2250</v>
      </c>
      <c r="L1551" s="23">
        <v>1.0</v>
      </c>
      <c r="M1551" s="25" t="s">
        <v>7447</v>
      </c>
      <c r="N1551" s="22" t="str">
        <f t="shared" si="2"/>
        <v>613
ICH
a</v>
      </c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</row>
    <row r="1552">
      <c r="A1552" s="10">
        <v>1551.0</v>
      </c>
      <c r="B1552" s="12" t="s">
        <v>7448</v>
      </c>
      <c r="C1552" s="12" t="s">
        <v>38</v>
      </c>
      <c r="D1552" s="23">
        <v>819.0</v>
      </c>
      <c r="E1552" s="12" t="s">
        <v>5671</v>
      </c>
      <c r="F1552" s="12" t="s">
        <v>7449</v>
      </c>
      <c r="G1552" s="12"/>
      <c r="H1552" s="12" t="s">
        <v>2560</v>
      </c>
      <c r="I1552" s="23"/>
      <c r="J1552" s="12">
        <v>2018.0</v>
      </c>
      <c r="K1552" s="23" t="s">
        <v>1575</v>
      </c>
      <c r="L1552" s="23">
        <v>1.0</v>
      </c>
      <c r="M1552" s="25" t="s">
        <v>7450</v>
      </c>
      <c r="N1552" s="22" t="str">
        <f t="shared" si="2"/>
        <v>819
DAR
l</v>
      </c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</row>
    <row r="1553">
      <c r="A1553" s="10">
        <v>1552.0</v>
      </c>
      <c r="B1553" s="12" t="s">
        <v>7451</v>
      </c>
      <c r="C1553" s="12" t="s">
        <v>38</v>
      </c>
      <c r="D1553" s="23">
        <v>819.0</v>
      </c>
      <c r="E1553" s="12" t="s">
        <v>5671</v>
      </c>
      <c r="F1553" s="12" t="s">
        <v>5722</v>
      </c>
      <c r="G1553" s="12"/>
      <c r="H1553" s="12" t="s">
        <v>2560</v>
      </c>
      <c r="I1553" s="23"/>
      <c r="J1553" s="12">
        <v>2018.0</v>
      </c>
      <c r="K1553" s="23" t="s">
        <v>1575</v>
      </c>
      <c r="L1553" s="23">
        <v>2.0</v>
      </c>
      <c r="M1553" s="25" t="s">
        <v>7452</v>
      </c>
      <c r="N1553" s="22" t="str">
        <f t="shared" si="2"/>
        <v>819
AAN
h</v>
      </c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</row>
    <row r="1554">
      <c r="A1554" s="10">
        <v>1553.0</v>
      </c>
      <c r="B1554" s="89" t="s">
        <v>7453</v>
      </c>
      <c r="C1554" s="108" t="s">
        <v>38</v>
      </c>
      <c r="D1554" s="83">
        <v>811.0</v>
      </c>
      <c r="E1554" s="98" t="s">
        <v>7454</v>
      </c>
      <c r="F1554" s="89" t="s">
        <v>7455</v>
      </c>
      <c r="G1554" s="89" t="s">
        <v>7456</v>
      </c>
      <c r="H1554" s="89" t="s">
        <v>7457</v>
      </c>
      <c r="I1554" s="89">
        <v>9.786238848607E12</v>
      </c>
      <c r="J1554" s="91">
        <v>2023.0</v>
      </c>
      <c r="K1554" s="89" t="s">
        <v>7458</v>
      </c>
      <c r="L1554" s="89">
        <v>13.0</v>
      </c>
      <c r="M1554" s="122" t="s">
        <v>7459</v>
      </c>
      <c r="N1554" s="22" t="str">
        <f t="shared" si="2"/>
        <v>811
KEP
a</v>
      </c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</row>
    <row r="1555">
      <c r="A1555" s="10">
        <v>1554.0</v>
      </c>
      <c r="B1555" s="12" t="s">
        <v>7460</v>
      </c>
      <c r="C1555" s="12" t="s">
        <v>229</v>
      </c>
      <c r="D1555" s="23" t="s">
        <v>1856</v>
      </c>
      <c r="E1555" s="12" t="s">
        <v>1898</v>
      </c>
      <c r="F1555" s="12" t="s">
        <v>7461</v>
      </c>
      <c r="G1555" s="12"/>
      <c r="H1555" s="12" t="s">
        <v>2560</v>
      </c>
      <c r="I1555" s="23" t="s">
        <v>7462</v>
      </c>
      <c r="J1555" s="12">
        <v>2018.0</v>
      </c>
      <c r="K1555" s="23">
        <v>48.0</v>
      </c>
      <c r="L1555" s="23">
        <v>2.0</v>
      </c>
      <c r="M1555" s="25" t="s">
        <v>7463</v>
      </c>
      <c r="N1555" s="22" t="str">
        <f t="shared" si="2"/>
        <v>398.2
JUL
j</v>
      </c>
      <c r="O1555" s="110"/>
      <c r="P1555" s="110"/>
      <c r="Q1555" s="110"/>
      <c r="R1555" s="110"/>
      <c r="S1555" s="110"/>
      <c r="T1555" s="110"/>
      <c r="U1555" s="110"/>
      <c r="V1555" s="110"/>
      <c r="W1555" s="110"/>
      <c r="X1555" s="26"/>
    </row>
    <row r="1556">
      <c r="A1556" s="10">
        <v>1555.0</v>
      </c>
      <c r="B1556" s="12" t="s">
        <v>7464</v>
      </c>
      <c r="C1556" s="12" t="s">
        <v>38</v>
      </c>
      <c r="D1556" s="23">
        <v>819.0</v>
      </c>
      <c r="E1556" s="12" t="s">
        <v>7465</v>
      </c>
      <c r="F1556" s="12" t="s">
        <v>7449</v>
      </c>
      <c r="G1556" s="12"/>
      <c r="H1556" s="12" t="s">
        <v>2560</v>
      </c>
      <c r="I1556" s="23"/>
      <c r="J1556" s="12"/>
      <c r="K1556" s="23"/>
      <c r="L1556" s="23">
        <v>2.0</v>
      </c>
      <c r="M1556" s="38" t="s">
        <v>7466</v>
      </c>
      <c r="N1556" s="22" t="str">
        <f t="shared" si="2"/>
        <v>819
DAR
e</v>
      </c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</row>
    <row r="1557">
      <c r="A1557" s="10">
        <v>1556.0</v>
      </c>
      <c r="B1557" s="12" t="s">
        <v>7467</v>
      </c>
      <c r="C1557" s="12" t="s">
        <v>246</v>
      </c>
      <c r="D1557" s="23">
        <v>500.0</v>
      </c>
      <c r="E1557" s="12" t="s">
        <v>2955</v>
      </c>
      <c r="F1557" s="12" t="s">
        <v>7468</v>
      </c>
      <c r="G1557" s="12" t="s">
        <v>7469</v>
      </c>
      <c r="H1557" s="12" t="s">
        <v>3598</v>
      </c>
      <c r="I1557" s="23" t="s">
        <v>7470</v>
      </c>
      <c r="J1557" s="12">
        <v>2009.0</v>
      </c>
      <c r="K1557" s="23">
        <v>75.0</v>
      </c>
      <c r="L1557" s="23">
        <v>1.0</v>
      </c>
      <c r="M1557" s="12" t="s">
        <v>340</v>
      </c>
      <c r="N1557" s="22" t="str">
        <f t="shared" si="2"/>
        <v>500
SES
s</v>
      </c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</row>
    <row r="1558">
      <c r="A1558" s="10">
        <v>1557.0</v>
      </c>
      <c r="B1558" s="12" t="s">
        <v>2558</v>
      </c>
      <c r="C1558" s="12" t="s">
        <v>229</v>
      </c>
      <c r="D1558" s="23" t="s">
        <v>1856</v>
      </c>
      <c r="E1558" s="12" t="s">
        <v>1898</v>
      </c>
      <c r="F1558" s="12" t="s">
        <v>2559</v>
      </c>
      <c r="G1558" s="12" t="s">
        <v>518</v>
      </c>
      <c r="H1558" s="12" t="s">
        <v>7471</v>
      </c>
      <c r="I1558" s="23">
        <v>9.789792417258E12</v>
      </c>
      <c r="J1558" s="12">
        <v>2009.0</v>
      </c>
      <c r="K1558" s="23">
        <v>48.0</v>
      </c>
      <c r="L1558" s="23">
        <v>1.0</v>
      </c>
      <c r="M1558" s="25" t="s">
        <v>7472</v>
      </c>
      <c r="N1558" s="22" t="str">
        <f t="shared" si="2"/>
        <v>398.2
TAT
n</v>
      </c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</row>
    <row r="1559">
      <c r="A1559" s="10">
        <v>1558.0</v>
      </c>
      <c r="B1559" s="12" t="s">
        <v>7473</v>
      </c>
      <c r="C1559" s="12" t="s">
        <v>84</v>
      </c>
      <c r="D1559" s="23">
        <v>745.5</v>
      </c>
      <c r="E1559" s="12" t="s">
        <v>4628</v>
      </c>
      <c r="F1559" s="12" t="s">
        <v>7474</v>
      </c>
      <c r="G1559" s="12" t="s">
        <v>3388</v>
      </c>
      <c r="H1559" s="12" t="s">
        <v>623</v>
      </c>
      <c r="I1559" s="23">
        <v>9.789796783472E12</v>
      </c>
      <c r="J1559" s="12">
        <v>2014.0</v>
      </c>
      <c r="K1559" s="23">
        <v>52.0</v>
      </c>
      <c r="L1559" s="23">
        <v>1.0</v>
      </c>
      <c r="M1559" s="25" t="s">
        <v>7475</v>
      </c>
      <c r="N1559" s="22" t="str">
        <f t="shared" si="2"/>
        <v>745,5
ADH
a</v>
      </c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</row>
    <row r="1560">
      <c r="A1560" s="10">
        <v>1559.0</v>
      </c>
      <c r="B1560" s="12" t="s">
        <v>7476</v>
      </c>
      <c r="C1560" s="12" t="s">
        <v>262</v>
      </c>
      <c r="D1560" s="23" t="s">
        <v>7232</v>
      </c>
      <c r="E1560" s="12" t="s">
        <v>7477</v>
      </c>
      <c r="F1560" s="12" t="s">
        <v>7478</v>
      </c>
      <c r="G1560" s="12" t="s">
        <v>3459</v>
      </c>
      <c r="H1560" s="12" t="s">
        <v>6375</v>
      </c>
      <c r="I1560" s="23">
        <v>9.789793745534E12</v>
      </c>
      <c r="J1560" s="12">
        <v>2014.0</v>
      </c>
      <c r="K1560" s="23">
        <v>332.0</v>
      </c>
      <c r="L1560" s="23">
        <v>1.0</v>
      </c>
      <c r="M1560" s="25" t="s">
        <v>7479</v>
      </c>
      <c r="N1560" s="22" t="str">
        <f t="shared" si="2"/>
        <v>910.2
ICH
p</v>
      </c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</row>
    <row r="1561">
      <c r="A1561" s="10">
        <v>1560.0</v>
      </c>
      <c r="B1561" s="12" t="s">
        <v>7480</v>
      </c>
      <c r="C1561" s="12" t="s">
        <v>38</v>
      </c>
      <c r="D1561" s="23">
        <v>813.0</v>
      </c>
      <c r="E1561" s="12" t="s">
        <v>1089</v>
      </c>
      <c r="F1561" s="12" t="s">
        <v>3934</v>
      </c>
      <c r="G1561" s="77" t="s">
        <v>7481</v>
      </c>
      <c r="H1561" s="12" t="s">
        <v>1473</v>
      </c>
      <c r="I1561" s="23">
        <v>9.789799282613E12</v>
      </c>
      <c r="J1561" s="12">
        <v>2007.0</v>
      </c>
      <c r="K1561" s="23">
        <v>87.0</v>
      </c>
      <c r="L1561" s="23">
        <v>1.0</v>
      </c>
      <c r="M1561" s="25" t="s">
        <v>7482</v>
      </c>
      <c r="N1561" s="22" t="str">
        <f t="shared" si="2"/>
        <v>813
TIM
k</v>
      </c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</row>
    <row r="1562">
      <c r="A1562" s="10">
        <v>1561.0</v>
      </c>
      <c r="B1562" s="12" t="s">
        <v>7483</v>
      </c>
      <c r="C1562" s="12" t="s">
        <v>38</v>
      </c>
      <c r="D1562" s="23">
        <v>808.0</v>
      </c>
      <c r="E1562" s="12" t="s">
        <v>2778</v>
      </c>
      <c r="F1562" s="12" t="s">
        <v>7484</v>
      </c>
      <c r="G1562" s="12" t="s">
        <v>7485</v>
      </c>
      <c r="H1562" s="12" t="s">
        <v>7486</v>
      </c>
      <c r="I1562" s="23" t="s">
        <v>7487</v>
      </c>
      <c r="J1562" s="12">
        <v>2015.0</v>
      </c>
      <c r="K1562" s="23">
        <v>56.0</v>
      </c>
      <c r="L1562" s="23">
        <v>1.0</v>
      </c>
      <c r="M1562" s="25" t="s">
        <v>7488</v>
      </c>
      <c r="N1562" s="22" t="str">
        <f t="shared" si="2"/>
        <v>808
ADI
a</v>
      </c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</row>
    <row r="1563">
      <c r="A1563" s="10">
        <v>1562.0</v>
      </c>
      <c r="B1563" s="12" t="s">
        <v>7489</v>
      </c>
      <c r="C1563" s="12" t="s">
        <v>246</v>
      </c>
      <c r="D1563" s="23" t="s">
        <v>7490</v>
      </c>
      <c r="E1563" s="12" t="s">
        <v>7491</v>
      </c>
      <c r="F1563" s="12" t="s">
        <v>7492</v>
      </c>
      <c r="G1563" s="12" t="s">
        <v>3514</v>
      </c>
      <c r="H1563" s="12" t="s">
        <v>3589</v>
      </c>
      <c r="I1563" s="23" t="s">
        <v>7493</v>
      </c>
      <c r="J1563" s="12">
        <v>2009.0</v>
      </c>
      <c r="K1563" s="23">
        <v>68.0</v>
      </c>
      <c r="L1563" s="23">
        <v>1.0</v>
      </c>
      <c r="M1563" s="12" t="s">
        <v>340</v>
      </c>
      <c r="N1563" s="22" t="str">
        <f t="shared" si="2"/>
        <v>523.2
ARD
s</v>
      </c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</row>
    <row r="1564">
      <c r="A1564" s="10">
        <v>1563.0</v>
      </c>
      <c r="B1564" s="12" t="s">
        <v>7494</v>
      </c>
      <c r="C1564" s="12" t="s">
        <v>38</v>
      </c>
      <c r="D1564" s="23">
        <v>811.0</v>
      </c>
      <c r="E1564" s="12" t="s">
        <v>486</v>
      </c>
      <c r="F1564" s="12" t="s">
        <v>6603</v>
      </c>
      <c r="G1564" s="12"/>
      <c r="H1564" s="12" t="s">
        <v>2286</v>
      </c>
      <c r="I1564" s="23" t="s">
        <v>7495</v>
      </c>
      <c r="J1564" s="12">
        <v>2017.0</v>
      </c>
      <c r="K1564" s="23">
        <v>74.0</v>
      </c>
      <c r="L1564" s="23">
        <v>1.0</v>
      </c>
      <c r="M1564" s="38" t="s">
        <v>7496</v>
      </c>
      <c r="N1564" s="22" t="str">
        <f t="shared" si="2"/>
        <v>811
KEN
s</v>
      </c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</row>
    <row r="1565">
      <c r="A1565" s="10">
        <v>1564.0</v>
      </c>
      <c r="B1565" s="12" t="s">
        <v>7497</v>
      </c>
      <c r="C1565" s="12" t="s">
        <v>229</v>
      </c>
      <c r="D1565" s="23" t="s">
        <v>1856</v>
      </c>
      <c r="E1565" s="12" t="s">
        <v>1898</v>
      </c>
      <c r="F1565" s="12" t="s">
        <v>7498</v>
      </c>
      <c r="G1565" s="12" t="s">
        <v>7499</v>
      </c>
      <c r="H1565" s="12" t="s">
        <v>7500</v>
      </c>
      <c r="I1565" s="23">
        <v>9.789792594324E12</v>
      </c>
      <c r="J1565" s="12">
        <v>2018.0</v>
      </c>
      <c r="K1565" s="23">
        <v>128.0</v>
      </c>
      <c r="L1565" s="23">
        <v>1.0</v>
      </c>
      <c r="M1565" s="25" t="s">
        <v>7501</v>
      </c>
      <c r="N1565" s="22" t="str">
        <f t="shared" si="2"/>
        <v>398.2
RAH
d</v>
      </c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</row>
    <row r="1566">
      <c r="A1566" s="10">
        <v>1565.0</v>
      </c>
      <c r="B1566" s="12" t="s">
        <v>7502</v>
      </c>
      <c r="C1566" s="12" t="s">
        <v>235</v>
      </c>
      <c r="D1566" s="23">
        <v>418.0</v>
      </c>
      <c r="E1566" s="12" t="s">
        <v>2814</v>
      </c>
      <c r="F1566" s="12" t="s">
        <v>7503</v>
      </c>
      <c r="G1566" s="12"/>
      <c r="H1566" s="12" t="s">
        <v>2478</v>
      </c>
      <c r="I1566" s="23"/>
      <c r="J1566" s="12">
        <v>1997.0</v>
      </c>
      <c r="K1566" s="23">
        <v>261.0</v>
      </c>
      <c r="L1566" s="23">
        <v>1.0</v>
      </c>
      <c r="M1566" s="25" t="s">
        <v>7504</v>
      </c>
      <c r="N1566" s="22" t="str">
        <f t="shared" si="2"/>
        <v>418
BUD
k</v>
      </c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</row>
    <row r="1567">
      <c r="A1567" s="10">
        <v>1566.0</v>
      </c>
      <c r="B1567" s="12" t="s">
        <v>7505</v>
      </c>
      <c r="C1567" s="12" t="s">
        <v>229</v>
      </c>
      <c r="D1567" s="23" t="s">
        <v>1856</v>
      </c>
      <c r="E1567" s="12" t="s">
        <v>1898</v>
      </c>
      <c r="F1567" s="12" t="s">
        <v>7506</v>
      </c>
      <c r="G1567" s="12" t="s">
        <v>5953</v>
      </c>
      <c r="H1567" s="12" t="s">
        <v>2560</v>
      </c>
      <c r="I1567" s="23" t="s">
        <v>7507</v>
      </c>
      <c r="J1567" s="12">
        <v>2018.0</v>
      </c>
      <c r="K1567" s="23">
        <v>48.0</v>
      </c>
      <c r="L1567" s="23">
        <v>1.0</v>
      </c>
      <c r="M1567" s="25" t="s">
        <v>7508</v>
      </c>
      <c r="N1567" s="22" t="str">
        <f t="shared" si="2"/>
        <v>398.2
ZAK
s</v>
      </c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</row>
    <row r="1568">
      <c r="A1568" s="10">
        <v>1567.0</v>
      </c>
      <c r="B1568" s="12" t="s">
        <v>7509</v>
      </c>
      <c r="C1568" s="12" t="s">
        <v>229</v>
      </c>
      <c r="D1568" s="23" t="s">
        <v>1856</v>
      </c>
      <c r="E1568" s="12" t="s">
        <v>1898</v>
      </c>
      <c r="F1568" s="12" t="s">
        <v>7510</v>
      </c>
      <c r="G1568" s="12" t="s">
        <v>5953</v>
      </c>
      <c r="H1568" s="12" t="s">
        <v>2560</v>
      </c>
      <c r="I1568" s="23" t="s">
        <v>7511</v>
      </c>
      <c r="J1568" s="12">
        <v>2018.0</v>
      </c>
      <c r="K1568" s="23">
        <v>48.0</v>
      </c>
      <c r="L1568" s="23">
        <v>1.0</v>
      </c>
      <c r="M1568" s="25" t="s">
        <v>7512</v>
      </c>
      <c r="N1568" s="22" t="str">
        <f t="shared" si="2"/>
        <v>398.2
AZK
g</v>
      </c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</row>
    <row r="1569">
      <c r="A1569" s="10">
        <v>1568.0</v>
      </c>
      <c r="B1569" s="12" t="s">
        <v>7513</v>
      </c>
      <c r="C1569" s="12" t="s">
        <v>262</v>
      </c>
      <c r="D1569" s="23">
        <v>920.0</v>
      </c>
      <c r="E1569" s="12" t="s">
        <v>6863</v>
      </c>
      <c r="F1569" s="12" t="s">
        <v>2446</v>
      </c>
      <c r="G1569" s="12" t="s">
        <v>5953</v>
      </c>
      <c r="H1569" s="12" t="s">
        <v>2560</v>
      </c>
      <c r="I1569" s="23" t="s">
        <v>7514</v>
      </c>
      <c r="J1569" s="12">
        <v>2018.0</v>
      </c>
      <c r="K1569" s="23">
        <v>48.0</v>
      </c>
      <c r="L1569" s="23">
        <v>1.0</v>
      </c>
      <c r="M1569" s="38" t="s">
        <v>7515</v>
      </c>
      <c r="N1569" s="22" t="str">
        <f t="shared" si="2"/>
        <v>920
BUD
k</v>
      </c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</row>
    <row r="1570">
      <c r="A1570" s="10">
        <v>1569.0</v>
      </c>
      <c r="B1570" s="12" t="s">
        <v>6831</v>
      </c>
      <c r="C1570" s="12" t="s">
        <v>262</v>
      </c>
      <c r="D1570" s="23">
        <v>920.0</v>
      </c>
      <c r="E1570" s="12" t="s">
        <v>6863</v>
      </c>
      <c r="F1570" s="12" t="s">
        <v>7516</v>
      </c>
      <c r="G1570" s="12" t="s">
        <v>5953</v>
      </c>
      <c r="H1570" s="12" t="s">
        <v>2560</v>
      </c>
      <c r="I1570" s="23" t="s">
        <v>7517</v>
      </c>
      <c r="J1570" s="12">
        <v>2018.0</v>
      </c>
      <c r="K1570" s="23">
        <v>48.0</v>
      </c>
      <c r="L1570" s="23">
        <v>1.0</v>
      </c>
      <c r="M1570" s="25" t="s">
        <v>7518</v>
      </c>
      <c r="N1570" s="22" t="str">
        <f t="shared" si="2"/>
        <v>920
BUD
m</v>
      </c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</row>
    <row r="1571">
      <c r="A1571" s="10">
        <v>1570.0</v>
      </c>
      <c r="B1571" s="12" t="s">
        <v>2558</v>
      </c>
      <c r="C1571" s="12" t="s">
        <v>229</v>
      </c>
      <c r="D1571" s="23" t="s">
        <v>1856</v>
      </c>
      <c r="E1571" s="12" t="s">
        <v>1898</v>
      </c>
      <c r="F1571" s="12" t="s">
        <v>2559</v>
      </c>
      <c r="G1571" s="12" t="s">
        <v>5953</v>
      </c>
      <c r="H1571" s="12" t="s">
        <v>2560</v>
      </c>
      <c r="I1571" s="23" t="s">
        <v>7519</v>
      </c>
      <c r="J1571" s="12">
        <v>2018.0</v>
      </c>
      <c r="K1571" s="23">
        <v>48.0</v>
      </c>
      <c r="L1571" s="23">
        <v>1.0</v>
      </c>
      <c r="M1571" s="25" t="s">
        <v>7472</v>
      </c>
      <c r="N1571" s="22" t="str">
        <f t="shared" si="2"/>
        <v>398.2
TAT
n</v>
      </c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</row>
    <row r="1572">
      <c r="A1572" s="10">
        <v>1571.0</v>
      </c>
      <c r="B1572" s="12" t="s">
        <v>7520</v>
      </c>
      <c r="C1572" s="12" t="s">
        <v>38</v>
      </c>
      <c r="D1572" s="23">
        <v>819.0</v>
      </c>
      <c r="E1572" s="12" t="s">
        <v>5671</v>
      </c>
      <c r="F1572" s="12" t="s">
        <v>5637</v>
      </c>
      <c r="G1572" s="12" t="s">
        <v>5953</v>
      </c>
      <c r="H1572" s="12" t="s">
        <v>2560</v>
      </c>
      <c r="I1572" s="23" t="s">
        <v>7521</v>
      </c>
      <c r="J1572" s="12">
        <v>2018.0</v>
      </c>
      <c r="K1572" s="23">
        <v>64.0</v>
      </c>
      <c r="L1572" s="23">
        <v>1.0</v>
      </c>
      <c r="M1572" s="25" t="s">
        <v>7522</v>
      </c>
      <c r="N1572" s="22" t="str">
        <f t="shared" si="2"/>
        <v>819
HID
j</v>
      </c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</row>
    <row r="1573">
      <c r="A1573" s="10">
        <v>1572.0</v>
      </c>
      <c r="B1573" s="12" t="s">
        <v>7523</v>
      </c>
      <c r="C1573" s="12" t="s">
        <v>229</v>
      </c>
      <c r="D1573" s="23" t="s">
        <v>1856</v>
      </c>
      <c r="E1573" s="12" t="s">
        <v>1898</v>
      </c>
      <c r="F1573" s="12" t="s">
        <v>5722</v>
      </c>
      <c r="G1573" s="12" t="s">
        <v>5953</v>
      </c>
      <c r="H1573" s="12" t="s">
        <v>2560</v>
      </c>
      <c r="I1573" s="23" t="s">
        <v>7524</v>
      </c>
      <c r="J1573" s="12">
        <v>2018.0</v>
      </c>
      <c r="K1573" s="23">
        <v>48.0</v>
      </c>
      <c r="L1573" s="23">
        <v>1.0</v>
      </c>
      <c r="M1573" s="25" t="s">
        <v>7525</v>
      </c>
      <c r="N1573" s="22" t="str">
        <f t="shared" si="2"/>
        <v>398.2
AAN
s</v>
      </c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</row>
    <row r="1574">
      <c r="A1574" s="10">
        <v>1573.0</v>
      </c>
      <c r="B1574" s="12" t="s">
        <v>6834</v>
      </c>
      <c r="C1574" s="12" t="s">
        <v>38</v>
      </c>
      <c r="D1574" s="23">
        <v>819.0</v>
      </c>
      <c r="E1574" s="12" t="s">
        <v>2401</v>
      </c>
      <c r="F1574" s="12" t="s">
        <v>2446</v>
      </c>
      <c r="G1574" s="12" t="s">
        <v>5953</v>
      </c>
      <c r="H1574" s="12" t="s">
        <v>2560</v>
      </c>
      <c r="I1574" s="23" t="s">
        <v>7526</v>
      </c>
      <c r="J1574" s="12">
        <v>2018.0</v>
      </c>
      <c r="K1574" s="23">
        <v>48.0</v>
      </c>
      <c r="L1574" s="23">
        <v>1.0</v>
      </c>
      <c r="M1574" s="25" t="s">
        <v>6836</v>
      </c>
      <c r="N1574" s="22" t="str">
        <f t="shared" si="2"/>
        <v>819
BUD
k</v>
      </c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</row>
    <row r="1575">
      <c r="A1575" s="12">
        <v>1574.0</v>
      </c>
      <c r="B1575" s="12" t="s">
        <v>6409</v>
      </c>
      <c r="C1575" s="12" t="s">
        <v>229</v>
      </c>
      <c r="D1575" s="23" t="s">
        <v>1856</v>
      </c>
      <c r="E1575" s="12" t="s">
        <v>2500</v>
      </c>
      <c r="F1575" s="12" t="s">
        <v>2446</v>
      </c>
      <c r="G1575" s="12" t="s">
        <v>5953</v>
      </c>
      <c r="H1575" s="12" t="s">
        <v>2560</v>
      </c>
      <c r="I1575" s="23" t="s">
        <v>7527</v>
      </c>
      <c r="J1575" s="12">
        <v>2018.0</v>
      </c>
      <c r="K1575" s="23">
        <v>48.0</v>
      </c>
      <c r="L1575" s="23">
        <v>1.0</v>
      </c>
      <c r="M1575" s="25" t="s">
        <v>6411</v>
      </c>
      <c r="N1575" s="22" t="str">
        <f t="shared" si="2"/>
        <v>398.2
BUD
b</v>
      </c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</row>
    <row r="1576">
      <c r="A1576" s="12">
        <v>1575.0</v>
      </c>
      <c r="B1576" s="12" t="s">
        <v>7528</v>
      </c>
      <c r="C1576" s="12" t="s">
        <v>235</v>
      </c>
      <c r="D1576" s="23">
        <v>423.0</v>
      </c>
      <c r="E1576" s="12" t="s">
        <v>2814</v>
      </c>
      <c r="F1576" s="12" t="s">
        <v>7529</v>
      </c>
      <c r="G1576" s="12" t="s">
        <v>340</v>
      </c>
      <c r="H1576" s="12" t="s">
        <v>2510</v>
      </c>
      <c r="I1576" s="23" t="s">
        <v>7530</v>
      </c>
      <c r="J1576" s="12">
        <v>2012.0</v>
      </c>
      <c r="K1576" s="23">
        <v>420.0</v>
      </c>
      <c r="L1576" s="23">
        <v>1.0</v>
      </c>
      <c r="M1576" s="25" t="s">
        <v>7531</v>
      </c>
      <c r="N1576" s="22" t="str">
        <f t="shared" si="2"/>
        <v>423
PUR
k</v>
      </c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</row>
    <row r="1577">
      <c r="A1577" s="12">
        <v>1576.0</v>
      </c>
      <c r="B1577" s="12" t="s">
        <v>7532</v>
      </c>
      <c r="C1577" s="12" t="s">
        <v>235</v>
      </c>
      <c r="D1577" s="47">
        <v>499222.0</v>
      </c>
      <c r="E1577" s="12" t="s">
        <v>2808</v>
      </c>
      <c r="F1577" s="12" t="s">
        <v>7503</v>
      </c>
      <c r="G1577" s="12" t="s">
        <v>340</v>
      </c>
      <c r="H1577" s="12" t="s">
        <v>2478</v>
      </c>
      <c r="I1577" s="23" t="s">
        <v>340</v>
      </c>
      <c r="J1577" s="12">
        <v>1996.0</v>
      </c>
      <c r="K1577" s="23">
        <v>352.0</v>
      </c>
      <c r="L1577" s="23">
        <v>1.0</v>
      </c>
      <c r="M1577" s="25" t="s">
        <v>7533</v>
      </c>
      <c r="N1577" s="22" t="str">
        <f t="shared" si="2"/>
        <v>499222
BUD
k</v>
      </c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</row>
    <row r="1578">
      <c r="A1578" s="12">
        <v>1577.0</v>
      </c>
      <c r="B1578" s="12" t="s">
        <v>7534</v>
      </c>
      <c r="C1578" s="12" t="s">
        <v>229</v>
      </c>
      <c r="D1578" s="23" t="s">
        <v>2390</v>
      </c>
      <c r="E1578" s="12" t="s">
        <v>2012</v>
      </c>
      <c r="F1578" s="12" t="s">
        <v>7302</v>
      </c>
      <c r="G1578" s="12" t="s">
        <v>340</v>
      </c>
      <c r="H1578" s="12" t="s">
        <v>1516</v>
      </c>
      <c r="I1578" s="23" t="s">
        <v>7535</v>
      </c>
      <c r="J1578" s="12">
        <v>2010.0</v>
      </c>
      <c r="K1578" s="23">
        <v>148.0</v>
      </c>
      <c r="L1578" s="23">
        <v>4.0</v>
      </c>
      <c r="M1578" s="25" t="s">
        <v>7536</v>
      </c>
      <c r="N1578" s="22" t="str">
        <f t="shared" si="2"/>
        <v>371.36
DAS
m</v>
      </c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</row>
    <row r="1579">
      <c r="A1579" s="12">
        <v>1578.0</v>
      </c>
      <c r="B1579" s="12" t="s">
        <v>7537</v>
      </c>
      <c r="C1579" s="12" t="s">
        <v>229</v>
      </c>
      <c r="D1579" s="23" t="s">
        <v>2390</v>
      </c>
      <c r="E1579" s="12" t="s">
        <v>2012</v>
      </c>
      <c r="F1579" s="12" t="s">
        <v>7302</v>
      </c>
      <c r="G1579" s="12" t="s">
        <v>340</v>
      </c>
      <c r="H1579" s="12" t="s">
        <v>1516</v>
      </c>
      <c r="I1579" s="23" t="s">
        <v>7538</v>
      </c>
      <c r="J1579" s="12">
        <v>2010.0</v>
      </c>
      <c r="K1579" s="23">
        <v>174.0</v>
      </c>
      <c r="L1579" s="23">
        <v>4.0</v>
      </c>
      <c r="M1579" s="25" t="s">
        <v>7539</v>
      </c>
      <c r="N1579" s="22" t="str">
        <f t="shared" si="2"/>
        <v>371.36
DAS
p</v>
      </c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</row>
    <row r="1580">
      <c r="A1580" s="12">
        <v>1579.0</v>
      </c>
      <c r="B1580" s="12" t="s">
        <v>7540</v>
      </c>
      <c r="C1580" s="12" t="s">
        <v>229</v>
      </c>
      <c r="D1580" s="23">
        <v>370.0</v>
      </c>
      <c r="E1580" s="12" t="s">
        <v>1639</v>
      </c>
      <c r="F1580" s="12" t="s">
        <v>7541</v>
      </c>
      <c r="G1580" s="12" t="s">
        <v>340</v>
      </c>
      <c r="H1580" s="12" t="s">
        <v>1516</v>
      </c>
      <c r="I1580" s="23" t="s">
        <v>7542</v>
      </c>
      <c r="J1580" s="12">
        <v>2010.0</v>
      </c>
      <c r="K1580" s="23">
        <v>248.0</v>
      </c>
      <c r="L1580" s="23">
        <v>4.0</v>
      </c>
      <c r="M1580" s="25" t="s">
        <v>7543</v>
      </c>
      <c r="N1580" s="22" t="str">
        <f t="shared" si="2"/>
        <v>370
ACE
k</v>
      </c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</row>
    <row r="1581">
      <c r="A1581" s="12">
        <v>1580.0</v>
      </c>
      <c r="B1581" s="12" t="s">
        <v>7544</v>
      </c>
      <c r="C1581" s="12" t="s">
        <v>246</v>
      </c>
      <c r="D1581" s="23" t="s">
        <v>7545</v>
      </c>
      <c r="E1581" s="12" t="s">
        <v>7544</v>
      </c>
      <c r="F1581" s="12" t="s">
        <v>7289</v>
      </c>
      <c r="G1581" s="12" t="s">
        <v>3021</v>
      </c>
      <c r="H1581" s="12" t="s">
        <v>57</v>
      </c>
      <c r="I1581" s="23" t="s">
        <v>7546</v>
      </c>
      <c r="J1581" s="12">
        <v>2011.0</v>
      </c>
      <c r="K1581" s="23">
        <v>92.0</v>
      </c>
      <c r="L1581" s="23">
        <v>4.0</v>
      </c>
      <c r="M1581" s="25" t="s">
        <v>7547</v>
      </c>
      <c r="N1581" s="22" t="str">
        <f t="shared" si="2"/>
        <v>531.6
ENJ
e</v>
      </c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</row>
    <row r="1582">
      <c r="A1582" s="12">
        <v>1581.0</v>
      </c>
      <c r="B1582" s="12" t="s">
        <v>7548</v>
      </c>
      <c r="C1582" s="12" t="s">
        <v>246</v>
      </c>
      <c r="D1582" s="23">
        <v>532.0</v>
      </c>
      <c r="E1582" s="12" t="s">
        <v>7548</v>
      </c>
      <c r="F1582" s="12" t="s">
        <v>7289</v>
      </c>
      <c r="G1582" s="12" t="s">
        <v>3021</v>
      </c>
      <c r="H1582" s="12" t="s">
        <v>57</v>
      </c>
      <c r="I1582" s="23" t="s">
        <v>7549</v>
      </c>
      <c r="J1582" s="12">
        <v>2011.0</v>
      </c>
      <c r="K1582" s="23">
        <v>92.0</v>
      </c>
      <c r="L1582" s="23">
        <v>4.0</v>
      </c>
      <c r="M1582" s="25" t="s">
        <v>7550</v>
      </c>
      <c r="N1582" s="22" t="str">
        <f t="shared" si="2"/>
        <v>532
ENJ
f</v>
      </c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</row>
    <row r="1583">
      <c r="A1583" s="12">
        <v>1582.0</v>
      </c>
      <c r="B1583" s="12" t="s">
        <v>7551</v>
      </c>
      <c r="C1583" s="12" t="s">
        <v>249</v>
      </c>
      <c r="D1583" s="23" t="s">
        <v>7552</v>
      </c>
      <c r="E1583" s="12" t="s">
        <v>7553</v>
      </c>
      <c r="F1583" s="12" t="s">
        <v>3011</v>
      </c>
      <c r="G1583" s="12" t="s">
        <v>3012</v>
      </c>
      <c r="H1583" s="12" t="s">
        <v>57</v>
      </c>
      <c r="I1583" s="23" t="s">
        <v>7554</v>
      </c>
      <c r="J1583" s="12">
        <v>2010.0</v>
      </c>
      <c r="K1583" s="23">
        <v>60.0</v>
      </c>
      <c r="L1583" s="23">
        <v>4.0</v>
      </c>
      <c r="M1583" s="25" t="s">
        <v>7555</v>
      </c>
      <c r="N1583" s="22" t="str">
        <f t="shared" si="2"/>
        <v>547.09
ASE
p</v>
      </c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</row>
    <row r="1584">
      <c r="A1584" s="12">
        <v>1583.0</v>
      </c>
      <c r="B1584" s="12" t="s">
        <v>7556</v>
      </c>
      <c r="C1584" s="12" t="s">
        <v>229</v>
      </c>
      <c r="D1584" s="23">
        <v>321.0</v>
      </c>
      <c r="E1584" s="12" t="s">
        <v>7557</v>
      </c>
      <c r="F1584" s="12" t="s">
        <v>7302</v>
      </c>
      <c r="G1584" s="12" t="s">
        <v>1660</v>
      </c>
      <c r="H1584" s="12" t="s">
        <v>1516</v>
      </c>
      <c r="I1584" s="23" t="s">
        <v>7558</v>
      </c>
      <c r="J1584" s="12">
        <v>2010.0</v>
      </c>
      <c r="K1584" s="23">
        <v>60.0</v>
      </c>
      <c r="L1584" s="23">
        <v>4.0</v>
      </c>
      <c r="M1584" s="25" t="s">
        <v>7559</v>
      </c>
      <c r="N1584" s="22" t="str">
        <f t="shared" si="2"/>
        <v>321
DAS
m</v>
      </c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</row>
    <row r="1585">
      <c r="A1585" s="12">
        <v>1584.0</v>
      </c>
      <c r="B1585" s="12" t="s">
        <v>7560</v>
      </c>
      <c r="C1585" s="12" t="s">
        <v>246</v>
      </c>
      <c r="D1585" s="23" t="s">
        <v>7561</v>
      </c>
      <c r="E1585" s="12" t="s">
        <v>7560</v>
      </c>
      <c r="F1585" s="12" t="s">
        <v>7289</v>
      </c>
      <c r="G1585" s="12" t="s">
        <v>3021</v>
      </c>
      <c r="H1585" s="12" t="s">
        <v>57</v>
      </c>
      <c r="I1585" s="23" t="s">
        <v>7562</v>
      </c>
      <c r="J1585" s="12">
        <v>2011.0</v>
      </c>
      <c r="K1585" s="23">
        <v>92.0</v>
      </c>
      <c r="L1585" s="23">
        <v>4.0</v>
      </c>
      <c r="M1585" s="25" t="s">
        <v>7563</v>
      </c>
      <c r="N1585" s="22" t="str">
        <f t="shared" si="2"/>
        <v>536.1
ENJ
k</v>
      </c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</row>
    <row r="1586">
      <c r="A1586" s="12">
        <v>1585.0</v>
      </c>
      <c r="B1586" s="12" t="s">
        <v>7564</v>
      </c>
      <c r="C1586" s="12" t="s">
        <v>229</v>
      </c>
      <c r="D1586" s="47">
        <v>342598.0</v>
      </c>
      <c r="E1586" s="12" t="s">
        <v>7565</v>
      </c>
      <c r="F1586" s="12" t="s">
        <v>7302</v>
      </c>
      <c r="G1586" s="12" t="s">
        <v>1660</v>
      </c>
      <c r="H1586" s="12" t="s">
        <v>1516</v>
      </c>
      <c r="I1586" s="23" t="s">
        <v>7566</v>
      </c>
      <c r="J1586" s="12">
        <v>2010.0</v>
      </c>
      <c r="K1586" s="23">
        <v>60.0</v>
      </c>
      <c r="L1586" s="23">
        <v>4.0</v>
      </c>
      <c r="M1586" s="25" t="s">
        <v>7567</v>
      </c>
      <c r="N1586" s="22" t="str">
        <f t="shared" si="2"/>
        <v>342598
DAS
m</v>
      </c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</row>
    <row r="1587">
      <c r="A1587" s="12">
        <v>1586.0</v>
      </c>
      <c r="B1587" s="12" t="s">
        <v>7568</v>
      </c>
      <c r="C1587" s="12" t="s">
        <v>229</v>
      </c>
      <c r="D1587" s="23" t="s">
        <v>7569</v>
      </c>
      <c r="E1587" s="12" t="s">
        <v>7570</v>
      </c>
      <c r="F1587" s="12" t="s">
        <v>7302</v>
      </c>
      <c r="G1587" s="12" t="s">
        <v>1660</v>
      </c>
      <c r="H1587" s="12" t="s">
        <v>1516</v>
      </c>
      <c r="I1587" s="23" t="s">
        <v>7571</v>
      </c>
      <c r="J1587" s="12">
        <v>2010.0</v>
      </c>
      <c r="K1587" s="23">
        <v>60.0</v>
      </c>
      <c r="L1587" s="23">
        <v>4.0</v>
      </c>
      <c r="M1587" s="25" t="s">
        <v>7572</v>
      </c>
      <c r="N1587" s="22" t="str">
        <f t="shared" si="2"/>
        <v>348.02
DAS
m</v>
      </c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</row>
    <row r="1588">
      <c r="A1588" s="12">
        <v>1587.0</v>
      </c>
      <c r="B1588" s="12" t="s">
        <v>7573</v>
      </c>
      <c r="C1588" s="12" t="s">
        <v>229</v>
      </c>
      <c r="D1588" s="23" t="s">
        <v>1738</v>
      </c>
      <c r="E1588" s="12" t="s">
        <v>7574</v>
      </c>
      <c r="F1588" s="12" t="s">
        <v>7302</v>
      </c>
      <c r="G1588" s="12" t="s">
        <v>1660</v>
      </c>
      <c r="H1588" s="12" t="s">
        <v>1516</v>
      </c>
      <c r="I1588" s="23" t="s">
        <v>7575</v>
      </c>
      <c r="J1588" s="12">
        <v>2010.0</v>
      </c>
      <c r="K1588" s="23">
        <v>60.0</v>
      </c>
      <c r="L1588" s="23">
        <v>4.0</v>
      </c>
      <c r="M1588" s="25" t="s">
        <v>7576</v>
      </c>
      <c r="N1588" s="22" t="str">
        <f t="shared" si="2"/>
        <v>321.8
DAS
m</v>
      </c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</row>
    <row r="1589">
      <c r="A1589" s="12">
        <v>1588.0</v>
      </c>
      <c r="B1589" s="12" t="s">
        <v>7577</v>
      </c>
      <c r="C1589" s="12" t="s">
        <v>249</v>
      </c>
      <c r="D1589" s="23" t="s">
        <v>7578</v>
      </c>
      <c r="E1589" s="12" t="s">
        <v>7579</v>
      </c>
      <c r="F1589" s="12" t="s">
        <v>4057</v>
      </c>
      <c r="G1589" s="12" t="s">
        <v>7580</v>
      </c>
      <c r="H1589" s="12" t="s">
        <v>57</v>
      </c>
      <c r="I1589" s="23" t="s">
        <v>7581</v>
      </c>
      <c r="J1589" s="12">
        <v>2010.0</v>
      </c>
      <c r="K1589" s="23">
        <v>88.0</v>
      </c>
      <c r="L1589" s="23">
        <v>4.0</v>
      </c>
      <c r="M1589" s="25" t="s">
        <v>7582</v>
      </c>
      <c r="N1589" s="22" t="str">
        <f t="shared" si="2"/>
        <v>613.6
KUS
u</v>
      </c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</row>
    <row r="1590">
      <c r="A1590" s="12">
        <v>1589.0</v>
      </c>
      <c r="B1590" s="12" t="s">
        <v>7583</v>
      </c>
      <c r="C1590" s="12" t="s">
        <v>235</v>
      </c>
      <c r="D1590" s="23">
        <v>413.0</v>
      </c>
      <c r="E1590" s="12" t="s">
        <v>2812</v>
      </c>
      <c r="F1590" s="12" t="s">
        <v>2956</v>
      </c>
      <c r="G1590" s="12" t="s">
        <v>340</v>
      </c>
      <c r="H1590" s="12" t="s">
        <v>57</v>
      </c>
      <c r="I1590" s="23" t="s">
        <v>7584</v>
      </c>
      <c r="J1590" s="12">
        <v>2011.0</v>
      </c>
      <c r="K1590" s="23">
        <v>124.0</v>
      </c>
      <c r="L1590" s="23">
        <v>4.0</v>
      </c>
      <c r="M1590" s="25" t="s">
        <v>7585</v>
      </c>
      <c r="N1590" s="22" t="str">
        <f t="shared" si="2"/>
        <v>413
SUH
k</v>
      </c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</row>
    <row r="1591">
      <c r="A1591" s="12">
        <v>1590.0</v>
      </c>
      <c r="B1591" s="12" t="s">
        <v>7586</v>
      </c>
      <c r="C1591" s="12" t="s">
        <v>246</v>
      </c>
      <c r="D1591" s="23">
        <v>540.0</v>
      </c>
      <c r="E1591" s="12" t="s">
        <v>3010</v>
      </c>
      <c r="F1591" s="12" t="s">
        <v>3011</v>
      </c>
      <c r="G1591" s="12" t="s">
        <v>3012</v>
      </c>
      <c r="H1591" s="12" t="s">
        <v>57</v>
      </c>
      <c r="I1591" s="23" t="s">
        <v>7587</v>
      </c>
      <c r="J1591" s="12">
        <v>2010.0</v>
      </c>
      <c r="K1591" s="23">
        <v>60.0</v>
      </c>
      <c r="L1591" s="23">
        <v>4.0</v>
      </c>
      <c r="M1591" s="25" t="s">
        <v>7588</v>
      </c>
      <c r="N1591" s="22" t="str">
        <f t="shared" si="2"/>
        <v>540
ASE
k</v>
      </c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</row>
    <row r="1592">
      <c r="A1592" s="12">
        <v>1591.0</v>
      </c>
      <c r="B1592" s="12" t="s">
        <v>7589</v>
      </c>
      <c r="C1592" s="12" t="s">
        <v>249</v>
      </c>
      <c r="D1592" s="23" t="s">
        <v>4138</v>
      </c>
      <c r="E1592" s="12" t="s">
        <v>4139</v>
      </c>
      <c r="F1592" s="12" t="s">
        <v>7590</v>
      </c>
      <c r="G1592" s="12" t="s">
        <v>340</v>
      </c>
      <c r="H1592" s="12" t="s">
        <v>57</v>
      </c>
      <c r="I1592" s="23" t="s">
        <v>7591</v>
      </c>
      <c r="J1592" s="12">
        <v>2011.0</v>
      </c>
      <c r="K1592" s="23">
        <v>52.0</v>
      </c>
      <c r="L1592" s="23">
        <v>4.0</v>
      </c>
      <c r="M1592" s="25" t="s">
        <v>7592</v>
      </c>
      <c r="N1592" s="22" t="str">
        <f t="shared" si="2"/>
        <v>612.1
TAK
m</v>
      </c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</row>
    <row r="1593">
      <c r="A1593" s="12">
        <v>1592.0</v>
      </c>
      <c r="B1593" s="12" t="s">
        <v>7593</v>
      </c>
      <c r="C1593" s="12" t="s">
        <v>38</v>
      </c>
      <c r="D1593" s="23">
        <v>813.0</v>
      </c>
      <c r="E1593" s="12" t="s">
        <v>64</v>
      </c>
      <c r="F1593" s="12" t="s">
        <v>7594</v>
      </c>
      <c r="G1593" s="12" t="s">
        <v>340</v>
      </c>
      <c r="H1593" s="12" t="s">
        <v>7595</v>
      </c>
      <c r="I1593" s="23" t="s">
        <v>7596</v>
      </c>
      <c r="J1593" s="12">
        <v>2005.0</v>
      </c>
      <c r="K1593" s="23">
        <v>851.0</v>
      </c>
      <c r="L1593" s="23">
        <v>1.0</v>
      </c>
      <c r="M1593" s="25" t="s">
        <v>7597</v>
      </c>
      <c r="N1593" s="22" t="str">
        <f t="shared" si="2"/>
        <v>813
TAK
s</v>
      </c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</row>
    <row r="1594">
      <c r="A1594" s="12">
        <v>1593.0</v>
      </c>
      <c r="B1594" s="89" t="s">
        <v>7598</v>
      </c>
      <c r="C1594" s="108" t="s">
        <v>38</v>
      </c>
      <c r="D1594" s="79">
        <v>813.0</v>
      </c>
      <c r="E1594" s="89" t="s">
        <v>5466</v>
      </c>
      <c r="F1594" s="89" t="s">
        <v>7599</v>
      </c>
      <c r="G1594" s="89" t="s">
        <v>4981</v>
      </c>
      <c r="H1594" s="89" t="s">
        <v>7600</v>
      </c>
      <c r="I1594" s="89" t="s">
        <v>7601</v>
      </c>
      <c r="J1594" s="91">
        <v>2011.0</v>
      </c>
      <c r="K1594" s="89" t="s">
        <v>7602</v>
      </c>
      <c r="L1594" s="89">
        <v>1.0</v>
      </c>
      <c r="M1594" s="100" t="s">
        <v>7603</v>
      </c>
      <c r="N1594" s="22" t="str">
        <f t="shared" si="2"/>
        <v>813
MAR
m</v>
      </c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</row>
    <row r="1595">
      <c r="A1595" s="12">
        <v>1594.0</v>
      </c>
      <c r="B1595" s="111" t="s">
        <v>7604</v>
      </c>
      <c r="C1595" s="112" t="s">
        <v>84</v>
      </c>
      <c r="D1595" s="79">
        <v>796.3</v>
      </c>
      <c r="E1595" s="89" t="s">
        <v>7605</v>
      </c>
      <c r="F1595" s="89" t="s">
        <v>7606</v>
      </c>
      <c r="G1595" s="104"/>
      <c r="H1595" s="89" t="s">
        <v>7607</v>
      </c>
      <c r="I1595" s="89" t="s">
        <v>7608</v>
      </c>
      <c r="J1595" s="91">
        <v>2015.0</v>
      </c>
      <c r="K1595" s="89" t="s">
        <v>7609</v>
      </c>
      <c r="L1595" s="89">
        <v>1.0</v>
      </c>
      <c r="M1595" s="123" t="s">
        <v>7610</v>
      </c>
      <c r="N1595" s="22" t="str">
        <f t="shared" si="2"/>
        <v>796,3
KUR
p</v>
      </c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</row>
    <row r="1596">
      <c r="A1596" s="12">
        <v>1595.0</v>
      </c>
      <c r="B1596" s="89" t="s">
        <v>7598</v>
      </c>
      <c r="C1596" s="108" t="s">
        <v>38</v>
      </c>
      <c r="D1596" s="79">
        <v>813.0</v>
      </c>
      <c r="E1596" s="89" t="s">
        <v>5466</v>
      </c>
      <c r="F1596" s="89" t="s">
        <v>7599</v>
      </c>
      <c r="G1596" s="89" t="s">
        <v>4981</v>
      </c>
      <c r="H1596" s="89" t="s">
        <v>7600</v>
      </c>
      <c r="I1596" s="89" t="s">
        <v>7601</v>
      </c>
      <c r="J1596" s="91">
        <v>2011.0</v>
      </c>
      <c r="K1596" s="89" t="s">
        <v>7602</v>
      </c>
      <c r="L1596" s="89">
        <v>1.0</v>
      </c>
      <c r="M1596" s="123" t="s">
        <v>7603</v>
      </c>
      <c r="N1596" s="22" t="str">
        <f t="shared" si="2"/>
        <v>813
MAR
m</v>
      </c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</row>
    <row r="1597">
      <c r="A1597" s="12">
        <v>1596.0</v>
      </c>
      <c r="B1597" s="89" t="s">
        <v>7611</v>
      </c>
      <c r="C1597" s="113" t="s">
        <v>229</v>
      </c>
      <c r="D1597" s="79">
        <v>395.0</v>
      </c>
      <c r="E1597" s="89" t="s">
        <v>2122</v>
      </c>
      <c r="F1597" s="89" t="s">
        <v>7612</v>
      </c>
      <c r="G1597" s="104"/>
      <c r="H1597" s="89" t="s">
        <v>7613</v>
      </c>
      <c r="I1597" s="89" t="s">
        <v>7614</v>
      </c>
      <c r="J1597" s="91">
        <v>2014.0</v>
      </c>
      <c r="K1597" s="89" t="s">
        <v>7615</v>
      </c>
      <c r="L1597" s="89">
        <v>1.0</v>
      </c>
      <c r="M1597" s="124" t="s">
        <v>7616</v>
      </c>
      <c r="N1597" s="50" t="str">
        <f t="shared" si="2"/>
        <v>395
RES
e</v>
      </c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</row>
    <row r="1598">
      <c r="A1598" s="12">
        <v>1597.0</v>
      </c>
      <c r="B1598" s="89" t="s">
        <v>7617</v>
      </c>
      <c r="C1598" s="114" t="s">
        <v>246</v>
      </c>
      <c r="D1598" s="79">
        <v>530.0</v>
      </c>
      <c r="E1598" s="89" t="s">
        <v>3144</v>
      </c>
      <c r="F1598" s="89" t="s">
        <v>7618</v>
      </c>
      <c r="G1598" s="104"/>
      <c r="H1598" s="89" t="s">
        <v>3521</v>
      </c>
      <c r="I1598" s="89" t="s">
        <v>7619</v>
      </c>
      <c r="J1598" s="91">
        <v>2014.0</v>
      </c>
      <c r="K1598" s="89" t="s">
        <v>7620</v>
      </c>
      <c r="L1598" s="89">
        <v>1.0</v>
      </c>
      <c r="M1598" s="124" t="s">
        <v>7621</v>
      </c>
      <c r="N1598" s="22" t="str">
        <f t="shared" si="2"/>
        <v>530
RAI
s</v>
      </c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</row>
    <row r="1599">
      <c r="A1599" s="12">
        <v>1598.0</v>
      </c>
      <c r="B1599" s="89" t="s">
        <v>7622</v>
      </c>
      <c r="C1599" s="102" t="s">
        <v>226</v>
      </c>
      <c r="D1599" s="89">
        <v>297.0</v>
      </c>
      <c r="E1599" s="89" t="s">
        <v>7623</v>
      </c>
      <c r="F1599" s="89" t="s">
        <v>7624</v>
      </c>
      <c r="G1599" s="104"/>
      <c r="H1599" s="89" t="s">
        <v>7625</v>
      </c>
      <c r="I1599" s="89" t="s">
        <v>7626</v>
      </c>
      <c r="J1599" s="91">
        <v>2011.0</v>
      </c>
      <c r="K1599" s="89" t="s">
        <v>7615</v>
      </c>
      <c r="L1599" s="89">
        <v>1.0</v>
      </c>
      <c r="M1599" s="124" t="s">
        <v>7627</v>
      </c>
      <c r="N1599" s="22" t="str">
        <f t="shared" si="2"/>
        <v>297
SAK
k</v>
      </c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</row>
    <row r="1600">
      <c r="A1600" s="12">
        <v>1599.0</v>
      </c>
      <c r="B1600" s="12" t="s">
        <v>7628</v>
      </c>
      <c r="C1600" s="12" t="s">
        <v>246</v>
      </c>
      <c r="D1600" s="23">
        <v>580.0</v>
      </c>
      <c r="E1600" s="12" t="s">
        <v>3408</v>
      </c>
      <c r="F1600" s="12" t="s">
        <v>3427</v>
      </c>
      <c r="G1600" s="12" t="s">
        <v>481</v>
      </c>
      <c r="H1600" s="12" t="s">
        <v>2309</v>
      </c>
      <c r="I1600" s="23" t="s">
        <v>3428</v>
      </c>
      <c r="J1600" s="12">
        <v>2015.0</v>
      </c>
      <c r="K1600" s="23">
        <v>63.0</v>
      </c>
      <c r="L1600" s="23">
        <v>1.0</v>
      </c>
      <c r="M1600" s="25" t="s">
        <v>7629</v>
      </c>
      <c r="N1600" s="22" t="str">
        <f t="shared" si="2"/>
        <v>580
NOR
m</v>
      </c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</row>
    <row r="1601">
      <c r="A1601" s="12">
        <v>1600.0</v>
      </c>
      <c r="B1601" s="12" t="s">
        <v>7630</v>
      </c>
      <c r="C1601" s="12" t="s">
        <v>229</v>
      </c>
      <c r="D1601" s="23">
        <v>395.0</v>
      </c>
      <c r="E1601" s="12" t="s">
        <v>7631</v>
      </c>
      <c r="F1601" s="12" t="s">
        <v>7632</v>
      </c>
      <c r="G1601" s="12" t="s">
        <v>7633</v>
      </c>
      <c r="H1601" s="12" t="s">
        <v>2124</v>
      </c>
      <c r="I1601" s="23" t="s">
        <v>7634</v>
      </c>
      <c r="J1601" s="12">
        <v>2015.0</v>
      </c>
      <c r="K1601" s="23">
        <v>56.0</v>
      </c>
      <c r="L1601" s="23">
        <v>1.0</v>
      </c>
      <c r="M1601" s="25" t="s">
        <v>7635</v>
      </c>
      <c r="N1601" s="22" t="str">
        <f t="shared" si="2"/>
        <v>395
Pro
s</v>
      </c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</row>
    <row r="1602">
      <c r="A1602" s="12">
        <v>1601.0</v>
      </c>
      <c r="B1602" s="12" t="s">
        <v>7636</v>
      </c>
      <c r="C1602" s="12" t="s">
        <v>229</v>
      </c>
      <c r="D1602" s="23" t="s">
        <v>2644</v>
      </c>
      <c r="E1602" s="12" t="s">
        <v>7637</v>
      </c>
      <c r="F1602" s="12" t="s">
        <v>7638</v>
      </c>
      <c r="G1602" s="12"/>
      <c r="H1602" s="12" t="s">
        <v>7639</v>
      </c>
      <c r="I1602" s="23" t="s">
        <v>7640</v>
      </c>
      <c r="J1602" s="12">
        <v>2010.0</v>
      </c>
      <c r="K1602" s="23" t="s">
        <v>7641</v>
      </c>
      <c r="L1602" s="23">
        <v>1.0</v>
      </c>
      <c r="M1602" s="25" t="s">
        <v>7642</v>
      </c>
      <c r="N1602" s="22" t="str">
        <f t="shared" si="2"/>
        <v>363.3
SHO
m</v>
      </c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</row>
    <row r="1603">
      <c r="A1603" s="12">
        <v>1602.0</v>
      </c>
      <c r="B1603" s="12" t="s">
        <v>7643</v>
      </c>
      <c r="C1603" s="12" t="s">
        <v>226</v>
      </c>
      <c r="D1603" s="23" t="s">
        <v>1010</v>
      </c>
      <c r="E1603" s="12" t="s">
        <v>7644</v>
      </c>
      <c r="F1603" s="12" t="s">
        <v>7645</v>
      </c>
      <c r="G1603" s="12"/>
      <c r="H1603" s="12" t="s">
        <v>1273</v>
      </c>
      <c r="I1603" s="23" t="s">
        <v>7646</v>
      </c>
      <c r="J1603" s="12"/>
      <c r="K1603" s="23" t="s">
        <v>7647</v>
      </c>
      <c r="L1603" s="23">
        <v>1.0</v>
      </c>
      <c r="M1603" s="25" t="s">
        <v>7648</v>
      </c>
      <c r="N1603" s="22" t="str">
        <f t="shared" si="2"/>
        <v>297.5
MUH
h</v>
      </c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</row>
    <row r="1604">
      <c r="A1604" s="12">
        <v>1603.0</v>
      </c>
      <c r="B1604" s="12" t="s">
        <v>7649</v>
      </c>
      <c r="C1604" s="12" t="s">
        <v>38</v>
      </c>
      <c r="D1604" s="23">
        <v>819.0</v>
      </c>
      <c r="E1604" s="12" t="s">
        <v>2401</v>
      </c>
      <c r="F1604" s="12" t="s">
        <v>5722</v>
      </c>
      <c r="G1604" s="12"/>
      <c r="H1604" s="12" t="s">
        <v>382</v>
      </c>
      <c r="I1604" s="23" t="s">
        <v>7650</v>
      </c>
      <c r="J1604" s="12">
        <v>2018.0</v>
      </c>
      <c r="K1604" s="23" t="s">
        <v>7651</v>
      </c>
      <c r="L1604" s="23">
        <v>1.0</v>
      </c>
      <c r="M1604" s="25" t="s">
        <v>7652</v>
      </c>
      <c r="N1604" s="22" t="str">
        <f t="shared" si="2"/>
        <v>819
AAN
n</v>
      </c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</row>
    <row r="1605">
      <c r="A1605" s="12">
        <v>1604.0</v>
      </c>
      <c r="B1605" s="12" t="s">
        <v>7653</v>
      </c>
      <c r="C1605" s="12" t="s">
        <v>229</v>
      </c>
      <c r="D1605" s="23" t="s">
        <v>1856</v>
      </c>
      <c r="E1605" s="12" t="s">
        <v>1898</v>
      </c>
      <c r="F1605" s="12" t="s">
        <v>5637</v>
      </c>
      <c r="G1605" s="12"/>
      <c r="H1605" s="12" t="s">
        <v>2560</v>
      </c>
      <c r="I1605" s="23" t="s">
        <v>7654</v>
      </c>
      <c r="J1605" s="12">
        <v>2018.0</v>
      </c>
      <c r="K1605" s="23">
        <v>64.0</v>
      </c>
      <c r="L1605" s="23">
        <v>1.0</v>
      </c>
      <c r="M1605" s="25" t="s">
        <v>7655</v>
      </c>
      <c r="N1605" s="22" t="str">
        <f t="shared" si="2"/>
        <v>398.2
HID
g</v>
      </c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</row>
    <row r="1606">
      <c r="A1606" s="12">
        <v>1605.0</v>
      </c>
      <c r="B1606" s="12" t="s">
        <v>7656</v>
      </c>
      <c r="C1606" s="12" t="s">
        <v>229</v>
      </c>
      <c r="D1606" s="23" t="s">
        <v>1721</v>
      </c>
      <c r="E1606" s="12" t="s">
        <v>7657</v>
      </c>
      <c r="F1606" s="12" t="s">
        <v>7658</v>
      </c>
      <c r="G1606" s="12" t="s">
        <v>7659</v>
      </c>
      <c r="H1606" s="12" t="s">
        <v>588</v>
      </c>
      <c r="I1606" s="23" t="s">
        <v>7660</v>
      </c>
      <c r="J1606" s="12">
        <v>2014.0</v>
      </c>
      <c r="K1606" s="23">
        <v>104.0</v>
      </c>
      <c r="L1606" s="23">
        <v>1.0</v>
      </c>
      <c r="M1606" s="25" t="s">
        <v>7661</v>
      </c>
      <c r="N1606" s="22" t="str">
        <f t="shared" si="2"/>
        <v>369.43
M. 
s</v>
      </c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</row>
    <row r="1607">
      <c r="A1607" s="12">
        <v>1606.0</v>
      </c>
      <c r="B1607" s="12" t="s">
        <v>7662</v>
      </c>
      <c r="C1607" s="12" t="s">
        <v>229</v>
      </c>
      <c r="D1607" s="23" t="s">
        <v>7663</v>
      </c>
      <c r="E1607" s="12" t="s">
        <v>7664</v>
      </c>
      <c r="F1607" s="12" t="s">
        <v>1875</v>
      </c>
      <c r="G1607" s="12"/>
      <c r="H1607" s="12" t="s">
        <v>1875</v>
      </c>
      <c r="I1607" s="23"/>
      <c r="J1607" s="12">
        <v>2011.0</v>
      </c>
      <c r="K1607" s="23">
        <v>38.0</v>
      </c>
      <c r="L1607" s="23">
        <v>1.0</v>
      </c>
      <c r="M1607" s="25" t="s">
        <v>7665</v>
      </c>
      <c r="N1607" s="22" t="str">
        <f t="shared" si="2"/>
        <v>371.8
KEM
p</v>
      </c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</row>
    <row r="1608">
      <c r="A1608" s="12">
        <v>1607.0</v>
      </c>
      <c r="B1608" s="12" t="s">
        <v>7666</v>
      </c>
      <c r="C1608" s="12" t="s">
        <v>229</v>
      </c>
      <c r="D1608" s="47">
        <v>370114.0</v>
      </c>
      <c r="E1608" s="12" t="s">
        <v>7667</v>
      </c>
      <c r="F1608" s="12" t="s">
        <v>651</v>
      </c>
      <c r="G1608" s="12" t="s">
        <v>1610</v>
      </c>
      <c r="H1608" s="12" t="s">
        <v>646</v>
      </c>
      <c r="I1608" s="23" t="s">
        <v>7668</v>
      </c>
      <c r="J1608" s="12">
        <v>2014.0</v>
      </c>
      <c r="K1608" s="23">
        <v>60.0</v>
      </c>
      <c r="L1608" s="23">
        <v>1.0</v>
      </c>
      <c r="M1608" s="25" t="s">
        <v>7669</v>
      </c>
      <c r="N1608" s="22" t="str">
        <f t="shared" si="2"/>
        <v>370114
ANN
1</v>
      </c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</row>
    <row r="1609">
      <c r="A1609" s="12">
        <v>1608.0</v>
      </c>
      <c r="B1609" s="12" t="s">
        <v>7670</v>
      </c>
      <c r="C1609" s="12" t="s">
        <v>229</v>
      </c>
      <c r="D1609" s="47">
        <v>370114.0</v>
      </c>
      <c r="E1609" s="12" t="s">
        <v>7667</v>
      </c>
      <c r="F1609" s="12" t="s">
        <v>651</v>
      </c>
      <c r="G1609" s="12" t="s">
        <v>1610</v>
      </c>
      <c r="H1609" s="12" t="s">
        <v>646</v>
      </c>
      <c r="I1609" s="23" t="s">
        <v>7671</v>
      </c>
      <c r="J1609" s="12">
        <v>2014.0</v>
      </c>
      <c r="K1609" s="23">
        <v>56.0</v>
      </c>
      <c r="L1609" s="23">
        <v>1.0</v>
      </c>
      <c r="M1609" s="25" t="s">
        <v>7672</v>
      </c>
      <c r="N1609" s="22" t="str">
        <f t="shared" si="2"/>
        <v>370114
ANN
2</v>
      </c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</row>
    <row r="1610">
      <c r="A1610" s="12">
        <v>1609.0</v>
      </c>
      <c r="B1610" s="12" t="s">
        <v>7673</v>
      </c>
      <c r="C1610" s="12" t="s">
        <v>229</v>
      </c>
      <c r="D1610" s="47">
        <v>370114.0</v>
      </c>
      <c r="E1610" s="12" t="s">
        <v>7667</v>
      </c>
      <c r="F1610" s="12" t="s">
        <v>651</v>
      </c>
      <c r="G1610" s="12" t="s">
        <v>1610</v>
      </c>
      <c r="H1610" s="12" t="s">
        <v>646</v>
      </c>
      <c r="I1610" s="23" t="s">
        <v>7674</v>
      </c>
      <c r="J1610" s="12">
        <v>2014.0</v>
      </c>
      <c r="K1610" s="23">
        <v>56.0</v>
      </c>
      <c r="L1610" s="23">
        <v>1.0</v>
      </c>
      <c r="M1610" s="25" t="s">
        <v>7675</v>
      </c>
      <c r="N1610" s="22" t="str">
        <f t="shared" si="2"/>
        <v>370114
ANN
b</v>
      </c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</row>
    <row r="1611">
      <c r="A1611" s="12">
        <v>1610.0</v>
      </c>
      <c r="B1611" s="12" t="s">
        <v>7676</v>
      </c>
      <c r="C1611" s="12" t="s">
        <v>229</v>
      </c>
      <c r="D1611" s="47">
        <v>370114.0</v>
      </c>
      <c r="E1611" s="12" t="s">
        <v>7667</v>
      </c>
      <c r="F1611" s="12" t="s">
        <v>651</v>
      </c>
      <c r="G1611" s="12" t="s">
        <v>1610</v>
      </c>
      <c r="H1611" s="12" t="s">
        <v>646</v>
      </c>
      <c r="I1611" s="23" t="s">
        <v>7677</v>
      </c>
      <c r="J1611" s="12">
        <v>2014.0</v>
      </c>
      <c r="K1611" s="23">
        <v>60.0</v>
      </c>
      <c r="L1611" s="23">
        <v>1.0</v>
      </c>
      <c r="M1611" s="25" t="s">
        <v>7678</v>
      </c>
      <c r="N1611" s="22" t="str">
        <f t="shared" si="2"/>
        <v>370114
ANN
4</v>
      </c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</row>
    <row r="1612">
      <c r="A1612" s="12">
        <v>1611.0</v>
      </c>
      <c r="B1612" s="12" t="s">
        <v>7679</v>
      </c>
      <c r="C1612" s="12" t="s">
        <v>235</v>
      </c>
      <c r="D1612" s="47">
        <v>499223.0</v>
      </c>
      <c r="E1612" s="12" t="s">
        <v>2803</v>
      </c>
      <c r="F1612" s="12" t="s">
        <v>7680</v>
      </c>
      <c r="G1612" s="12"/>
      <c r="H1612" s="12" t="s">
        <v>7681</v>
      </c>
      <c r="I1612" s="23"/>
      <c r="J1612" s="12">
        <v>2005.0</v>
      </c>
      <c r="K1612" s="23">
        <v>155.0</v>
      </c>
      <c r="L1612" s="23">
        <v>1.0</v>
      </c>
      <c r="M1612" s="25" t="s">
        <v>7682</v>
      </c>
      <c r="N1612" s="22" t="str">
        <f t="shared" si="2"/>
        <v>499223
YAY
k</v>
      </c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</row>
    <row r="1613">
      <c r="A1613" s="12">
        <v>1612.0</v>
      </c>
      <c r="B1613" s="12" t="s">
        <v>7683</v>
      </c>
      <c r="C1613" s="12" t="s">
        <v>246</v>
      </c>
      <c r="D1613" s="23">
        <v>593.0</v>
      </c>
      <c r="E1613" s="12" t="s">
        <v>7684</v>
      </c>
      <c r="F1613" s="12" t="s">
        <v>7685</v>
      </c>
      <c r="G1613" s="12" t="s">
        <v>481</v>
      </c>
      <c r="H1613" s="12" t="s">
        <v>253</v>
      </c>
      <c r="I1613" s="23" t="s">
        <v>7686</v>
      </c>
      <c r="J1613" s="12">
        <v>2015.0</v>
      </c>
      <c r="K1613" s="23" t="s">
        <v>7687</v>
      </c>
      <c r="L1613" s="23">
        <v>1.0</v>
      </c>
      <c r="M1613" s="25" t="s">
        <v>7688</v>
      </c>
      <c r="N1613" s="22" t="str">
        <f t="shared" si="2"/>
        <v>593
Drs
m</v>
      </c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</row>
    <row r="1614">
      <c r="A1614" s="12">
        <v>1613.0</v>
      </c>
      <c r="B1614" s="12" t="s">
        <v>5126</v>
      </c>
      <c r="C1614" s="12" t="s">
        <v>84</v>
      </c>
      <c r="D1614" s="47">
        <v>796522.0</v>
      </c>
      <c r="E1614" s="12" t="s">
        <v>7689</v>
      </c>
      <c r="F1614" s="12" t="s">
        <v>2874</v>
      </c>
      <c r="G1614" s="12" t="s">
        <v>5127</v>
      </c>
      <c r="H1614" s="12" t="s">
        <v>2309</v>
      </c>
      <c r="I1614" s="23" t="s">
        <v>5128</v>
      </c>
      <c r="J1614" s="12">
        <v>2015.0</v>
      </c>
      <c r="K1614" s="23" t="s">
        <v>7690</v>
      </c>
      <c r="L1614" s="23">
        <v>1.0</v>
      </c>
      <c r="M1614" s="25" t="s">
        <v>7691</v>
      </c>
      <c r="N1614" s="22" t="str">
        <f t="shared" si="2"/>
        <v>796522
THA
s</v>
      </c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</row>
    <row r="1615">
      <c r="A1615" s="12">
        <v>1614.0</v>
      </c>
      <c r="B1615" s="42" t="s">
        <v>7692</v>
      </c>
      <c r="C1615" s="42" t="s">
        <v>229</v>
      </c>
      <c r="D1615" s="105" t="s">
        <v>1675</v>
      </c>
      <c r="E1615" s="42" t="s">
        <v>7693</v>
      </c>
      <c r="F1615" s="42" t="s">
        <v>7694</v>
      </c>
      <c r="G1615" s="42" t="s">
        <v>3688</v>
      </c>
      <c r="H1615" s="42" t="s">
        <v>7695</v>
      </c>
      <c r="I1615" s="105" t="s">
        <v>7696</v>
      </c>
      <c r="J1615" s="42">
        <v>2007.0</v>
      </c>
      <c r="K1615" s="105" t="s">
        <v>7697</v>
      </c>
      <c r="L1615" s="105">
        <v>1.0</v>
      </c>
      <c r="M1615" s="125" t="s">
        <v>7698</v>
      </c>
      <c r="N1615" s="44" t="str">
        <f t="shared" si="2"/>
        <v>371.1
SEN
m</v>
      </c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</row>
    <row r="1616">
      <c r="A1616" s="42">
        <v>1615.0</v>
      </c>
      <c r="B1616" s="12" t="s">
        <v>7699</v>
      </c>
      <c r="C1616" s="12" t="s">
        <v>38</v>
      </c>
      <c r="D1616" s="23">
        <v>813.0</v>
      </c>
      <c r="E1616" s="12" t="s">
        <v>7700</v>
      </c>
      <c r="F1616" s="12" t="s">
        <v>7701</v>
      </c>
      <c r="G1616" s="12"/>
      <c r="H1616" s="12" t="s">
        <v>2510</v>
      </c>
      <c r="I1616" s="23" t="s">
        <v>7702</v>
      </c>
      <c r="J1616" s="12">
        <v>2007.0</v>
      </c>
      <c r="K1616" s="23" t="s">
        <v>7703</v>
      </c>
      <c r="L1616" s="23">
        <v>1.0</v>
      </c>
      <c r="M1616" s="25" t="s">
        <v>7704</v>
      </c>
      <c r="N1616" s="22" t="str">
        <f t="shared" si="2"/>
        <v>813
INT
m</v>
      </c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</row>
    <row r="1617">
      <c r="A1617" s="12">
        <v>1616.0</v>
      </c>
      <c r="B1617" s="12" t="s">
        <v>7705</v>
      </c>
      <c r="C1617" s="12" t="s">
        <v>246</v>
      </c>
      <c r="D1617" s="23" t="s">
        <v>7706</v>
      </c>
      <c r="E1617" s="12" t="s">
        <v>7707</v>
      </c>
      <c r="F1617" s="12" t="s">
        <v>7708</v>
      </c>
      <c r="G1617" s="12" t="s">
        <v>7709</v>
      </c>
      <c r="H1617" s="12" t="s">
        <v>433</v>
      </c>
      <c r="I1617" s="23" t="s">
        <v>7710</v>
      </c>
      <c r="J1617" s="12">
        <v>2011.0</v>
      </c>
      <c r="K1617" s="23" t="s">
        <v>7711</v>
      </c>
      <c r="L1617" s="23">
        <v>1.0</v>
      </c>
      <c r="M1617" s="25" t="s">
        <v>7712</v>
      </c>
      <c r="N1617" s="22" t="str">
        <f t="shared" si="2"/>
        <v>591.6
BER
b</v>
      </c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</row>
    <row r="1618">
      <c r="A1618" s="12">
        <v>1617.0</v>
      </c>
      <c r="B1618" s="42" t="s">
        <v>7713</v>
      </c>
      <c r="C1618" s="42" t="s">
        <v>246</v>
      </c>
      <c r="D1618" s="105" t="s">
        <v>7706</v>
      </c>
      <c r="E1618" s="42" t="s">
        <v>7707</v>
      </c>
      <c r="F1618" s="42" t="s">
        <v>7708</v>
      </c>
      <c r="G1618" s="42" t="s">
        <v>7714</v>
      </c>
      <c r="H1618" s="42" t="s">
        <v>433</v>
      </c>
      <c r="I1618" s="105" t="s">
        <v>7715</v>
      </c>
      <c r="J1618" s="42">
        <v>2015.0</v>
      </c>
      <c r="K1618" s="105" t="s">
        <v>7716</v>
      </c>
      <c r="L1618" s="105">
        <v>1.0</v>
      </c>
      <c r="M1618" s="125" t="s">
        <v>7717</v>
      </c>
      <c r="N1618" s="44" t="str">
        <f t="shared" si="2"/>
        <v>591.6
BER
b</v>
      </c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</row>
    <row r="1619">
      <c r="A1619" s="42">
        <v>1618.0</v>
      </c>
      <c r="B1619" s="42" t="s">
        <v>7718</v>
      </c>
      <c r="C1619" s="42" t="s">
        <v>262</v>
      </c>
      <c r="D1619" s="105">
        <v>900.0</v>
      </c>
      <c r="E1619" s="42" t="s">
        <v>7719</v>
      </c>
      <c r="F1619" s="42" t="s">
        <v>7720</v>
      </c>
      <c r="G1619" s="42"/>
      <c r="H1619" s="42" t="s">
        <v>7721</v>
      </c>
      <c r="I1619" s="105" t="s">
        <v>7722</v>
      </c>
      <c r="J1619" s="42">
        <v>2009.0</v>
      </c>
      <c r="K1619" s="105" t="s">
        <v>7723</v>
      </c>
      <c r="L1619" s="105">
        <v>18.0</v>
      </c>
      <c r="M1619" s="12" t="s">
        <v>340</v>
      </c>
      <c r="N1619" s="22" t="str">
        <f t="shared" si="2"/>
        <v>900
JUL
e</v>
      </c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</row>
    <row r="1620">
      <c r="A1620" s="42">
        <v>1619.0</v>
      </c>
      <c r="B1620" s="12" t="s">
        <v>7724</v>
      </c>
      <c r="C1620" s="12" t="s">
        <v>229</v>
      </c>
      <c r="D1620" s="47">
        <v>362293.0</v>
      </c>
      <c r="E1620" s="12" t="s">
        <v>4802</v>
      </c>
      <c r="F1620" s="12" t="s">
        <v>7725</v>
      </c>
      <c r="G1620" s="12" t="s">
        <v>5201</v>
      </c>
      <c r="H1620" s="12" t="s">
        <v>7726</v>
      </c>
      <c r="I1620" s="23" t="s">
        <v>7727</v>
      </c>
      <c r="J1620" s="12">
        <v>2018.0</v>
      </c>
      <c r="K1620" s="23" t="s">
        <v>7728</v>
      </c>
      <c r="L1620" s="23">
        <v>2.0</v>
      </c>
      <c r="M1620" s="126" t="s">
        <v>7729</v>
      </c>
      <c r="N1620" s="44" t="str">
        <f t="shared" si="2"/>
        <v>362293
RIN
o</v>
      </c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</row>
    <row r="1621">
      <c r="A1621" s="12">
        <v>1620.0</v>
      </c>
      <c r="B1621" s="12" t="s">
        <v>7730</v>
      </c>
      <c r="C1621" s="12" t="s">
        <v>229</v>
      </c>
      <c r="D1621" s="47">
        <v>362293.0</v>
      </c>
      <c r="E1621" s="12" t="s">
        <v>4802</v>
      </c>
      <c r="F1621" s="12" t="s">
        <v>7731</v>
      </c>
      <c r="G1621" s="12" t="s">
        <v>7732</v>
      </c>
      <c r="H1621" s="12" t="s">
        <v>7726</v>
      </c>
      <c r="I1621" s="23" t="s">
        <v>7733</v>
      </c>
      <c r="J1621" s="12">
        <v>2018.0</v>
      </c>
      <c r="K1621" s="23" t="s">
        <v>7734</v>
      </c>
      <c r="L1621" s="23">
        <v>2.0</v>
      </c>
      <c r="M1621" s="127" t="s">
        <v>7735</v>
      </c>
      <c r="N1621" s="44" t="str">
        <f t="shared" si="2"/>
        <v>362293
BAG
p</v>
      </c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</row>
    <row r="1622">
      <c r="A1622" s="12">
        <v>1621.0</v>
      </c>
      <c r="B1622" s="12" t="s">
        <v>7736</v>
      </c>
      <c r="C1622" s="12" t="s">
        <v>229</v>
      </c>
      <c r="D1622" s="47">
        <v>362293.0</v>
      </c>
      <c r="E1622" s="12" t="s">
        <v>4802</v>
      </c>
      <c r="F1622" s="12" t="s">
        <v>7737</v>
      </c>
      <c r="G1622" s="12" t="s">
        <v>7732</v>
      </c>
      <c r="H1622" s="12" t="s">
        <v>7726</v>
      </c>
      <c r="I1622" s="23" t="s">
        <v>7738</v>
      </c>
      <c r="J1622" s="12">
        <v>2018.0</v>
      </c>
      <c r="K1622" s="23" t="s">
        <v>7739</v>
      </c>
      <c r="L1622" s="23">
        <v>2.0</v>
      </c>
      <c r="M1622" s="127" t="s">
        <v>7740</v>
      </c>
      <c r="N1622" s="44" t="str">
        <f t="shared" si="2"/>
        <v>362293
PAL
n</v>
      </c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</row>
    <row r="1623">
      <c r="A1623" s="12">
        <v>1622.0</v>
      </c>
      <c r="B1623" s="12" t="s">
        <v>7741</v>
      </c>
      <c r="C1623" s="12" t="s">
        <v>229</v>
      </c>
      <c r="D1623" s="47">
        <v>362293.0</v>
      </c>
      <c r="E1623" s="12" t="s">
        <v>4802</v>
      </c>
      <c r="F1623" s="12" t="s">
        <v>7742</v>
      </c>
      <c r="G1623" s="12" t="s">
        <v>7732</v>
      </c>
      <c r="H1623" s="12" t="s">
        <v>7726</v>
      </c>
      <c r="I1623" s="23" t="s">
        <v>7743</v>
      </c>
      <c r="J1623" s="12">
        <v>2018.0</v>
      </c>
      <c r="K1623" s="23" t="s">
        <v>7744</v>
      </c>
      <c r="L1623" s="23">
        <v>2.0</v>
      </c>
      <c r="M1623" s="127" t="s">
        <v>7745</v>
      </c>
      <c r="N1623" s="117" t="str">
        <f t="shared" si="2"/>
        <v>362293
SAP
d</v>
      </c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</row>
    <row r="1624">
      <c r="A1624" s="12">
        <v>1623.0</v>
      </c>
      <c r="B1624" s="12" t="s">
        <v>7746</v>
      </c>
      <c r="C1624" s="12" t="s">
        <v>229</v>
      </c>
      <c r="D1624" s="47">
        <v>362293.0</v>
      </c>
      <c r="E1624" s="12" t="s">
        <v>4802</v>
      </c>
      <c r="F1624" s="12" t="s">
        <v>7747</v>
      </c>
      <c r="G1624" s="12" t="s">
        <v>7748</v>
      </c>
      <c r="H1624" s="12" t="s">
        <v>7726</v>
      </c>
      <c r="I1624" s="23" t="s">
        <v>7749</v>
      </c>
      <c r="J1624" s="12">
        <v>2018.0</v>
      </c>
      <c r="K1624" s="23" t="s">
        <v>7750</v>
      </c>
      <c r="L1624" s="23">
        <v>2.0</v>
      </c>
      <c r="M1624" s="127" t="s">
        <v>7751</v>
      </c>
      <c r="N1624" s="44" t="str">
        <f t="shared" si="2"/>
        <v>362293
LAE
h</v>
      </c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</row>
    <row r="1625">
      <c r="A1625" s="12">
        <v>1624.0</v>
      </c>
      <c r="B1625" s="12" t="s">
        <v>7752</v>
      </c>
      <c r="C1625" s="12" t="s">
        <v>229</v>
      </c>
      <c r="D1625" s="47">
        <v>362293.0</v>
      </c>
      <c r="E1625" s="12" t="s">
        <v>4802</v>
      </c>
      <c r="F1625" s="12" t="s">
        <v>7753</v>
      </c>
      <c r="G1625" s="12" t="s">
        <v>7732</v>
      </c>
      <c r="H1625" s="12" t="s">
        <v>7726</v>
      </c>
      <c r="I1625" s="23" t="s">
        <v>7754</v>
      </c>
      <c r="J1625" s="12">
        <v>2018.0</v>
      </c>
      <c r="K1625" s="23" t="s">
        <v>1508</v>
      </c>
      <c r="L1625" s="23">
        <v>2.0</v>
      </c>
      <c r="M1625" s="127" t="s">
        <v>7755</v>
      </c>
      <c r="N1625" s="44" t="str">
        <f t="shared" si="2"/>
        <v>362293
ALD
m</v>
      </c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</row>
    <row r="1626">
      <c r="A1626" s="12">
        <v>1625.0</v>
      </c>
      <c r="B1626" s="12" t="s">
        <v>7756</v>
      </c>
      <c r="C1626" s="12" t="s">
        <v>229</v>
      </c>
      <c r="D1626" s="47">
        <v>362293.0</v>
      </c>
      <c r="E1626" s="12" t="s">
        <v>4802</v>
      </c>
      <c r="F1626" s="12" t="s">
        <v>7757</v>
      </c>
      <c r="G1626" s="12" t="s">
        <v>5201</v>
      </c>
      <c r="H1626" s="12" t="s">
        <v>7726</v>
      </c>
      <c r="I1626" s="23" t="s">
        <v>7758</v>
      </c>
      <c r="J1626" s="12">
        <v>2018.0</v>
      </c>
      <c r="K1626" s="23" t="s">
        <v>7759</v>
      </c>
      <c r="L1626" s="23">
        <v>2.0</v>
      </c>
      <c r="M1626" s="127" t="s">
        <v>7760</v>
      </c>
      <c r="N1626" s="44" t="str">
        <f t="shared" si="2"/>
        <v>362293
ASI
p</v>
      </c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</row>
    <row r="1627">
      <c r="A1627" s="12">
        <v>1626.0</v>
      </c>
      <c r="B1627" s="12" t="s">
        <v>7761</v>
      </c>
      <c r="C1627" s="12" t="s">
        <v>229</v>
      </c>
      <c r="D1627" s="47">
        <v>362293.0</v>
      </c>
      <c r="E1627" s="12" t="s">
        <v>4802</v>
      </c>
      <c r="F1627" s="12" t="s">
        <v>7762</v>
      </c>
      <c r="G1627" s="12" t="s">
        <v>7748</v>
      </c>
      <c r="H1627" s="12" t="s">
        <v>7726</v>
      </c>
      <c r="I1627" s="23" t="s">
        <v>7763</v>
      </c>
      <c r="J1627" s="12">
        <v>2018.0</v>
      </c>
      <c r="K1627" s="23" t="s">
        <v>7764</v>
      </c>
      <c r="L1627" s="23">
        <v>2.0</v>
      </c>
      <c r="M1627" s="127" t="s">
        <v>7765</v>
      </c>
      <c r="N1627" s="44" t="str">
        <f t="shared" si="2"/>
        <v>362293
SAM
m</v>
      </c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</row>
    <row r="1628">
      <c r="A1628" s="12">
        <v>1627.0</v>
      </c>
      <c r="B1628" s="12" t="s">
        <v>7766</v>
      </c>
      <c r="C1628" s="12" t="s">
        <v>229</v>
      </c>
      <c r="D1628" s="47">
        <v>362293.0</v>
      </c>
      <c r="E1628" s="12" t="s">
        <v>4802</v>
      </c>
      <c r="F1628" s="12" t="s">
        <v>7757</v>
      </c>
      <c r="G1628" s="12" t="s">
        <v>7732</v>
      </c>
      <c r="H1628" s="12" t="s">
        <v>7726</v>
      </c>
      <c r="I1628" s="23" t="s">
        <v>7767</v>
      </c>
      <c r="J1628" s="12">
        <v>2018.0</v>
      </c>
      <c r="K1628" s="23" t="s">
        <v>7759</v>
      </c>
      <c r="L1628" s="23">
        <v>2.0</v>
      </c>
      <c r="M1628" s="127" t="s">
        <v>7768</v>
      </c>
      <c r="N1628" s="44" t="str">
        <f t="shared" si="2"/>
        <v>362293
ASI
p</v>
      </c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</row>
    <row r="1629">
      <c r="A1629" s="12">
        <v>1628.0</v>
      </c>
      <c r="B1629" s="12" t="s">
        <v>7769</v>
      </c>
      <c r="C1629" s="12" t="s">
        <v>229</v>
      </c>
      <c r="D1629" s="47">
        <v>362293.0</v>
      </c>
      <c r="E1629" s="12" t="s">
        <v>4802</v>
      </c>
      <c r="F1629" s="12" t="s">
        <v>7770</v>
      </c>
      <c r="G1629" s="12" t="s">
        <v>7771</v>
      </c>
      <c r="H1629" s="12" t="s">
        <v>7726</v>
      </c>
      <c r="I1629" s="23" t="s">
        <v>7772</v>
      </c>
      <c r="J1629" s="12">
        <v>2018.0</v>
      </c>
      <c r="K1629" s="23" t="s">
        <v>7739</v>
      </c>
      <c r="L1629" s="23">
        <v>2.0</v>
      </c>
      <c r="M1629" s="127" t="s">
        <v>7773</v>
      </c>
      <c r="N1629" s="44" t="str">
        <f t="shared" si="2"/>
        <v>362293
JAH
c</v>
      </c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</row>
    <row r="1630">
      <c r="A1630" s="12">
        <v>1629.0</v>
      </c>
      <c r="B1630" s="12" t="s">
        <v>7774</v>
      </c>
      <c r="C1630" s="12" t="s">
        <v>229</v>
      </c>
      <c r="D1630" s="47">
        <v>362293.0</v>
      </c>
      <c r="E1630" s="12" t="s">
        <v>4802</v>
      </c>
      <c r="F1630" s="12" t="s">
        <v>7725</v>
      </c>
      <c r="G1630" s="12"/>
      <c r="H1630" s="12" t="s">
        <v>7726</v>
      </c>
      <c r="I1630" s="23" t="s">
        <v>7775</v>
      </c>
      <c r="J1630" s="12">
        <v>2018.0</v>
      </c>
      <c r="K1630" s="23" t="s">
        <v>7776</v>
      </c>
      <c r="L1630" s="23">
        <v>2.0</v>
      </c>
      <c r="M1630" s="127" t="s">
        <v>7777</v>
      </c>
      <c r="N1630" s="44" t="str">
        <f t="shared" si="2"/>
        <v>362293
RIN
t</v>
      </c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</row>
    <row r="1631">
      <c r="A1631" s="12">
        <v>1630.0</v>
      </c>
      <c r="B1631" s="12" t="s">
        <v>7778</v>
      </c>
      <c r="C1631" s="12" t="s">
        <v>229</v>
      </c>
      <c r="D1631" s="47">
        <v>362293.0</v>
      </c>
      <c r="E1631" s="12" t="s">
        <v>4802</v>
      </c>
      <c r="F1631" s="12" t="s">
        <v>7779</v>
      </c>
      <c r="G1631" s="12"/>
      <c r="H1631" s="12" t="s">
        <v>7726</v>
      </c>
      <c r="I1631" s="23"/>
      <c r="J1631" s="12"/>
      <c r="K1631" s="23" t="s">
        <v>1508</v>
      </c>
      <c r="L1631" s="23">
        <v>2.0</v>
      </c>
      <c r="M1631" s="127" t="s">
        <v>7780</v>
      </c>
      <c r="N1631" s="44" t="str">
        <f t="shared" si="2"/>
        <v>362293
SAL
a</v>
      </c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</row>
    <row r="1632">
      <c r="A1632" s="12">
        <v>1631.0</v>
      </c>
      <c r="B1632" s="12" t="s">
        <v>7781</v>
      </c>
      <c r="C1632" s="12" t="s">
        <v>229</v>
      </c>
      <c r="D1632" s="47">
        <v>362293.0</v>
      </c>
      <c r="E1632" s="12" t="s">
        <v>4802</v>
      </c>
      <c r="F1632" s="12" t="s">
        <v>7757</v>
      </c>
      <c r="G1632" s="12"/>
      <c r="H1632" s="12" t="s">
        <v>7726</v>
      </c>
      <c r="I1632" s="23" t="s">
        <v>7782</v>
      </c>
      <c r="J1632" s="12"/>
      <c r="K1632" s="23" t="s">
        <v>1508</v>
      </c>
      <c r="L1632" s="23">
        <v>2.0</v>
      </c>
      <c r="M1632" s="127" t="s">
        <v>7783</v>
      </c>
      <c r="N1632" s="44" t="str">
        <f t="shared" si="2"/>
        <v>362293
ASI
p</v>
      </c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</row>
    <row r="1633">
      <c r="A1633" s="12">
        <v>1632.0</v>
      </c>
      <c r="B1633" s="12" t="s">
        <v>7784</v>
      </c>
      <c r="C1633" s="12" t="s">
        <v>229</v>
      </c>
      <c r="D1633" s="47">
        <v>362293.0</v>
      </c>
      <c r="E1633" s="12" t="s">
        <v>4802</v>
      </c>
      <c r="F1633" s="12" t="s">
        <v>7747</v>
      </c>
      <c r="G1633" s="12" t="s">
        <v>7785</v>
      </c>
      <c r="H1633" s="12" t="s">
        <v>7726</v>
      </c>
      <c r="I1633" s="23" t="s">
        <v>7786</v>
      </c>
      <c r="J1633" s="12">
        <v>2018.0</v>
      </c>
      <c r="K1633" s="23" t="s">
        <v>7750</v>
      </c>
      <c r="L1633" s="23">
        <v>2.0</v>
      </c>
      <c r="M1633" s="127" t="s">
        <v>7787</v>
      </c>
      <c r="N1633" s="44" t="str">
        <f t="shared" si="2"/>
        <v>362293
LAE
d</v>
      </c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</row>
    <row r="1634">
      <c r="A1634" s="12">
        <v>1633.0</v>
      </c>
      <c r="B1634" s="12" t="s">
        <v>7788</v>
      </c>
      <c r="C1634" s="12" t="s">
        <v>229</v>
      </c>
      <c r="D1634" s="47">
        <v>362293.0</v>
      </c>
      <c r="E1634" s="12" t="s">
        <v>4802</v>
      </c>
      <c r="F1634" s="12" t="s">
        <v>7770</v>
      </c>
      <c r="G1634" s="12" t="s">
        <v>7771</v>
      </c>
      <c r="H1634" s="12" t="s">
        <v>7726</v>
      </c>
      <c r="I1634" s="23" t="s">
        <v>7789</v>
      </c>
      <c r="J1634" s="12">
        <v>2018.0</v>
      </c>
      <c r="K1634" s="23" t="s">
        <v>7790</v>
      </c>
      <c r="L1634" s="23">
        <v>2.0</v>
      </c>
      <c r="M1634" s="127" t="s">
        <v>7791</v>
      </c>
      <c r="N1634" s="44" t="str">
        <f t="shared" si="2"/>
        <v>362293
JAH
c</v>
      </c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</row>
    <row r="1635">
      <c r="A1635" s="12">
        <v>1634.0</v>
      </c>
      <c r="B1635" s="12" t="s">
        <v>7792</v>
      </c>
      <c r="C1635" s="12" t="s">
        <v>229</v>
      </c>
      <c r="D1635" s="47">
        <v>362293.0</v>
      </c>
      <c r="E1635" s="12" t="s">
        <v>4802</v>
      </c>
      <c r="F1635" s="12" t="s">
        <v>7793</v>
      </c>
      <c r="G1635" s="12" t="s">
        <v>7785</v>
      </c>
      <c r="H1635" s="12" t="s">
        <v>7726</v>
      </c>
      <c r="I1635" s="23" t="s">
        <v>7794</v>
      </c>
      <c r="J1635" s="12">
        <v>2018.0</v>
      </c>
      <c r="K1635" s="23" t="s">
        <v>7750</v>
      </c>
      <c r="L1635" s="23">
        <v>2.0</v>
      </c>
      <c r="M1635" s="127" t="s">
        <v>7795</v>
      </c>
      <c r="N1635" s="44" t="str">
        <f t="shared" si="2"/>
        <v>362293
PRA
p</v>
      </c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</row>
    <row r="1636">
      <c r="A1636" s="12">
        <v>1635.0</v>
      </c>
      <c r="B1636" s="12" t="s">
        <v>7796</v>
      </c>
      <c r="C1636" s="12" t="s">
        <v>229</v>
      </c>
      <c r="D1636" s="47">
        <v>362293.0</v>
      </c>
      <c r="E1636" s="12" t="s">
        <v>4802</v>
      </c>
      <c r="F1636" s="12" t="s">
        <v>7747</v>
      </c>
      <c r="G1636" s="12"/>
      <c r="H1636" s="12" t="s">
        <v>7726</v>
      </c>
      <c r="I1636" s="23" t="s">
        <v>7797</v>
      </c>
      <c r="J1636" s="12"/>
      <c r="K1636" s="23" t="s">
        <v>7750</v>
      </c>
      <c r="L1636" s="23">
        <v>2.0</v>
      </c>
      <c r="M1636" s="127" t="s">
        <v>7798</v>
      </c>
      <c r="N1636" s="44" t="str">
        <f t="shared" si="2"/>
        <v>362293
LAE
z</v>
      </c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</row>
    <row r="1637">
      <c r="A1637" s="12">
        <v>1636.0</v>
      </c>
      <c r="B1637" s="12" t="s">
        <v>7799</v>
      </c>
      <c r="C1637" s="12" t="s">
        <v>229</v>
      </c>
      <c r="D1637" s="47">
        <v>362293.0</v>
      </c>
      <c r="E1637" s="12" t="s">
        <v>4802</v>
      </c>
      <c r="F1637" s="12" t="s">
        <v>7800</v>
      </c>
      <c r="G1637" s="12" t="s">
        <v>5201</v>
      </c>
      <c r="H1637" s="12" t="s">
        <v>7726</v>
      </c>
      <c r="I1637" s="23" t="s">
        <v>7801</v>
      </c>
      <c r="J1637" s="12">
        <v>2018.0</v>
      </c>
      <c r="K1637" s="23" t="s">
        <v>1508</v>
      </c>
      <c r="L1637" s="23">
        <v>2.0</v>
      </c>
      <c r="M1637" s="127" t="s">
        <v>7802</v>
      </c>
      <c r="N1637" s="44" t="str">
        <f t="shared" si="2"/>
        <v>362293
ELV
p</v>
      </c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</row>
    <row r="1638">
      <c r="A1638" s="12">
        <v>1637.0</v>
      </c>
      <c r="B1638" s="12" t="s">
        <v>7803</v>
      </c>
      <c r="C1638" s="12" t="s">
        <v>229</v>
      </c>
      <c r="D1638" s="47">
        <v>362293.0</v>
      </c>
      <c r="E1638" s="12" t="s">
        <v>4802</v>
      </c>
      <c r="F1638" s="12" t="s">
        <v>7725</v>
      </c>
      <c r="G1638" s="12" t="s">
        <v>7785</v>
      </c>
      <c r="H1638" s="12" t="s">
        <v>7726</v>
      </c>
      <c r="I1638" s="23" t="s">
        <v>7804</v>
      </c>
      <c r="J1638" s="12">
        <v>2018.0</v>
      </c>
      <c r="K1638" s="23" t="s">
        <v>7805</v>
      </c>
      <c r="L1638" s="23">
        <v>2.0</v>
      </c>
      <c r="M1638" s="127" t="s">
        <v>7806</v>
      </c>
      <c r="N1638" s="44" t="str">
        <f t="shared" si="2"/>
        <v>362293
RIN
a</v>
      </c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</row>
    <row r="1639">
      <c r="A1639" s="12">
        <v>1638.0</v>
      </c>
      <c r="B1639" s="12" t="s">
        <v>7807</v>
      </c>
      <c r="C1639" s="12" t="s">
        <v>229</v>
      </c>
      <c r="D1639" s="47">
        <v>362293.0</v>
      </c>
      <c r="E1639" s="12" t="s">
        <v>4802</v>
      </c>
      <c r="F1639" s="12" t="s">
        <v>7808</v>
      </c>
      <c r="G1639" s="12" t="s">
        <v>7809</v>
      </c>
      <c r="H1639" s="12" t="s">
        <v>7726</v>
      </c>
      <c r="I1639" s="23" t="s">
        <v>7810</v>
      </c>
      <c r="J1639" s="12">
        <v>2018.0</v>
      </c>
      <c r="K1639" s="23" t="s">
        <v>7750</v>
      </c>
      <c r="L1639" s="23">
        <v>2.0</v>
      </c>
      <c r="M1639" s="127" t="s">
        <v>7811</v>
      </c>
      <c r="N1639" s="44" t="str">
        <f t="shared" si="2"/>
        <v>362293
RAD
a</v>
      </c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</row>
    <row r="1640">
      <c r="A1640" s="12">
        <v>1639.0</v>
      </c>
      <c r="B1640" s="12" t="s">
        <v>7812</v>
      </c>
      <c r="C1640" s="12" t="s">
        <v>229</v>
      </c>
      <c r="D1640" s="47">
        <v>362293.0</v>
      </c>
      <c r="E1640" s="12" t="s">
        <v>4802</v>
      </c>
      <c r="F1640" s="12" t="s">
        <v>7813</v>
      </c>
      <c r="G1640" s="12" t="s">
        <v>5201</v>
      </c>
      <c r="H1640" s="12" t="s">
        <v>7726</v>
      </c>
      <c r="I1640" s="23" t="s">
        <v>7814</v>
      </c>
      <c r="J1640" s="12">
        <v>2018.0</v>
      </c>
      <c r="K1640" s="23" t="s">
        <v>1508</v>
      </c>
      <c r="L1640" s="23">
        <v>2.0</v>
      </c>
      <c r="M1640" s="127" t="s">
        <v>7815</v>
      </c>
      <c r="N1640" s="44" t="str">
        <f t="shared" si="2"/>
        <v>362293
AGU
p</v>
      </c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</row>
    <row r="1641">
      <c r="A1641" s="12">
        <v>1640.0</v>
      </c>
      <c r="B1641" s="12" t="s">
        <v>7816</v>
      </c>
      <c r="C1641" s="12" t="s">
        <v>229</v>
      </c>
      <c r="D1641" s="47">
        <v>362293.0</v>
      </c>
      <c r="E1641" s="12" t="s">
        <v>4802</v>
      </c>
      <c r="F1641" s="12" t="s">
        <v>7747</v>
      </c>
      <c r="G1641" s="12" t="s">
        <v>7809</v>
      </c>
      <c r="H1641" s="12" t="s">
        <v>7726</v>
      </c>
      <c r="I1641" s="23" t="s">
        <v>7817</v>
      </c>
      <c r="J1641" s="12">
        <v>2018.0</v>
      </c>
      <c r="K1641" s="23" t="s">
        <v>7818</v>
      </c>
      <c r="L1641" s="23">
        <v>2.0</v>
      </c>
      <c r="M1641" s="127" t="s">
        <v>7819</v>
      </c>
      <c r="N1641" s="44" t="str">
        <f t="shared" si="2"/>
        <v>362293
LAE
p</v>
      </c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</row>
    <row r="1642">
      <c r="A1642" s="12">
        <v>1641.0</v>
      </c>
      <c r="B1642" s="12" t="s">
        <v>7820</v>
      </c>
      <c r="C1642" s="12" t="s">
        <v>229</v>
      </c>
      <c r="D1642" s="47">
        <v>362293.0</v>
      </c>
      <c r="E1642" s="12" t="s">
        <v>4802</v>
      </c>
      <c r="F1642" s="12" t="s">
        <v>7821</v>
      </c>
      <c r="G1642" s="12" t="s">
        <v>7785</v>
      </c>
      <c r="H1642" s="12" t="s">
        <v>7726</v>
      </c>
      <c r="I1642" s="23" t="s">
        <v>7822</v>
      </c>
      <c r="J1642" s="12">
        <v>2018.0</v>
      </c>
      <c r="K1642" s="23" t="s">
        <v>2242</v>
      </c>
      <c r="L1642" s="23">
        <v>2.0</v>
      </c>
      <c r="M1642" s="127" t="s">
        <v>7823</v>
      </c>
      <c r="N1642" s="44" t="str">
        <f t="shared" si="2"/>
        <v>362293
ALA
r</v>
      </c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</row>
    <row r="1643">
      <c r="A1643" s="12">
        <v>1642.0</v>
      </c>
      <c r="B1643" s="12" t="s">
        <v>7824</v>
      </c>
      <c r="C1643" s="12" t="s">
        <v>229</v>
      </c>
      <c r="D1643" s="47">
        <v>362293.0</v>
      </c>
      <c r="E1643" s="12" t="s">
        <v>4802</v>
      </c>
      <c r="F1643" s="12" t="s">
        <v>7725</v>
      </c>
      <c r="G1643" s="12" t="s">
        <v>5201</v>
      </c>
      <c r="H1643" s="12" t="s">
        <v>7726</v>
      </c>
      <c r="I1643" s="23" t="s">
        <v>7825</v>
      </c>
      <c r="J1643" s="12">
        <v>2018.0</v>
      </c>
      <c r="K1643" s="23" t="s">
        <v>7805</v>
      </c>
      <c r="L1643" s="23">
        <v>2.0</v>
      </c>
      <c r="M1643" s="127" t="s">
        <v>7826</v>
      </c>
      <c r="N1643" s="44" t="str">
        <f t="shared" si="2"/>
        <v>362293
RIN
r</v>
      </c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</row>
    <row r="1644">
      <c r="A1644" s="12">
        <v>1643.0</v>
      </c>
      <c r="B1644" s="12" t="s">
        <v>7827</v>
      </c>
      <c r="C1644" s="12" t="s">
        <v>229</v>
      </c>
      <c r="D1644" s="47">
        <v>362293.0</v>
      </c>
      <c r="E1644" s="12" t="s">
        <v>4802</v>
      </c>
      <c r="F1644" s="12" t="s">
        <v>7725</v>
      </c>
      <c r="G1644" s="12" t="s">
        <v>5201</v>
      </c>
      <c r="H1644" s="12" t="s">
        <v>7726</v>
      </c>
      <c r="I1644" s="23" t="s">
        <v>7828</v>
      </c>
      <c r="J1644" s="12">
        <v>2018.0</v>
      </c>
      <c r="K1644" s="23" t="s">
        <v>7829</v>
      </c>
      <c r="L1644" s="23">
        <v>2.0</v>
      </c>
      <c r="M1644" s="127" t="s">
        <v>7830</v>
      </c>
      <c r="N1644" s="44" t="str">
        <f t="shared" si="2"/>
        <v>362293
RIN
h</v>
      </c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</row>
    <row r="1645">
      <c r="A1645" s="12">
        <v>1644.0</v>
      </c>
      <c r="B1645" s="12" t="s">
        <v>7831</v>
      </c>
      <c r="C1645" s="12" t="s">
        <v>229</v>
      </c>
      <c r="D1645" s="47">
        <v>362293.0</v>
      </c>
      <c r="E1645" s="12" t="s">
        <v>4802</v>
      </c>
      <c r="F1645" s="12" t="s">
        <v>7832</v>
      </c>
      <c r="G1645" s="12"/>
      <c r="H1645" s="12" t="s">
        <v>7833</v>
      </c>
      <c r="I1645" s="23" t="s">
        <v>7834</v>
      </c>
      <c r="J1645" s="12">
        <v>2018.0</v>
      </c>
      <c r="K1645" s="23" t="s">
        <v>7750</v>
      </c>
      <c r="L1645" s="23">
        <v>2.0</v>
      </c>
      <c r="M1645" s="127" t="s">
        <v>7835</v>
      </c>
      <c r="N1645" s="44" t="str">
        <f t="shared" si="2"/>
        <v>362293
CAH
a</v>
      </c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</row>
    <row r="1646">
      <c r="A1646" s="12">
        <v>1645.0</v>
      </c>
      <c r="B1646" s="12" t="s">
        <v>7836</v>
      </c>
      <c r="C1646" s="12" t="s">
        <v>229</v>
      </c>
      <c r="D1646" s="47">
        <v>362293.0</v>
      </c>
      <c r="E1646" s="12" t="s">
        <v>4802</v>
      </c>
      <c r="F1646" s="12" t="s">
        <v>7813</v>
      </c>
      <c r="G1646" s="12"/>
      <c r="H1646" s="12" t="s">
        <v>7833</v>
      </c>
      <c r="I1646" s="23" t="s">
        <v>7837</v>
      </c>
      <c r="J1646" s="12">
        <v>2018.0</v>
      </c>
      <c r="K1646" s="23" t="s">
        <v>7750</v>
      </c>
      <c r="L1646" s="23">
        <v>2.0</v>
      </c>
      <c r="M1646" s="127" t="s">
        <v>7838</v>
      </c>
      <c r="N1646" s="44" t="str">
        <f t="shared" si="2"/>
        <v>362293
AGU
j</v>
      </c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</row>
    <row r="1647">
      <c r="A1647" s="12">
        <v>1646.0</v>
      </c>
      <c r="B1647" s="12" t="s">
        <v>7839</v>
      </c>
      <c r="C1647" s="12" t="s">
        <v>229</v>
      </c>
      <c r="D1647" s="47">
        <v>362293.0</v>
      </c>
      <c r="E1647" s="12" t="s">
        <v>4802</v>
      </c>
      <c r="F1647" s="12" t="s">
        <v>7813</v>
      </c>
      <c r="G1647" s="12"/>
      <c r="H1647" s="12" t="s">
        <v>7833</v>
      </c>
      <c r="I1647" s="23" t="s">
        <v>7840</v>
      </c>
      <c r="J1647" s="12">
        <v>2018.0</v>
      </c>
      <c r="K1647" s="23" t="s">
        <v>7790</v>
      </c>
      <c r="L1647" s="23">
        <v>2.0</v>
      </c>
      <c r="M1647" s="127" t="s">
        <v>7841</v>
      </c>
      <c r="N1647" s="44" t="str">
        <f t="shared" si="2"/>
        <v>362293
AGU
p</v>
      </c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</row>
    <row r="1648">
      <c r="A1648" s="12">
        <v>1647.0</v>
      </c>
      <c r="B1648" s="12" t="s">
        <v>7842</v>
      </c>
      <c r="C1648" s="12" t="s">
        <v>229</v>
      </c>
      <c r="D1648" s="47">
        <v>362293.0</v>
      </c>
      <c r="E1648" s="12" t="s">
        <v>4802</v>
      </c>
      <c r="F1648" s="12" t="s">
        <v>7843</v>
      </c>
      <c r="G1648" s="12"/>
      <c r="H1648" s="12" t="s">
        <v>7833</v>
      </c>
      <c r="I1648" s="23" t="s">
        <v>7844</v>
      </c>
      <c r="J1648" s="12">
        <v>2018.0</v>
      </c>
      <c r="K1648" s="23" t="s">
        <v>7790</v>
      </c>
      <c r="L1648" s="23">
        <v>2.0</v>
      </c>
      <c r="M1648" s="127" t="s">
        <v>7845</v>
      </c>
      <c r="N1648" s="44" t="str">
        <f t="shared" si="2"/>
        <v>362293
MAH
k</v>
      </c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</row>
    <row r="1649">
      <c r="A1649" s="12">
        <v>1648.0</v>
      </c>
      <c r="B1649" s="12" t="s">
        <v>7846</v>
      </c>
      <c r="C1649" s="12" t="s">
        <v>229</v>
      </c>
      <c r="D1649" s="47">
        <v>362293.0</v>
      </c>
      <c r="E1649" s="12" t="s">
        <v>4802</v>
      </c>
      <c r="F1649" s="12" t="s">
        <v>7847</v>
      </c>
      <c r="G1649" s="12"/>
      <c r="H1649" s="12" t="s">
        <v>7833</v>
      </c>
      <c r="I1649" s="23" t="s">
        <v>7848</v>
      </c>
      <c r="J1649" s="12">
        <v>2018.0</v>
      </c>
      <c r="K1649" s="23" t="s">
        <v>7750</v>
      </c>
      <c r="L1649" s="23">
        <v>2.0</v>
      </c>
      <c r="M1649" s="127" t="s">
        <v>7849</v>
      </c>
      <c r="N1649" s="44" t="str">
        <f t="shared" si="2"/>
        <v>362293
JUN
p</v>
      </c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</row>
    <row r="1650">
      <c r="A1650" s="12">
        <v>1649.0</v>
      </c>
      <c r="B1650" s="12" t="s">
        <v>7850</v>
      </c>
      <c r="C1650" s="12" t="s">
        <v>229</v>
      </c>
      <c r="D1650" s="47">
        <v>362293.0</v>
      </c>
      <c r="E1650" s="12" t="s">
        <v>4802</v>
      </c>
      <c r="F1650" s="12" t="s">
        <v>7747</v>
      </c>
      <c r="G1650" s="12"/>
      <c r="H1650" s="12" t="s">
        <v>7833</v>
      </c>
      <c r="I1650" s="23" t="s">
        <v>7851</v>
      </c>
      <c r="J1650" s="12">
        <v>2018.0</v>
      </c>
      <c r="K1650" s="23" t="s">
        <v>7750</v>
      </c>
      <c r="L1650" s="23">
        <v>2.0</v>
      </c>
      <c r="M1650" s="127" t="s">
        <v>7852</v>
      </c>
      <c r="N1650" s="44" t="str">
        <f t="shared" si="2"/>
        <v>362293
LAE
p</v>
      </c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</row>
    <row r="1651">
      <c r="A1651" s="12">
        <v>1650.0</v>
      </c>
      <c r="B1651" s="12" t="s">
        <v>7853</v>
      </c>
      <c r="C1651" s="12" t="s">
        <v>229</v>
      </c>
      <c r="D1651" s="47">
        <v>362293.0</v>
      </c>
      <c r="E1651" s="12" t="s">
        <v>4802</v>
      </c>
      <c r="F1651" s="12" t="s">
        <v>7732</v>
      </c>
      <c r="G1651" s="12"/>
      <c r="H1651" s="12" t="s">
        <v>7833</v>
      </c>
      <c r="I1651" s="23" t="s">
        <v>7854</v>
      </c>
      <c r="J1651" s="12">
        <v>2018.0</v>
      </c>
      <c r="K1651" s="23" t="s">
        <v>7805</v>
      </c>
      <c r="L1651" s="23">
        <v>2.0</v>
      </c>
      <c r="M1651" s="127" t="s">
        <v>7855</v>
      </c>
      <c r="N1651" s="44" t="str">
        <f t="shared" si="2"/>
        <v>362293
HER
m</v>
      </c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</row>
    <row r="1652">
      <c r="A1652" s="12">
        <v>1651.0</v>
      </c>
      <c r="B1652" s="12" t="s">
        <v>7856</v>
      </c>
      <c r="C1652" s="12" t="s">
        <v>229</v>
      </c>
      <c r="D1652" s="47">
        <v>362293.0</v>
      </c>
      <c r="E1652" s="12" t="s">
        <v>4802</v>
      </c>
      <c r="F1652" s="12" t="s">
        <v>7808</v>
      </c>
      <c r="G1652" s="12"/>
      <c r="H1652" s="12" t="s">
        <v>7833</v>
      </c>
      <c r="I1652" s="23" t="s">
        <v>7857</v>
      </c>
      <c r="J1652" s="12">
        <v>2018.0</v>
      </c>
      <c r="K1652" s="23" t="s">
        <v>7750</v>
      </c>
      <c r="L1652" s="23">
        <v>2.0</v>
      </c>
      <c r="M1652" s="127" t="s">
        <v>7858</v>
      </c>
      <c r="N1652" s="44" t="str">
        <f t="shared" si="2"/>
        <v>362293
RAD
g</v>
      </c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</row>
    <row r="1653">
      <c r="A1653" s="12">
        <v>1652.0</v>
      </c>
      <c r="B1653" s="12" t="s">
        <v>7859</v>
      </c>
      <c r="C1653" s="12" t="s">
        <v>229</v>
      </c>
      <c r="D1653" s="47">
        <v>362293.0</v>
      </c>
      <c r="E1653" s="12" t="s">
        <v>4802</v>
      </c>
      <c r="F1653" s="12" t="s">
        <v>7808</v>
      </c>
      <c r="G1653" s="12"/>
      <c r="H1653" s="12" t="s">
        <v>7833</v>
      </c>
      <c r="I1653" s="23" t="s">
        <v>7860</v>
      </c>
      <c r="J1653" s="12">
        <v>2018.0</v>
      </c>
      <c r="K1653" s="23" t="s">
        <v>7750</v>
      </c>
      <c r="L1653" s="23">
        <v>2.0</v>
      </c>
      <c r="M1653" s="127" t="s">
        <v>7861</v>
      </c>
      <c r="N1653" s="44" t="str">
        <f t="shared" si="2"/>
        <v>362293
RAD
m</v>
      </c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</row>
    <row r="1654">
      <c r="A1654" s="12">
        <v>1653.0</v>
      </c>
      <c r="B1654" s="12" t="s">
        <v>7862</v>
      </c>
      <c r="C1654" s="12" t="s">
        <v>229</v>
      </c>
      <c r="D1654" s="47">
        <v>362293.0</v>
      </c>
      <c r="E1654" s="12" t="s">
        <v>4802</v>
      </c>
      <c r="F1654" s="12" t="s">
        <v>7732</v>
      </c>
      <c r="G1654" s="12"/>
      <c r="H1654" s="12" t="s">
        <v>7833</v>
      </c>
      <c r="I1654" s="23" t="s">
        <v>7863</v>
      </c>
      <c r="J1654" s="12">
        <v>2018.0</v>
      </c>
      <c r="K1654" s="23" t="s">
        <v>1508</v>
      </c>
      <c r="L1654" s="23">
        <v>2.0</v>
      </c>
      <c r="M1654" s="127" t="s">
        <v>7864</v>
      </c>
      <c r="N1654" s="44" t="str">
        <f t="shared" si="2"/>
        <v>362293
HER
m</v>
      </c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</row>
    <row r="1655">
      <c r="A1655" s="12">
        <v>1654.0</v>
      </c>
      <c r="B1655" s="12" t="s">
        <v>7865</v>
      </c>
      <c r="C1655" s="12" t="s">
        <v>229</v>
      </c>
      <c r="D1655" s="47">
        <v>362293.0</v>
      </c>
      <c r="E1655" s="12" t="s">
        <v>4802</v>
      </c>
      <c r="F1655" s="12" t="s">
        <v>7808</v>
      </c>
      <c r="G1655" s="12" t="s">
        <v>7809</v>
      </c>
      <c r="H1655" s="12" t="s">
        <v>7833</v>
      </c>
      <c r="I1655" s="23" t="s">
        <v>7866</v>
      </c>
      <c r="J1655" s="12">
        <v>2018.0</v>
      </c>
      <c r="K1655" s="23" t="s">
        <v>7867</v>
      </c>
      <c r="L1655" s="23">
        <v>2.0</v>
      </c>
      <c r="M1655" s="127" t="s">
        <v>7868</v>
      </c>
      <c r="N1655" s="44" t="str">
        <f t="shared" si="2"/>
        <v>362293
RAD
m</v>
      </c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</row>
    <row r="1656">
      <c r="A1656" s="12">
        <v>1655.0</v>
      </c>
      <c r="B1656" s="12" t="s">
        <v>7869</v>
      </c>
      <c r="C1656" s="12" t="s">
        <v>229</v>
      </c>
      <c r="D1656" s="47">
        <v>362293.0</v>
      </c>
      <c r="E1656" s="12" t="s">
        <v>4802</v>
      </c>
      <c r="F1656" s="12" t="s">
        <v>7747</v>
      </c>
      <c r="G1656" s="12" t="s">
        <v>5201</v>
      </c>
      <c r="H1656" s="12" t="s">
        <v>7833</v>
      </c>
      <c r="I1656" s="23" t="s">
        <v>7870</v>
      </c>
      <c r="J1656" s="12">
        <v>2018.0</v>
      </c>
      <c r="K1656" s="23" t="s">
        <v>7790</v>
      </c>
      <c r="L1656" s="23">
        <v>2.0</v>
      </c>
      <c r="M1656" s="127" t="s">
        <v>7871</v>
      </c>
      <c r="N1656" s="44" t="str">
        <f t="shared" si="2"/>
        <v>362293
LAE
k</v>
      </c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</row>
    <row r="1657">
      <c r="A1657" s="12">
        <v>1656.0</v>
      </c>
      <c r="B1657" s="12" t="s">
        <v>7872</v>
      </c>
      <c r="C1657" s="12" t="s">
        <v>229</v>
      </c>
      <c r="D1657" s="47">
        <v>362293.0</v>
      </c>
      <c r="E1657" s="12" t="s">
        <v>4802</v>
      </c>
      <c r="F1657" s="12" t="s">
        <v>7873</v>
      </c>
      <c r="G1657" s="12" t="s">
        <v>7809</v>
      </c>
      <c r="H1657" s="12" t="s">
        <v>7833</v>
      </c>
      <c r="I1657" s="23" t="s">
        <v>7874</v>
      </c>
      <c r="J1657" s="12">
        <v>2018.0</v>
      </c>
      <c r="K1657" s="23" t="s">
        <v>7875</v>
      </c>
      <c r="L1657" s="23">
        <v>2.0</v>
      </c>
      <c r="M1657" s="127" t="s">
        <v>7876</v>
      </c>
      <c r="N1657" s="44" t="str">
        <f t="shared" si="2"/>
        <v>362293
PEP
p</v>
      </c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</row>
    <row r="1658">
      <c r="A1658" s="12">
        <v>1657.0</v>
      </c>
      <c r="B1658" s="12" t="s">
        <v>7877</v>
      </c>
      <c r="C1658" s="12" t="s">
        <v>229</v>
      </c>
      <c r="D1658" s="47">
        <v>362293.0</v>
      </c>
      <c r="E1658" s="12" t="s">
        <v>4802</v>
      </c>
      <c r="F1658" s="12" t="s">
        <v>7878</v>
      </c>
      <c r="G1658" s="12" t="s">
        <v>7771</v>
      </c>
      <c r="H1658" s="12" t="s">
        <v>7833</v>
      </c>
      <c r="I1658" s="23" t="s">
        <v>7879</v>
      </c>
      <c r="J1658" s="12">
        <v>2018.0</v>
      </c>
      <c r="K1658" s="23" t="s">
        <v>7829</v>
      </c>
      <c r="L1658" s="23">
        <v>2.0</v>
      </c>
      <c r="M1658" s="127" t="s">
        <v>7880</v>
      </c>
      <c r="N1658" s="44" t="str">
        <f t="shared" si="2"/>
        <v>362293
HAY
w</v>
      </c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</row>
    <row r="1659">
      <c r="A1659" s="12">
        <v>1658.0</v>
      </c>
      <c r="B1659" s="12" t="s">
        <v>7881</v>
      </c>
      <c r="C1659" s="12" t="s">
        <v>229</v>
      </c>
      <c r="D1659" s="47">
        <v>362293.0</v>
      </c>
      <c r="E1659" s="12" t="s">
        <v>4802</v>
      </c>
      <c r="F1659" s="12" t="s">
        <v>7873</v>
      </c>
      <c r="G1659" s="12" t="s">
        <v>5201</v>
      </c>
      <c r="H1659" s="12" t="s">
        <v>7833</v>
      </c>
      <c r="I1659" s="23" t="s">
        <v>7882</v>
      </c>
      <c r="J1659" s="12">
        <v>2018.0</v>
      </c>
      <c r="K1659" s="23" t="s">
        <v>7867</v>
      </c>
      <c r="L1659" s="23">
        <v>2.0</v>
      </c>
      <c r="M1659" s="127" t="s">
        <v>7883</v>
      </c>
      <c r="N1659" s="44" t="str">
        <f t="shared" si="2"/>
        <v>362293
PEP
g</v>
      </c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</row>
    <row r="1660">
      <c r="A1660" s="12">
        <v>1659.0</v>
      </c>
      <c r="B1660" s="12" t="s">
        <v>7884</v>
      </c>
      <c r="C1660" s="12" t="s">
        <v>229</v>
      </c>
      <c r="D1660" s="47">
        <v>362293.0</v>
      </c>
      <c r="E1660" s="12" t="s">
        <v>4802</v>
      </c>
      <c r="F1660" s="12" t="s">
        <v>7885</v>
      </c>
      <c r="G1660" s="12" t="s">
        <v>7809</v>
      </c>
      <c r="H1660" s="12" t="s">
        <v>7833</v>
      </c>
      <c r="I1660" s="23" t="s">
        <v>7886</v>
      </c>
      <c r="J1660" s="12">
        <v>2018.0</v>
      </c>
      <c r="K1660" s="23" t="s">
        <v>7875</v>
      </c>
      <c r="L1660" s="23">
        <v>2.0</v>
      </c>
      <c r="M1660" s="127" t="s">
        <v>7887</v>
      </c>
      <c r="N1660" s="44" t="str">
        <f t="shared" si="2"/>
        <v>362293
JAL
i</v>
      </c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</row>
    <row r="1661">
      <c r="A1661" s="12">
        <v>1660.0</v>
      </c>
      <c r="B1661" s="12" t="s">
        <v>7888</v>
      </c>
      <c r="C1661" s="12" t="s">
        <v>229</v>
      </c>
      <c r="D1661" s="47">
        <v>362293.0</v>
      </c>
      <c r="E1661" s="12" t="s">
        <v>4802</v>
      </c>
      <c r="F1661" s="12" t="s">
        <v>7757</v>
      </c>
      <c r="G1661" s="12" t="s">
        <v>7748</v>
      </c>
      <c r="H1661" s="12" t="s">
        <v>7833</v>
      </c>
      <c r="I1661" s="23" t="s">
        <v>7889</v>
      </c>
      <c r="J1661" s="12">
        <v>2018.0</v>
      </c>
      <c r="K1661" s="23" t="s">
        <v>7790</v>
      </c>
      <c r="L1661" s="23">
        <v>2.0</v>
      </c>
      <c r="M1661" s="127" t="s">
        <v>7890</v>
      </c>
      <c r="N1661" s="44" t="str">
        <f t="shared" si="2"/>
        <v>362293
ASI
p</v>
      </c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</row>
    <row r="1662">
      <c r="A1662" s="12">
        <v>1661.0</v>
      </c>
      <c r="B1662" s="12" t="s">
        <v>7891</v>
      </c>
      <c r="C1662" s="12" t="s">
        <v>229</v>
      </c>
      <c r="D1662" s="47">
        <v>362293.0</v>
      </c>
      <c r="E1662" s="12" t="s">
        <v>4802</v>
      </c>
      <c r="F1662" s="12" t="s">
        <v>7747</v>
      </c>
      <c r="G1662" s="12" t="s">
        <v>7809</v>
      </c>
      <c r="H1662" s="12" t="s">
        <v>7833</v>
      </c>
      <c r="I1662" s="23" t="s">
        <v>7892</v>
      </c>
      <c r="J1662" s="12">
        <v>2018.0</v>
      </c>
      <c r="K1662" s="23" t="s">
        <v>7867</v>
      </c>
      <c r="L1662" s="23">
        <v>2.0</v>
      </c>
      <c r="M1662" s="127" t="s">
        <v>7893</v>
      </c>
      <c r="N1662" s="44" t="str">
        <f t="shared" si="2"/>
        <v>362293
LAE
r</v>
      </c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</row>
    <row r="1663">
      <c r="A1663" s="12">
        <v>1662.0</v>
      </c>
      <c r="B1663" s="12" t="s">
        <v>7894</v>
      </c>
      <c r="C1663" s="12" t="s">
        <v>229</v>
      </c>
      <c r="D1663" s="47">
        <v>362293.0</v>
      </c>
      <c r="E1663" s="12" t="s">
        <v>4802</v>
      </c>
      <c r="F1663" s="12" t="s">
        <v>7895</v>
      </c>
      <c r="G1663" s="12" t="s">
        <v>7809</v>
      </c>
      <c r="H1663" s="12" t="s">
        <v>7833</v>
      </c>
      <c r="I1663" s="23" t="s">
        <v>7896</v>
      </c>
      <c r="J1663" s="12">
        <v>2018.0</v>
      </c>
      <c r="K1663" s="23" t="s">
        <v>7790</v>
      </c>
      <c r="L1663" s="23">
        <v>2.0</v>
      </c>
      <c r="M1663" s="127" t="s">
        <v>7897</v>
      </c>
      <c r="N1663" s="44" t="str">
        <f t="shared" si="2"/>
        <v>362293
PAR
g</v>
      </c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</row>
    <row r="1664">
      <c r="A1664" s="12">
        <v>1663.0</v>
      </c>
      <c r="B1664" s="12" t="s">
        <v>7898</v>
      </c>
      <c r="C1664" s="12" t="s">
        <v>229</v>
      </c>
      <c r="D1664" s="47">
        <v>362293.0</v>
      </c>
      <c r="E1664" s="12" t="s">
        <v>4802</v>
      </c>
      <c r="F1664" s="12" t="s">
        <v>7757</v>
      </c>
      <c r="G1664" s="12" t="s">
        <v>7748</v>
      </c>
      <c r="H1664" s="12" t="s">
        <v>7833</v>
      </c>
      <c r="I1664" s="23" t="s">
        <v>7899</v>
      </c>
      <c r="J1664" s="12">
        <v>2018.0</v>
      </c>
      <c r="K1664" s="23" t="s">
        <v>7790</v>
      </c>
      <c r="L1664" s="23">
        <v>2.0</v>
      </c>
      <c r="M1664" s="127" t="s">
        <v>7900</v>
      </c>
      <c r="N1664" s="44" t="str">
        <f t="shared" si="2"/>
        <v>362293
ASI
m</v>
      </c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</row>
    <row r="1665">
      <c r="A1665" s="12">
        <v>1664.0</v>
      </c>
      <c r="B1665" s="12" t="s">
        <v>7901</v>
      </c>
      <c r="C1665" s="12" t="s">
        <v>229</v>
      </c>
      <c r="D1665" s="47">
        <v>362293.0</v>
      </c>
      <c r="E1665" s="12" t="s">
        <v>4802</v>
      </c>
      <c r="F1665" s="12" t="s">
        <v>7847</v>
      </c>
      <c r="G1665" s="12" t="s">
        <v>7809</v>
      </c>
      <c r="H1665" s="12" t="s">
        <v>7833</v>
      </c>
      <c r="I1665" s="23" t="s">
        <v>7902</v>
      </c>
      <c r="J1665" s="12">
        <v>2018.0</v>
      </c>
      <c r="K1665" s="23" t="s">
        <v>7750</v>
      </c>
      <c r="L1665" s="23">
        <v>2.0</v>
      </c>
      <c r="M1665" s="127" t="s">
        <v>7903</v>
      </c>
      <c r="N1665" s="44" t="str">
        <f t="shared" si="2"/>
        <v>362293
JUN
j</v>
      </c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</row>
    <row r="1666">
      <c r="A1666" s="12">
        <v>1665.0</v>
      </c>
      <c r="B1666" s="12" t="s">
        <v>7904</v>
      </c>
      <c r="C1666" s="12" t="s">
        <v>229</v>
      </c>
      <c r="D1666" s="47">
        <v>362293.0</v>
      </c>
      <c r="E1666" s="12" t="s">
        <v>4802</v>
      </c>
      <c r="F1666" s="12" t="s">
        <v>7847</v>
      </c>
      <c r="G1666" s="12" t="s">
        <v>7771</v>
      </c>
      <c r="H1666" s="12" t="s">
        <v>7833</v>
      </c>
      <c r="I1666" s="23" t="s">
        <v>7905</v>
      </c>
      <c r="J1666" s="12">
        <v>2018.0</v>
      </c>
      <c r="K1666" s="23" t="s">
        <v>7867</v>
      </c>
      <c r="L1666" s="23">
        <v>2.0</v>
      </c>
      <c r="M1666" s="127" t="s">
        <v>7906</v>
      </c>
      <c r="N1666" s="44" t="str">
        <f t="shared" si="2"/>
        <v>362293
JUN
d</v>
      </c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</row>
    <row r="1667">
      <c r="A1667" s="12">
        <v>1666.0</v>
      </c>
      <c r="B1667" s="12" t="s">
        <v>7907</v>
      </c>
      <c r="C1667" s="12" t="s">
        <v>229</v>
      </c>
      <c r="D1667" s="47">
        <v>362293.0</v>
      </c>
      <c r="E1667" s="12" t="s">
        <v>4802</v>
      </c>
      <c r="F1667" s="12" t="s">
        <v>7813</v>
      </c>
      <c r="G1667" s="12" t="s">
        <v>5201</v>
      </c>
      <c r="H1667" s="12" t="s">
        <v>7833</v>
      </c>
      <c r="I1667" s="23" t="s">
        <v>7908</v>
      </c>
      <c r="J1667" s="12">
        <v>2018.0</v>
      </c>
      <c r="K1667" s="23" t="s">
        <v>7750</v>
      </c>
      <c r="L1667" s="23">
        <v>2.0</v>
      </c>
      <c r="M1667" s="127" t="s">
        <v>7909</v>
      </c>
      <c r="N1667" s="44" t="str">
        <f t="shared" si="2"/>
        <v>362293
AGU
m</v>
      </c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</row>
    <row r="1668">
      <c r="A1668" s="12">
        <v>1667.0</v>
      </c>
      <c r="B1668" s="12" t="s">
        <v>7910</v>
      </c>
      <c r="C1668" s="12" t="s">
        <v>229</v>
      </c>
      <c r="D1668" s="47">
        <v>362293.0</v>
      </c>
      <c r="E1668" s="12" t="s">
        <v>4802</v>
      </c>
      <c r="F1668" s="12" t="s">
        <v>7747</v>
      </c>
      <c r="G1668" s="12" t="s">
        <v>7809</v>
      </c>
      <c r="H1668" s="12" t="s">
        <v>7833</v>
      </c>
      <c r="I1668" s="23" t="s">
        <v>7911</v>
      </c>
      <c r="J1668" s="12">
        <v>2018.0</v>
      </c>
      <c r="K1668" s="23" t="s">
        <v>7750</v>
      </c>
      <c r="L1668" s="23">
        <v>2.0</v>
      </c>
      <c r="M1668" s="127" t="s">
        <v>7912</v>
      </c>
      <c r="N1668" s="44" t="str">
        <f t="shared" si="2"/>
        <v>362293
LAE
m</v>
      </c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</row>
    <row r="1669">
      <c r="A1669" s="12">
        <v>1668.0</v>
      </c>
      <c r="B1669" s="12" t="s">
        <v>7913</v>
      </c>
      <c r="C1669" s="12" t="s">
        <v>229</v>
      </c>
      <c r="D1669" s="47">
        <v>362293.0</v>
      </c>
      <c r="E1669" s="12" t="s">
        <v>4802</v>
      </c>
      <c r="F1669" s="12" t="s">
        <v>7747</v>
      </c>
      <c r="G1669" s="12" t="s">
        <v>7809</v>
      </c>
      <c r="H1669" s="12" t="s">
        <v>7833</v>
      </c>
      <c r="I1669" s="23" t="s">
        <v>7914</v>
      </c>
      <c r="J1669" s="12">
        <v>2018.0</v>
      </c>
      <c r="K1669" s="23" t="s">
        <v>7790</v>
      </c>
      <c r="L1669" s="23">
        <v>2.0</v>
      </c>
      <c r="M1669" s="127" t="s">
        <v>7915</v>
      </c>
      <c r="N1669" s="44" t="str">
        <f t="shared" si="2"/>
        <v>362293
LAE
j</v>
      </c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</row>
    <row r="1670">
      <c r="A1670" s="12">
        <v>1669.0</v>
      </c>
      <c r="B1670" s="12" t="s">
        <v>7916</v>
      </c>
      <c r="C1670" s="12" t="s">
        <v>38</v>
      </c>
      <c r="D1670" s="23">
        <v>813.0</v>
      </c>
      <c r="E1670" s="12" t="s">
        <v>64</v>
      </c>
      <c r="F1670" s="12" t="s">
        <v>7917</v>
      </c>
      <c r="G1670" s="12"/>
      <c r="H1670" s="12"/>
      <c r="I1670" s="23"/>
      <c r="J1670" s="12"/>
      <c r="K1670" s="23"/>
      <c r="L1670" s="23">
        <v>1.0</v>
      </c>
      <c r="M1670" s="127" t="s">
        <v>7918</v>
      </c>
      <c r="N1670" s="44" t="str">
        <f t="shared" si="2"/>
        <v>813
SUC
m</v>
      </c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</row>
    <row r="1671">
      <c r="A1671" s="12">
        <v>1670.0</v>
      </c>
      <c r="B1671" s="12" t="s">
        <v>7919</v>
      </c>
      <c r="C1671" s="12" t="s">
        <v>249</v>
      </c>
      <c r="D1671" s="23">
        <v>613.0</v>
      </c>
      <c r="E1671" s="12" t="s">
        <v>7579</v>
      </c>
      <c r="F1671" s="12" t="s">
        <v>7920</v>
      </c>
      <c r="G1671" s="12"/>
      <c r="H1671" s="12" t="s">
        <v>7921</v>
      </c>
      <c r="I1671" s="23" t="s">
        <v>7922</v>
      </c>
      <c r="J1671" s="12">
        <v>2010.0</v>
      </c>
      <c r="K1671" s="23" t="s">
        <v>7923</v>
      </c>
      <c r="L1671" s="23">
        <v>1.0</v>
      </c>
      <c r="M1671" s="127" t="s">
        <v>7924</v>
      </c>
      <c r="N1671" s="44" t="str">
        <f t="shared" si="2"/>
        <v>613
CLI
p</v>
      </c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</row>
    <row r="1672">
      <c r="A1672" s="12">
        <v>1671.0</v>
      </c>
      <c r="B1672" s="12" t="s">
        <v>7925</v>
      </c>
      <c r="C1672" s="12" t="s">
        <v>246</v>
      </c>
      <c r="D1672" s="23">
        <v>503.0</v>
      </c>
      <c r="E1672" s="12" t="s">
        <v>7926</v>
      </c>
      <c r="F1672" s="12"/>
      <c r="G1672" s="12"/>
      <c r="H1672" s="12"/>
      <c r="I1672" s="23"/>
      <c r="J1672" s="12"/>
      <c r="K1672" s="23"/>
      <c r="L1672" s="23">
        <v>1.0</v>
      </c>
      <c r="M1672" s="127" t="s">
        <v>7927</v>
      </c>
      <c r="N1672" s="44" t="str">
        <f t="shared" si="2"/>
        <v>503
n</v>
      </c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</row>
    <row r="1673">
      <c r="A1673" s="12">
        <v>1672.0</v>
      </c>
      <c r="B1673" s="12" t="s">
        <v>7928</v>
      </c>
      <c r="C1673" s="12" t="s">
        <v>262</v>
      </c>
      <c r="D1673" s="23" t="s">
        <v>1938</v>
      </c>
      <c r="E1673" s="12" t="s">
        <v>1939</v>
      </c>
      <c r="F1673" s="12" t="s">
        <v>7929</v>
      </c>
      <c r="G1673" s="12"/>
      <c r="H1673" s="12" t="s">
        <v>7930</v>
      </c>
      <c r="I1673" s="23" t="s">
        <v>7931</v>
      </c>
      <c r="J1673" s="12">
        <v>2016.0</v>
      </c>
      <c r="K1673" s="23" t="s">
        <v>7932</v>
      </c>
      <c r="L1673" s="23">
        <v>1.0</v>
      </c>
      <c r="M1673" s="127" t="s">
        <v>7933</v>
      </c>
      <c r="N1673" s="44" t="str">
        <f t="shared" si="2"/>
        <v>959.8
Pro
s</v>
      </c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</row>
    <row r="1674">
      <c r="A1674" s="12">
        <v>1673.0</v>
      </c>
      <c r="B1674" s="12" t="s">
        <v>7934</v>
      </c>
      <c r="C1674" s="12" t="s">
        <v>262</v>
      </c>
      <c r="D1674" s="23">
        <v>912.0</v>
      </c>
      <c r="E1674" s="12" t="s">
        <v>7178</v>
      </c>
      <c r="F1674" s="12" t="s">
        <v>7935</v>
      </c>
      <c r="G1674" s="12"/>
      <c r="H1674" s="12" t="s">
        <v>7936</v>
      </c>
      <c r="I1674" s="23" t="s">
        <v>7937</v>
      </c>
      <c r="J1674" s="12">
        <v>2007.0</v>
      </c>
      <c r="K1674" s="23" t="s">
        <v>7938</v>
      </c>
      <c r="L1674" s="23">
        <v>1.0</v>
      </c>
      <c r="M1674" s="127" t="s">
        <v>7939</v>
      </c>
      <c r="N1674" s="44" t="str">
        <f t="shared" si="2"/>
        <v>912
TIM
a</v>
      </c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</row>
    <row r="1675">
      <c r="A1675" s="12">
        <v>1674.0</v>
      </c>
      <c r="B1675" s="12" t="s">
        <v>7940</v>
      </c>
      <c r="C1675" s="12" t="s">
        <v>262</v>
      </c>
      <c r="D1675" s="23">
        <v>930.0</v>
      </c>
      <c r="E1675" s="12" t="s">
        <v>7941</v>
      </c>
      <c r="F1675" s="12" t="s">
        <v>7942</v>
      </c>
      <c r="G1675" s="12"/>
      <c r="H1675" s="12" t="s">
        <v>7943</v>
      </c>
      <c r="I1675" s="23" t="s">
        <v>7944</v>
      </c>
      <c r="J1675" s="12">
        <v>2007.0</v>
      </c>
      <c r="K1675" s="23" t="s">
        <v>7945</v>
      </c>
      <c r="L1675" s="23">
        <v>1.0</v>
      </c>
      <c r="M1675" s="127" t="s">
        <v>7946</v>
      </c>
      <c r="N1675" s="44" t="str">
        <f t="shared" si="2"/>
        <v>930
SIM
a</v>
      </c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</row>
    <row r="1676">
      <c r="A1676" s="12">
        <v>1675.0</v>
      </c>
      <c r="B1676" s="12" t="s">
        <v>7947</v>
      </c>
      <c r="C1676" s="12" t="s">
        <v>246</v>
      </c>
      <c r="D1676" s="23">
        <v>570.0</v>
      </c>
      <c r="E1676" s="12" t="s">
        <v>2955</v>
      </c>
      <c r="F1676" s="12" t="s">
        <v>7948</v>
      </c>
      <c r="G1676" s="12"/>
      <c r="H1676" s="12" t="s">
        <v>7949</v>
      </c>
      <c r="I1676" s="23" t="s">
        <v>7950</v>
      </c>
      <c r="J1676" s="12">
        <v>2009.0</v>
      </c>
      <c r="K1676" s="23" t="s">
        <v>6728</v>
      </c>
      <c r="L1676" s="23">
        <v>1.0</v>
      </c>
      <c r="M1676" s="127" t="s">
        <v>7951</v>
      </c>
      <c r="N1676" s="44" t="str">
        <f t="shared" si="2"/>
        <v>570
TEG
s</v>
      </c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</row>
    <row r="1677">
      <c r="A1677" s="12">
        <v>1676.0</v>
      </c>
      <c r="B1677" s="12" t="s">
        <v>7952</v>
      </c>
      <c r="C1677" s="12" t="s">
        <v>262</v>
      </c>
      <c r="D1677" s="23">
        <v>912.0</v>
      </c>
      <c r="E1677" s="12" t="s">
        <v>7178</v>
      </c>
      <c r="F1677" s="12" t="s">
        <v>7953</v>
      </c>
      <c r="G1677" s="12"/>
      <c r="H1677" s="12" t="s">
        <v>1655</v>
      </c>
      <c r="I1677" s="23"/>
      <c r="J1677" s="12"/>
      <c r="K1677" s="23" t="s">
        <v>7954</v>
      </c>
      <c r="L1677" s="23">
        <v>1.0</v>
      </c>
      <c r="M1677" s="127" t="s">
        <v>7955</v>
      </c>
      <c r="N1677" s="44" t="str">
        <f t="shared" si="2"/>
        <v>912
Drs
b</v>
      </c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</row>
    <row r="1678">
      <c r="A1678" s="12">
        <v>1677.0</v>
      </c>
      <c r="B1678" s="12" t="s">
        <v>7956</v>
      </c>
      <c r="C1678" s="12" t="s">
        <v>225</v>
      </c>
      <c r="D1678" s="23" t="s">
        <v>685</v>
      </c>
      <c r="E1678" s="12" t="s">
        <v>7957</v>
      </c>
      <c r="F1678" s="12" t="s">
        <v>7958</v>
      </c>
      <c r="G1678" s="12"/>
      <c r="H1678" s="12" t="s">
        <v>920</v>
      </c>
      <c r="I1678" s="23" t="s">
        <v>7959</v>
      </c>
      <c r="J1678" s="12">
        <v>2008.0</v>
      </c>
      <c r="K1678" s="23" t="s">
        <v>7960</v>
      </c>
      <c r="L1678" s="23">
        <v>1.0</v>
      </c>
      <c r="M1678" s="127" t="s">
        <v>7961</v>
      </c>
      <c r="N1678" s="44" t="str">
        <f t="shared" si="2"/>
        <v>158.1
dr.
s</v>
      </c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</row>
    <row r="1679">
      <c r="A1679" s="12">
        <v>1678.0</v>
      </c>
      <c r="B1679" s="12" t="s">
        <v>7962</v>
      </c>
      <c r="C1679" s="12" t="s">
        <v>249</v>
      </c>
      <c r="D1679" s="23" t="s">
        <v>7963</v>
      </c>
      <c r="E1679" s="12" t="s">
        <v>7964</v>
      </c>
      <c r="F1679" s="12" t="s">
        <v>7965</v>
      </c>
      <c r="G1679" s="12"/>
      <c r="H1679" s="12" t="s">
        <v>7921</v>
      </c>
      <c r="I1679" s="23" t="s">
        <v>7966</v>
      </c>
      <c r="J1679" s="12">
        <v>2012.0</v>
      </c>
      <c r="K1679" s="23" t="s">
        <v>7967</v>
      </c>
      <c r="L1679" s="23">
        <v>1.0</v>
      </c>
      <c r="M1679" s="127" t="s">
        <v>7968</v>
      </c>
      <c r="N1679" s="44" t="str">
        <f t="shared" si="2"/>
        <v>615.8
Dr.
j</v>
      </c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</row>
    <row r="1680">
      <c r="A1680" s="12">
        <v>1679.0</v>
      </c>
      <c r="B1680" s="12" t="s">
        <v>7969</v>
      </c>
      <c r="C1680" s="12" t="s">
        <v>249</v>
      </c>
      <c r="D1680" s="23">
        <v>613.0</v>
      </c>
      <c r="E1680" s="12" t="s">
        <v>7970</v>
      </c>
      <c r="F1680" s="12" t="s">
        <v>7965</v>
      </c>
      <c r="G1680" s="12"/>
      <c r="H1680" s="12" t="s">
        <v>7921</v>
      </c>
      <c r="I1680" s="23" t="s">
        <v>7971</v>
      </c>
      <c r="J1680" s="12">
        <v>2009.0</v>
      </c>
      <c r="K1680" s="23" t="s">
        <v>7972</v>
      </c>
      <c r="L1680" s="23">
        <v>1.0</v>
      </c>
      <c r="M1680" s="127" t="s">
        <v>7973</v>
      </c>
      <c r="N1680" s="44" t="str">
        <f t="shared" si="2"/>
        <v>613
Dr.
s</v>
      </c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</row>
    <row r="1681">
      <c r="A1681" s="12">
        <v>1680.0</v>
      </c>
      <c r="B1681" s="12" t="s">
        <v>7974</v>
      </c>
      <c r="C1681" s="12" t="s">
        <v>246</v>
      </c>
      <c r="D1681" s="23" t="s">
        <v>7545</v>
      </c>
      <c r="E1681" s="12" t="s">
        <v>7544</v>
      </c>
      <c r="F1681" s="12" t="s">
        <v>7975</v>
      </c>
      <c r="G1681" s="12"/>
      <c r="H1681" s="12" t="s">
        <v>3598</v>
      </c>
      <c r="I1681" s="23" t="s">
        <v>7976</v>
      </c>
      <c r="J1681" s="12">
        <v>2009.0</v>
      </c>
      <c r="K1681" s="23" t="s">
        <v>7977</v>
      </c>
      <c r="L1681" s="23">
        <v>1.0</v>
      </c>
      <c r="M1681" s="127" t="s">
        <v>7978</v>
      </c>
      <c r="N1681" s="44" t="str">
        <f t="shared" si="2"/>
        <v>531.6
DES
s</v>
      </c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</row>
    <row r="1682">
      <c r="A1682" s="12">
        <v>1681.0</v>
      </c>
      <c r="B1682" s="12" t="s">
        <v>7979</v>
      </c>
      <c r="C1682" s="12" t="s">
        <v>246</v>
      </c>
      <c r="D1682" s="23">
        <v>500.0</v>
      </c>
      <c r="E1682" s="12" t="s">
        <v>2955</v>
      </c>
      <c r="F1682" s="12" t="s">
        <v>7980</v>
      </c>
      <c r="G1682" s="12"/>
      <c r="H1682" s="12" t="s">
        <v>3598</v>
      </c>
      <c r="I1682" s="23" t="s">
        <v>7981</v>
      </c>
      <c r="J1682" s="12">
        <v>2009.0</v>
      </c>
      <c r="K1682" s="23" t="s">
        <v>7982</v>
      </c>
      <c r="L1682" s="23">
        <v>1.0</v>
      </c>
      <c r="M1682" s="127" t="s">
        <v>7983</v>
      </c>
      <c r="N1682" s="44" t="str">
        <f t="shared" si="2"/>
        <v>500
ARF
s</v>
      </c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</row>
    <row r="1683">
      <c r="A1683" s="12">
        <v>1682.0</v>
      </c>
      <c r="B1683" s="12" t="s">
        <v>7984</v>
      </c>
      <c r="C1683" s="12" t="s">
        <v>246</v>
      </c>
      <c r="D1683" s="23">
        <v>500.0</v>
      </c>
      <c r="E1683" s="12" t="s">
        <v>2955</v>
      </c>
      <c r="F1683" s="12" t="s">
        <v>7985</v>
      </c>
      <c r="G1683" s="12"/>
      <c r="H1683" s="12" t="s">
        <v>3598</v>
      </c>
      <c r="I1683" s="23" t="s">
        <v>3590</v>
      </c>
      <c r="J1683" s="12">
        <v>2009.0</v>
      </c>
      <c r="K1683" s="23" t="s">
        <v>7982</v>
      </c>
      <c r="L1683" s="23">
        <v>1.0</v>
      </c>
      <c r="M1683" s="127" t="s">
        <v>7986</v>
      </c>
      <c r="N1683" s="44" t="str">
        <f t="shared" si="2"/>
        <v>500
SET
s</v>
      </c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</row>
    <row r="1684">
      <c r="A1684" s="12">
        <v>1683.0</v>
      </c>
      <c r="B1684" s="12" t="s">
        <v>7987</v>
      </c>
      <c r="C1684" s="12" t="s">
        <v>262</v>
      </c>
      <c r="D1684" s="23">
        <v>912.0</v>
      </c>
      <c r="E1684" s="12" t="s">
        <v>7178</v>
      </c>
      <c r="F1684" s="12"/>
      <c r="G1684" s="12"/>
      <c r="H1684" s="12" t="s">
        <v>7988</v>
      </c>
      <c r="I1684" s="23"/>
      <c r="J1684" s="12"/>
      <c r="K1684" s="23" t="s">
        <v>7989</v>
      </c>
      <c r="L1684" s="23">
        <v>1.0</v>
      </c>
      <c r="M1684" s="127" t="s">
        <v>7990</v>
      </c>
      <c r="N1684" s="44" t="str">
        <f t="shared" si="2"/>
        <v>912
a</v>
      </c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</row>
    <row r="1685">
      <c r="A1685" s="12">
        <v>1684.0</v>
      </c>
      <c r="B1685" s="12" t="s">
        <v>7991</v>
      </c>
      <c r="C1685" s="12" t="s">
        <v>229</v>
      </c>
      <c r="D1685" s="47">
        <v>375001.0</v>
      </c>
      <c r="E1685" s="12" t="s">
        <v>7992</v>
      </c>
      <c r="F1685" s="12" t="s">
        <v>7993</v>
      </c>
      <c r="G1685" s="12"/>
      <c r="H1685" s="12" t="s">
        <v>1970</v>
      </c>
      <c r="I1685" s="23"/>
      <c r="J1685" s="12">
        <v>2020.0</v>
      </c>
      <c r="K1685" s="23" t="s">
        <v>7994</v>
      </c>
      <c r="L1685" s="23">
        <v>1.0</v>
      </c>
      <c r="M1685" s="127" t="s">
        <v>7995</v>
      </c>
      <c r="N1685" s="44" t="str">
        <f t="shared" si="2"/>
        <v>375001
TIM
p</v>
      </c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</row>
    <row r="1686">
      <c r="A1686" s="12">
        <v>1685.0</v>
      </c>
      <c r="B1686" s="12" t="s">
        <v>7996</v>
      </c>
      <c r="C1686" s="12" t="s">
        <v>229</v>
      </c>
      <c r="D1686" s="23" t="s">
        <v>1657</v>
      </c>
      <c r="E1686" s="12" t="s">
        <v>1784</v>
      </c>
      <c r="F1686" s="12" t="s">
        <v>7993</v>
      </c>
      <c r="G1686" s="12"/>
      <c r="H1686" s="12" t="s">
        <v>1970</v>
      </c>
      <c r="I1686" s="23"/>
      <c r="J1686" s="12">
        <v>2020.0</v>
      </c>
      <c r="K1686" s="23" t="s">
        <v>7997</v>
      </c>
      <c r="L1686" s="23">
        <v>1.0</v>
      </c>
      <c r="M1686" s="127" t="s">
        <v>7998</v>
      </c>
      <c r="N1686" s="44" t="str">
        <f t="shared" si="2"/>
        <v>371.3
TIM
p</v>
      </c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</row>
    <row r="1687">
      <c r="A1687" s="12">
        <v>1686.0</v>
      </c>
      <c r="B1687" s="12" t="s">
        <v>7544</v>
      </c>
      <c r="C1687" s="12" t="s">
        <v>246</v>
      </c>
      <c r="D1687" s="23" t="s">
        <v>7545</v>
      </c>
      <c r="E1687" s="12" t="s">
        <v>7544</v>
      </c>
      <c r="F1687" s="12" t="s">
        <v>7999</v>
      </c>
      <c r="G1687" s="12"/>
      <c r="H1687" s="12" t="s">
        <v>8000</v>
      </c>
      <c r="I1687" s="23"/>
      <c r="J1687" s="12">
        <v>1980.0</v>
      </c>
      <c r="K1687" s="23" t="s">
        <v>8001</v>
      </c>
      <c r="L1687" s="23">
        <v>1.0</v>
      </c>
      <c r="M1687" s="127" t="s">
        <v>7547</v>
      </c>
      <c r="N1687" s="44" t="str">
        <f t="shared" si="2"/>
        <v>531.6
MIT
e</v>
      </c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</row>
    <row r="1688">
      <c r="A1688" s="12">
        <v>1687.0</v>
      </c>
      <c r="B1688" s="12" t="s">
        <v>8002</v>
      </c>
      <c r="C1688" s="12" t="s">
        <v>246</v>
      </c>
      <c r="D1688" s="23">
        <v>571.0</v>
      </c>
      <c r="E1688" s="12" t="s">
        <v>8003</v>
      </c>
      <c r="F1688" s="12" t="s">
        <v>8004</v>
      </c>
      <c r="G1688" s="12"/>
      <c r="H1688" s="12" t="s">
        <v>8005</v>
      </c>
      <c r="I1688" s="23"/>
      <c r="J1688" s="12">
        <v>1965.0</v>
      </c>
      <c r="K1688" s="23" t="s">
        <v>8006</v>
      </c>
      <c r="L1688" s="23">
        <v>1.0</v>
      </c>
      <c r="M1688" s="127" t="s">
        <v>8007</v>
      </c>
      <c r="N1688" s="44" t="str">
        <f t="shared" si="2"/>
        <v>571
JAM
g</v>
      </c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</row>
    <row r="1689">
      <c r="A1689" s="12">
        <v>1688.0</v>
      </c>
      <c r="B1689" s="12" t="s">
        <v>8008</v>
      </c>
      <c r="C1689" s="12" t="s">
        <v>246</v>
      </c>
      <c r="D1689" s="23">
        <v>510.0</v>
      </c>
      <c r="E1689" s="12" t="s">
        <v>3019</v>
      </c>
      <c r="F1689" s="12" t="s">
        <v>8009</v>
      </c>
      <c r="G1689" s="12"/>
      <c r="H1689" s="12" t="s">
        <v>7943</v>
      </c>
      <c r="I1689" s="23" t="s">
        <v>8010</v>
      </c>
      <c r="J1689" s="12">
        <v>2008.0</v>
      </c>
      <c r="K1689" s="23" t="s">
        <v>8011</v>
      </c>
      <c r="L1689" s="23">
        <v>1.0</v>
      </c>
      <c r="M1689" s="127" t="s">
        <v>8012</v>
      </c>
      <c r="N1689" s="44" t="str">
        <f t="shared" si="2"/>
        <v>510
ALE
s</v>
      </c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</row>
    <row r="1690">
      <c r="A1690" s="12">
        <v>1689.0</v>
      </c>
      <c r="B1690" s="12" t="s">
        <v>8013</v>
      </c>
      <c r="C1690" s="12" t="s">
        <v>246</v>
      </c>
      <c r="D1690" s="23">
        <v>500.0</v>
      </c>
      <c r="E1690" s="12" t="s">
        <v>2955</v>
      </c>
      <c r="F1690" s="12" t="s">
        <v>8014</v>
      </c>
      <c r="G1690" s="12"/>
      <c r="H1690" s="12" t="s">
        <v>7943</v>
      </c>
      <c r="I1690" s="23" t="s">
        <v>8015</v>
      </c>
      <c r="J1690" s="12">
        <v>2007.0</v>
      </c>
      <c r="K1690" s="23" t="s">
        <v>8011</v>
      </c>
      <c r="L1690" s="23">
        <v>1.0</v>
      </c>
      <c r="M1690" s="127" t="s">
        <v>8016</v>
      </c>
      <c r="N1690" s="44" t="str">
        <f t="shared" si="2"/>
        <v>500
ALE
s</v>
      </c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</row>
    <row r="1691">
      <c r="A1691" s="12">
        <v>1690.0</v>
      </c>
      <c r="B1691" s="12" t="s">
        <v>8017</v>
      </c>
      <c r="C1691" s="12" t="s">
        <v>246</v>
      </c>
      <c r="D1691" s="23" t="s">
        <v>8018</v>
      </c>
      <c r="E1691" s="12" t="s">
        <v>8019</v>
      </c>
      <c r="F1691" s="12" t="s">
        <v>8020</v>
      </c>
      <c r="G1691" s="12"/>
      <c r="H1691" s="12" t="s">
        <v>7943</v>
      </c>
      <c r="I1691" s="23" t="s">
        <v>8021</v>
      </c>
      <c r="J1691" s="12">
        <v>2006.0</v>
      </c>
      <c r="K1691" s="23" t="s">
        <v>8022</v>
      </c>
      <c r="L1691" s="23">
        <v>1.0</v>
      </c>
      <c r="M1691" s="127" t="s">
        <v>8023</v>
      </c>
      <c r="N1691" s="44" t="str">
        <f t="shared" si="2"/>
        <v>567.9
SUS
a</v>
      </c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</row>
    <row r="1692">
      <c r="A1692" s="12">
        <v>1691.0</v>
      </c>
      <c r="B1692" s="12" t="s">
        <v>8024</v>
      </c>
      <c r="C1692" s="12" t="s">
        <v>262</v>
      </c>
      <c r="D1692" s="23">
        <v>911.0</v>
      </c>
      <c r="E1692" s="12" t="s">
        <v>7242</v>
      </c>
      <c r="F1692" s="12" t="s">
        <v>8025</v>
      </c>
      <c r="G1692" s="12"/>
      <c r="H1692" s="12" t="s">
        <v>8026</v>
      </c>
      <c r="I1692" s="23"/>
      <c r="J1692" s="12">
        <v>2010.0</v>
      </c>
      <c r="K1692" s="23" t="s">
        <v>8027</v>
      </c>
      <c r="L1692" s="23">
        <v>8.0</v>
      </c>
      <c r="M1692" s="127" t="s">
        <v>8028</v>
      </c>
      <c r="N1692" s="44" t="str">
        <f t="shared" si="2"/>
        <v>911
TIM
a</v>
      </c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</row>
    <row r="1693">
      <c r="A1693" s="12">
        <v>1692.0</v>
      </c>
      <c r="B1693" s="12" t="s">
        <v>8024</v>
      </c>
      <c r="C1693" s="12" t="s">
        <v>262</v>
      </c>
      <c r="D1693" s="23">
        <v>911.0</v>
      </c>
      <c r="E1693" s="12" t="s">
        <v>7242</v>
      </c>
      <c r="F1693" s="12" t="s">
        <v>8029</v>
      </c>
      <c r="G1693" s="12"/>
      <c r="H1693" s="12"/>
      <c r="I1693" s="23"/>
      <c r="J1693" s="12">
        <v>2013.0</v>
      </c>
      <c r="K1693" s="23" t="s">
        <v>8030</v>
      </c>
      <c r="L1693" s="23">
        <v>28.0</v>
      </c>
      <c r="M1693" s="127" t="s">
        <v>8031</v>
      </c>
      <c r="N1693" s="44" t="str">
        <f t="shared" si="2"/>
        <v>911
WIR
a</v>
      </c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</row>
    <row r="1694">
      <c r="A1694" s="12">
        <v>1693.0</v>
      </c>
      <c r="B1694" s="12" t="s">
        <v>8032</v>
      </c>
      <c r="C1694" s="12" t="s">
        <v>262</v>
      </c>
      <c r="D1694" s="23">
        <v>912.0</v>
      </c>
      <c r="E1694" s="12" t="s">
        <v>7178</v>
      </c>
      <c r="F1694" s="12" t="s">
        <v>8033</v>
      </c>
      <c r="G1694" s="12"/>
      <c r="H1694" s="12" t="s">
        <v>8034</v>
      </c>
      <c r="I1694" s="23" t="s">
        <v>8035</v>
      </c>
      <c r="J1694" s="12">
        <v>2001.0</v>
      </c>
      <c r="K1694" s="23" t="s">
        <v>8036</v>
      </c>
      <c r="L1694" s="23">
        <v>1.0</v>
      </c>
      <c r="M1694" s="127" t="s">
        <v>8037</v>
      </c>
      <c r="N1694" s="44" t="str">
        <f t="shared" si="2"/>
        <v>912
ZAZ
a</v>
      </c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</row>
    <row r="1695">
      <c r="A1695" s="12">
        <v>1694.0</v>
      </c>
      <c r="B1695" s="12" t="s">
        <v>7177</v>
      </c>
      <c r="C1695" s="12" t="s">
        <v>262</v>
      </c>
      <c r="D1695" s="23">
        <v>912.0</v>
      </c>
      <c r="E1695" s="12" t="s">
        <v>7178</v>
      </c>
      <c r="F1695" s="12" t="s">
        <v>7179</v>
      </c>
      <c r="G1695" s="12"/>
      <c r="H1695" s="12" t="s">
        <v>7943</v>
      </c>
      <c r="I1695" s="23" t="s">
        <v>8038</v>
      </c>
      <c r="J1695" s="12">
        <v>2007.0</v>
      </c>
      <c r="K1695" s="23" t="s">
        <v>8039</v>
      </c>
      <c r="L1695" s="23">
        <v>1.0</v>
      </c>
      <c r="M1695" s="127" t="s">
        <v>8040</v>
      </c>
      <c r="N1695" s="44" t="str">
        <f t="shared" si="2"/>
        <v>912
SIM
a</v>
      </c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</row>
    <row r="1696">
      <c r="A1696" s="12">
        <v>1695.0</v>
      </c>
      <c r="B1696" s="12" t="s">
        <v>8041</v>
      </c>
      <c r="C1696" s="12" t="s">
        <v>262</v>
      </c>
      <c r="D1696" s="23">
        <v>912.0</v>
      </c>
      <c r="E1696" s="12" t="s">
        <v>7178</v>
      </c>
      <c r="F1696" s="12"/>
      <c r="G1696" s="12"/>
      <c r="H1696" s="12" t="s">
        <v>8042</v>
      </c>
      <c r="I1696" s="23"/>
      <c r="J1696" s="12"/>
      <c r="K1696" s="23" t="s">
        <v>8043</v>
      </c>
      <c r="L1696" s="23">
        <v>1.0</v>
      </c>
      <c r="M1696" s="127" t="s">
        <v>8044</v>
      </c>
      <c r="N1696" s="44" t="str">
        <f t="shared" si="2"/>
        <v>912
a</v>
      </c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</row>
    <row r="1697">
      <c r="A1697" s="12">
        <v>1696.0</v>
      </c>
      <c r="B1697" s="12" t="s">
        <v>8045</v>
      </c>
      <c r="C1697" s="12" t="s">
        <v>262</v>
      </c>
      <c r="D1697" s="23">
        <v>912.0</v>
      </c>
      <c r="E1697" s="12" t="s">
        <v>7178</v>
      </c>
      <c r="F1697" s="12"/>
      <c r="G1697" s="12"/>
      <c r="H1697" s="12" t="s">
        <v>8042</v>
      </c>
      <c r="I1697" s="23"/>
      <c r="J1697" s="12"/>
      <c r="K1697" s="23" t="s">
        <v>8046</v>
      </c>
      <c r="L1697" s="23">
        <v>1.0</v>
      </c>
      <c r="M1697" s="127" t="s">
        <v>8047</v>
      </c>
      <c r="N1697" s="44" t="str">
        <f t="shared" si="2"/>
        <v>912
a</v>
      </c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</row>
    <row r="1698">
      <c r="A1698" s="12">
        <v>1697.0</v>
      </c>
      <c r="B1698" s="12" t="s">
        <v>8048</v>
      </c>
      <c r="C1698" s="12" t="s">
        <v>262</v>
      </c>
      <c r="D1698" s="23">
        <v>912.0</v>
      </c>
      <c r="E1698" s="12" t="s">
        <v>7178</v>
      </c>
      <c r="F1698" s="12"/>
      <c r="G1698" s="12"/>
      <c r="H1698" s="12" t="s">
        <v>8049</v>
      </c>
      <c r="I1698" s="23"/>
      <c r="J1698" s="12"/>
      <c r="K1698" s="23" t="s">
        <v>8043</v>
      </c>
      <c r="L1698" s="23">
        <v>1.0</v>
      </c>
      <c r="M1698" s="127" t="s">
        <v>8050</v>
      </c>
      <c r="N1698" s="44" t="str">
        <f t="shared" si="2"/>
        <v>912
a</v>
      </c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</row>
    <row r="1699">
      <c r="A1699" s="12">
        <v>1698.0</v>
      </c>
      <c r="B1699" s="12" t="s">
        <v>8051</v>
      </c>
      <c r="C1699" s="12" t="s">
        <v>262</v>
      </c>
      <c r="D1699" s="23">
        <v>912.0</v>
      </c>
      <c r="E1699" s="12" t="s">
        <v>7178</v>
      </c>
      <c r="F1699" s="12"/>
      <c r="G1699" s="12"/>
      <c r="H1699" s="12" t="s">
        <v>1342</v>
      </c>
      <c r="I1699" s="23"/>
      <c r="J1699" s="12"/>
      <c r="K1699" s="23" t="s">
        <v>8052</v>
      </c>
      <c r="L1699" s="23">
        <v>1.0</v>
      </c>
      <c r="M1699" s="127" t="s">
        <v>8053</v>
      </c>
      <c r="N1699" s="44" t="str">
        <f t="shared" si="2"/>
        <v>912
a</v>
      </c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</row>
    <row r="1700">
      <c r="A1700" s="12">
        <v>1699.0</v>
      </c>
      <c r="B1700" s="12" t="s">
        <v>8054</v>
      </c>
      <c r="C1700" s="12" t="s">
        <v>262</v>
      </c>
      <c r="D1700" s="23">
        <v>912.0</v>
      </c>
      <c r="E1700" s="12" t="s">
        <v>7178</v>
      </c>
      <c r="F1700" s="12"/>
      <c r="G1700" s="12"/>
      <c r="H1700" s="12" t="s">
        <v>8055</v>
      </c>
      <c r="I1700" s="23"/>
      <c r="J1700" s="12"/>
      <c r="K1700" s="23"/>
      <c r="L1700" s="23">
        <v>1.0</v>
      </c>
      <c r="M1700" s="127" t="s">
        <v>8056</v>
      </c>
      <c r="N1700" s="44" t="str">
        <f t="shared" si="2"/>
        <v>912
a</v>
      </c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</row>
    <row r="1701">
      <c r="A1701" s="12">
        <v>1700.0</v>
      </c>
      <c r="B1701" s="12" t="s">
        <v>8057</v>
      </c>
      <c r="C1701" s="12" t="s">
        <v>38</v>
      </c>
      <c r="D1701" s="23">
        <v>803.0</v>
      </c>
      <c r="E1701" s="12" t="s">
        <v>8058</v>
      </c>
      <c r="F1701" s="12" t="s">
        <v>8059</v>
      </c>
      <c r="G1701" s="12"/>
      <c r="H1701" s="12" t="s">
        <v>2097</v>
      </c>
      <c r="I1701" s="23" t="s">
        <v>8060</v>
      </c>
      <c r="J1701" s="12">
        <v>2009.0</v>
      </c>
      <c r="K1701" s="23" t="s">
        <v>8061</v>
      </c>
      <c r="L1701" s="23">
        <v>1.0</v>
      </c>
      <c r="M1701" s="127" t="s">
        <v>8062</v>
      </c>
      <c r="N1701" s="44" t="str">
        <f t="shared" si="2"/>
        <v>803
Dr.
e</v>
      </c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</row>
    <row r="1702">
      <c r="A1702" s="12">
        <v>1701.0</v>
      </c>
      <c r="B1702" s="12" t="s">
        <v>8063</v>
      </c>
      <c r="C1702" s="12" t="s">
        <v>229</v>
      </c>
      <c r="D1702" s="36" t="s">
        <v>2101</v>
      </c>
      <c r="E1702" s="12" t="s">
        <v>2102</v>
      </c>
      <c r="F1702" s="12" t="s">
        <v>8064</v>
      </c>
      <c r="G1702" s="12" t="s">
        <v>8065</v>
      </c>
      <c r="H1702" s="12" t="s">
        <v>8066</v>
      </c>
      <c r="I1702" s="23" t="s">
        <v>8067</v>
      </c>
      <c r="J1702" s="12">
        <v>2020.0</v>
      </c>
      <c r="K1702" s="23" t="s">
        <v>8068</v>
      </c>
      <c r="L1702" s="23">
        <v>10.0</v>
      </c>
      <c r="M1702" s="127" t="s">
        <v>8069</v>
      </c>
      <c r="N1702" s="26" t="str">
        <f t="shared" si="2"/>
        <v>364.1323
IST
p</v>
      </c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</row>
    <row r="1703">
      <c r="A1703" s="12">
        <v>1702.0</v>
      </c>
      <c r="B1703" s="12" t="s">
        <v>8070</v>
      </c>
      <c r="C1703" s="12" t="s">
        <v>229</v>
      </c>
      <c r="D1703" s="36" t="s">
        <v>2101</v>
      </c>
      <c r="E1703" s="12" t="s">
        <v>2102</v>
      </c>
      <c r="F1703" s="12" t="s">
        <v>8071</v>
      </c>
      <c r="G1703" s="12" t="s">
        <v>8072</v>
      </c>
      <c r="H1703" s="12" t="s">
        <v>8066</v>
      </c>
      <c r="I1703" s="23" t="s">
        <v>8073</v>
      </c>
      <c r="J1703" s="12">
        <v>2020.0</v>
      </c>
      <c r="K1703" s="23" t="s">
        <v>8074</v>
      </c>
      <c r="L1703" s="23">
        <v>10.0</v>
      </c>
      <c r="M1703" s="127" t="s">
        <v>8075</v>
      </c>
      <c r="N1703" s="26" t="str">
        <f t="shared" si="2"/>
        <v>364.1323
NUR
p</v>
      </c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</row>
    <row r="1704">
      <c r="A1704" s="12">
        <v>1703.0</v>
      </c>
      <c r="B1704" s="12" t="s">
        <v>8076</v>
      </c>
      <c r="C1704" s="12" t="s">
        <v>229</v>
      </c>
      <c r="D1704" s="36" t="s">
        <v>2101</v>
      </c>
      <c r="E1704" s="12" t="s">
        <v>2102</v>
      </c>
      <c r="F1704" s="12" t="s">
        <v>8077</v>
      </c>
      <c r="G1704" s="12" t="s">
        <v>8078</v>
      </c>
      <c r="H1704" s="12" t="s">
        <v>8066</v>
      </c>
      <c r="I1704" s="23" t="s">
        <v>8079</v>
      </c>
      <c r="J1704" s="12">
        <v>2020.0</v>
      </c>
      <c r="K1704" s="23" t="s">
        <v>8080</v>
      </c>
      <c r="L1704" s="23">
        <v>10.0</v>
      </c>
      <c r="M1704" s="127" t="s">
        <v>8081</v>
      </c>
      <c r="N1704" s="26" t="str">
        <f t="shared" si="2"/>
        <v>364.1323
NUR
p</v>
      </c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</row>
    <row r="1705">
      <c r="A1705" s="12">
        <v>1704.0</v>
      </c>
      <c r="B1705" s="12" t="s">
        <v>8082</v>
      </c>
      <c r="C1705" s="12" t="s">
        <v>229</v>
      </c>
      <c r="D1705" s="36" t="s">
        <v>2101</v>
      </c>
      <c r="E1705" s="12" t="s">
        <v>2102</v>
      </c>
      <c r="F1705" s="12" t="s">
        <v>8083</v>
      </c>
      <c r="G1705" s="12" t="s">
        <v>8084</v>
      </c>
      <c r="H1705" s="12" t="s">
        <v>8066</v>
      </c>
      <c r="I1705" s="23" t="s">
        <v>8085</v>
      </c>
      <c r="J1705" s="12">
        <v>2020.0</v>
      </c>
      <c r="K1705" s="23" t="s">
        <v>8080</v>
      </c>
      <c r="L1705" s="23">
        <v>10.0</v>
      </c>
      <c r="M1705" s="127" t="s">
        <v>8086</v>
      </c>
      <c r="N1705" s="26" t="str">
        <f t="shared" si="2"/>
        <v>364.1323
IST
p</v>
      </c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</row>
    <row r="1706">
      <c r="A1706" s="12">
        <v>1705.0</v>
      </c>
      <c r="B1706" s="12" t="s">
        <v>8087</v>
      </c>
      <c r="C1706" s="12" t="s">
        <v>229</v>
      </c>
      <c r="D1706" s="36" t="s">
        <v>2101</v>
      </c>
      <c r="E1706" s="12" t="s">
        <v>2102</v>
      </c>
      <c r="F1706" s="12" t="s">
        <v>8088</v>
      </c>
      <c r="G1706" s="12" t="s">
        <v>8089</v>
      </c>
      <c r="H1706" s="12" t="s">
        <v>8066</v>
      </c>
      <c r="I1706" s="23" t="s">
        <v>8090</v>
      </c>
      <c r="J1706" s="12">
        <v>2020.0</v>
      </c>
      <c r="K1706" s="23" t="s">
        <v>8080</v>
      </c>
      <c r="L1706" s="23">
        <v>10.0</v>
      </c>
      <c r="M1706" s="127" t="s">
        <v>8091</v>
      </c>
      <c r="N1706" s="26" t="str">
        <f t="shared" si="2"/>
        <v>364.1323
IST
p</v>
      </c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</row>
    <row r="1707">
      <c r="A1707" s="12">
        <v>1706.0</v>
      </c>
      <c r="B1707" s="12" t="s">
        <v>8092</v>
      </c>
      <c r="C1707" s="12" t="s">
        <v>229</v>
      </c>
      <c r="D1707" s="36" t="s">
        <v>2101</v>
      </c>
      <c r="E1707" s="12" t="s">
        <v>2102</v>
      </c>
      <c r="F1707" s="12" t="s">
        <v>8093</v>
      </c>
      <c r="G1707" s="12" t="s">
        <v>8094</v>
      </c>
      <c r="H1707" s="12" t="s">
        <v>8066</v>
      </c>
      <c r="I1707" s="23" t="s">
        <v>8095</v>
      </c>
      <c r="J1707" s="12">
        <v>2020.0</v>
      </c>
      <c r="K1707" s="23" t="s">
        <v>8080</v>
      </c>
      <c r="L1707" s="23">
        <v>10.0</v>
      </c>
      <c r="M1707" s="127" t="s">
        <v>8096</v>
      </c>
      <c r="N1707" s="26" t="str">
        <f t="shared" si="2"/>
        <v>364.1323
IST
p</v>
      </c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</row>
    <row r="1708">
      <c r="A1708" s="12">
        <v>1707.0</v>
      </c>
      <c r="B1708" s="12" t="s">
        <v>8097</v>
      </c>
      <c r="C1708" s="12" t="s">
        <v>229</v>
      </c>
      <c r="D1708" s="36" t="s">
        <v>2101</v>
      </c>
      <c r="E1708" s="12" t="s">
        <v>2102</v>
      </c>
      <c r="F1708" s="12" t="s">
        <v>8098</v>
      </c>
      <c r="G1708" s="12" t="s">
        <v>8099</v>
      </c>
      <c r="H1708" s="12" t="s">
        <v>8066</v>
      </c>
      <c r="I1708" s="23" t="s">
        <v>8100</v>
      </c>
      <c r="J1708" s="12">
        <v>2020.0</v>
      </c>
      <c r="K1708" s="23" t="s">
        <v>8101</v>
      </c>
      <c r="L1708" s="23">
        <v>10.0</v>
      </c>
      <c r="M1708" s="127" t="s">
        <v>8102</v>
      </c>
      <c r="N1708" s="26" t="str">
        <f t="shared" si="2"/>
        <v>364.1323
IST
p</v>
      </c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</row>
    <row r="1709">
      <c r="A1709" s="12">
        <v>1708.0</v>
      </c>
      <c r="B1709" s="12" t="s">
        <v>8103</v>
      </c>
      <c r="C1709" s="12" t="s">
        <v>229</v>
      </c>
      <c r="D1709" s="36" t="s">
        <v>2101</v>
      </c>
      <c r="E1709" s="12" t="s">
        <v>2102</v>
      </c>
      <c r="F1709" s="12" t="s">
        <v>8104</v>
      </c>
      <c r="G1709" s="12" t="s">
        <v>8105</v>
      </c>
      <c r="H1709" s="12" t="s">
        <v>8066</v>
      </c>
      <c r="I1709" s="23" t="s">
        <v>8106</v>
      </c>
      <c r="J1709" s="12">
        <v>2020.0</v>
      </c>
      <c r="K1709" s="23" t="s">
        <v>8080</v>
      </c>
      <c r="L1709" s="23">
        <v>10.0</v>
      </c>
      <c r="M1709" s="127" t="s">
        <v>8107</v>
      </c>
      <c r="N1709" s="26" t="str">
        <f t="shared" si="2"/>
        <v>364.1323
NUR
p</v>
      </c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</row>
    <row r="1710">
      <c r="A1710" s="12">
        <v>1709.0</v>
      </c>
      <c r="B1710" s="12" t="s">
        <v>8108</v>
      </c>
      <c r="C1710" s="12" t="s">
        <v>229</v>
      </c>
      <c r="D1710" s="36" t="s">
        <v>2101</v>
      </c>
      <c r="E1710" s="12" t="s">
        <v>2102</v>
      </c>
      <c r="F1710" s="12" t="s">
        <v>8109</v>
      </c>
      <c r="G1710" s="12" t="s">
        <v>8110</v>
      </c>
      <c r="H1710" s="12" t="s">
        <v>8066</v>
      </c>
      <c r="I1710" s="23" t="s">
        <v>8111</v>
      </c>
      <c r="J1710" s="12">
        <v>2020.0</v>
      </c>
      <c r="K1710" s="23" t="s">
        <v>8080</v>
      </c>
      <c r="L1710" s="23">
        <v>10.0</v>
      </c>
      <c r="M1710" s="127" t="s">
        <v>8112</v>
      </c>
      <c r="N1710" s="26" t="str">
        <f t="shared" si="2"/>
        <v>364.1323
IST
p</v>
      </c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</row>
    <row r="1711">
      <c r="A1711" s="12">
        <v>1710.0</v>
      </c>
      <c r="B1711" s="12" t="s">
        <v>8113</v>
      </c>
      <c r="C1711" s="12" t="s">
        <v>229</v>
      </c>
      <c r="D1711" s="36" t="s">
        <v>2101</v>
      </c>
      <c r="E1711" s="12" t="s">
        <v>2102</v>
      </c>
      <c r="F1711" s="12" t="s">
        <v>8104</v>
      </c>
      <c r="G1711" s="12" t="s">
        <v>8114</v>
      </c>
      <c r="H1711" s="12" t="s">
        <v>8066</v>
      </c>
      <c r="I1711" s="23" t="s">
        <v>8115</v>
      </c>
      <c r="J1711" s="12">
        <v>2020.0</v>
      </c>
      <c r="K1711" s="23" t="s">
        <v>8116</v>
      </c>
      <c r="L1711" s="23">
        <v>10.0</v>
      </c>
      <c r="M1711" s="127" t="s">
        <v>8117</v>
      </c>
      <c r="N1711" s="26" t="str">
        <f t="shared" si="2"/>
        <v>364.1323
NUR
p</v>
      </c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</row>
    <row r="1712">
      <c r="A1712" s="12">
        <v>1711.0</v>
      </c>
      <c r="B1712" s="12" t="s">
        <v>8118</v>
      </c>
      <c r="C1712" s="12" t="s">
        <v>249</v>
      </c>
      <c r="D1712" s="23" t="s">
        <v>8119</v>
      </c>
      <c r="E1712" s="12" t="s">
        <v>8120</v>
      </c>
      <c r="F1712" s="12" t="s">
        <v>8121</v>
      </c>
      <c r="G1712" s="12" t="s">
        <v>8122</v>
      </c>
      <c r="H1712" s="12" t="s">
        <v>8123</v>
      </c>
      <c r="I1712" s="23" t="s">
        <v>8124</v>
      </c>
      <c r="J1712" s="12">
        <v>2025.0</v>
      </c>
      <c r="K1712" s="23" t="s">
        <v>8125</v>
      </c>
      <c r="L1712" s="23">
        <v>3.0</v>
      </c>
      <c r="M1712" s="127" t="s">
        <v>8126</v>
      </c>
      <c r="N1712" s="26" t="str">
        <f t="shared" si="2"/>
        <v>635.8
WAH
u</v>
      </c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</row>
    <row r="1713">
      <c r="A1713" s="12">
        <v>1712.0</v>
      </c>
      <c r="B1713" s="12" t="s">
        <v>8127</v>
      </c>
      <c r="C1713" s="12" t="s">
        <v>249</v>
      </c>
      <c r="D1713" s="23">
        <v>635.0</v>
      </c>
      <c r="E1713" s="12" t="s">
        <v>8128</v>
      </c>
      <c r="F1713" s="12" t="s">
        <v>8129</v>
      </c>
      <c r="G1713" s="12" t="s">
        <v>8065</v>
      </c>
      <c r="H1713" s="12" t="s">
        <v>8123</v>
      </c>
      <c r="I1713" s="23" t="s">
        <v>8130</v>
      </c>
      <c r="J1713" s="12">
        <v>2025.0</v>
      </c>
      <c r="K1713" s="23" t="s">
        <v>8125</v>
      </c>
      <c r="L1713" s="23">
        <v>3.0</v>
      </c>
      <c r="M1713" s="127" t="s">
        <v>8131</v>
      </c>
      <c r="N1713" s="26" t="str">
        <f t="shared" si="2"/>
        <v>635
ISN
r</v>
      </c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</row>
    <row r="1714">
      <c r="A1714" s="12">
        <v>1713.0</v>
      </c>
      <c r="B1714" s="12" t="s">
        <v>8132</v>
      </c>
      <c r="C1714" s="12" t="s">
        <v>249</v>
      </c>
      <c r="D1714" s="23">
        <v>635.0</v>
      </c>
      <c r="E1714" s="12" t="s">
        <v>8133</v>
      </c>
      <c r="F1714" s="12" t="s">
        <v>8134</v>
      </c>
      <c r="G1714" s="12" t="s">
        <v>8065</v>
      </c>
      <c r="H1714" s="12" t="s">
        <v>8123</v>
      </c>
      <c r="I1714" s="23" t="s">
        <v>8135</v>
      </c>
      <c r="J1714" s="12">
        <v>2025.0</v>
      </c>
      <c r="K1714" s="23" t="s">
        <v>8125</v>
      </c>
      <c r="L1714" s="23">
        <v>3.0</v>
      </c>
      <c r="M1714" s="127" t="s">
        <v>8136</v>
      </c>
      <c r="N1714" s="26" t="str">
        <f t="shared" si="2"/>
        <v>635
EST
r</v>
      </c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</row>
    <row r="1715">
      <c r="A1715" s="12">
        <v>1714.0</v>
      </c>
      <c r="B1715" s="12" t="s">
        <v>8137</v>
      </c>
      <c r="C1715" s="12" t="s">
        <v>249</v>
      </c>
      <c r="D1715" s="23">
        <v>630.0</v>
      </c>
      <c r="E1715" s="12" t="s">
        <v>8138</v>
      </c>
      <c r="F1715" s="12" t="s">
        <v>2990</v>
      </c>
      <c r="G1715" s="12" t="s">
        <v>8065</v>
      </c>
      <c r="H1715" s="12" t="s">
        <v>8123</v>
      </c>
      <c r="I1715" s="23" t="s">
        <v>8139</v>
      </c>
      <c r="J1715" s="12">
        <v>2025.0</v>
      </c>
      <c r="K1715" s="23" t="s">
        <v>8125</v>
      </c>
      <c r="L1715" s="23">
        <v>3.0</v>
      </c>
      <c r="M1715" s="127" t="s">
        <v>8140</v>
      </c>
      <c r="N1715" s="26" t="str">
        <f t="shared" si="2"/>
        <v>630
WUL
s</v>
      </c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</row>
    <row r="1716">
      <c r="A1716" s="12">
        <v>1715.0</v>
      </c>
      <c r="B1716" s="12" t="s">
        <v>8141</v>
      </c>
      <c r="C1716" s="12" t="s">
        <v>249</v>
      </c>
      <c r="D1716" s="23" t="s">
        <v>4437</v>
      </c>
      <c r="E1716" s="12" t="s">
        <v>8142</v>
      </c>
      <c r="F1716" s="12" t="s">
        <v>8143</v>
      </c>
      <c r="G1716" s="12" t="s">
        <v>8065</v>
      </c>
      <c r="H1716" s="12" t="s">
        <v>8123</v>
      </c>
      <c r="I1716" s="23" t="s">
        <v>8144</v>
      </c>
      <c r="J1716" s="12">
        <v>2025.0</v>
      </c>
      <c r="K1716" s="23" t="s">
        <v>8145</v>
      </c>
      <c r="L1716" s="23">
        <v>3.0</v>
      </c>
      <c r="M1716" s="127" t="s">
        <v>8146</v>
      </c>
      <c r="N1716" s="26" t="str">
        <f t="shared" si="2"/>
        <v>635.9
LU'
o</v>
      </c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</row>
    <row r="1717">
      <c r="A1717" s="12">
        <v>1716.0</v>
      </c>
      <c r="B1717" s="12" t="s">
        <v>8147</v>
      </c>
      <c r="C1717" s="12" t="s">
        <v>249</v>
      </c>
      <c r="D1717" s="23" t="s">
        <v>8148</v>
      </c>
      <c r="E1717" s="12" t="s">
        <v>8149</v>
      </c>
      <c r="F1717" s="12" t="s">
        <v>8150</v>
      </c>
      <c r="G1717" s="12" t="s">
        <v>8065</v>
      </c>
      <c r="H1717" s="12" t="s">
        <v>8123</v>
      </c>
      <c r="I1717" s="23" t="s">
        <v>8151</v>
      </c>
      <c r="J1717" s="12">
        <v>2025.0</v>
      </c>
      <c r="K1717" s="23" t="s">
        <v>8152</v>
      </c>
      <c r="L1717" s="23">
        <v>3.0</v>
      </c>
      <c r="M1717" s="127" t="s">
        <v>8153</v>
      </c>
      <c r="N1717" s="26" t="str">
        <f t="shared" si="2"/>
        <v>616.89
THA
m</v>
      </c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</row>
    <row r="1718">
      <c r="A1718" s="12">
        <v>1717.0</v>
      </c>
      <c r="B1718" s="12" t="s">
        <v>8154</v>
      </c>
      <c r="C1718" s="12" t="s">
        <v>249</v>
      </c>
      <c r="D1718" s="23" t="s">
        <v>3168</v>
      </c>
      <c r="E1718" s="12" t="s">
        <v>8155</v>
      </c>
      <c r="F1718" s="12" t="s">
        <v>8156</v>
      </c>
      <c r="G1718" s="12" t="s">
        <v>8157</v>
      </c>
      <c r="H1718" s="12" t="s">
        <v>8123</v>
      </c>
      <c r="I1718" s="23" t="s">
        <v>8158</v>
      </c>
      <c r="J1718" s="12">
        <v>2025.0</v>
      </c>
      <c r="K1718" s="23" t="s">
        <v>8159</v>
      </c>
      <c r="L1718" s="23">
        <v>3.0</v>
      </c>
      <c r="M1718" s="127" t="s">
        <v>8160</v>
      </c>
      <c r="N1718" s="26" t="str">
        <f t="shared" si="2"/>
        <v>615.3
FIR
r</v>
      </c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</row>
    <row r="1719">
      <c r="A1719" s="12">
        <v>1718.0</v>
      </c>
      <c r="B1719" s="12" t="s">
        <v>8161</v>
      </c>
      <c r="C1719" s="12" t="s">
        <v>249</v>
      </c>
      <c r="D1719" s="23" t="s">
        <v>8162</v>
      </c>
      <c r="E1719" s="12" t="s">
        <v>8163</v>
      </c>
      <c r="F1719" s="12" t="s">
        <v>8164</v>
      </c>
      <c r="G1719" s="12" t="s">
        <v>8165</v>
      </c>
      <c r="H1719" s="12" t="s">
        <v>8123</v>
      </c>
      <c r="I1719" s="23" t="s">
        <v>8166</v>
      </c>
      <c r="J1719" s="12">
        <v>2025.0</v>
      </c>
      <c r="K1719" s="23" t="s">
        <v>8167</v>
      </c>
      <c r="L1719" s="23">
        <v>3.0</v>
      </c>
      <c r="M1719" s="127" t="s">
        <v>8168</v>
      </c>
      <c r="N1719" s="26" t="str">
        <f t="shared" si="2"/>
        <v>613.9
ANN
a</v>
      </c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</row>
    <row r="1720">
      <c r="A1720" s="12">
        <v>1719.0</v>
      </c>
      <c r="B1720" s="12" t="s">
        <v>8169</v>
      </c>
      <c r="C1720" s="12" t="s">
        <v>249</v>
      </c>
      <c r="D1720" s="23" t="s">
        <v>4614</v>
      </c>
      <c r="E1720" s="12" t="s">
        <v>8170</v>
      </c>
      <c r="F1720" s="12" t="s">
        <v>8171</v>
      </c>
      <c r="G1720" s="12" t="s">
        <v>8065</v>
      </c>
      <c r="H1720" s="12" t="s">
        <v>8123</v>
      </c>
      <c r="I1720" s="23" t="s">
        <v>8172</v>
      </c>
      <c r="J1720" s="12">
        <v>2025.0</v>
      </c>
      <c r="K1720" s="23" t="s">
        <v>8173</v>
      </c>
      <c r="L1720" s="23">
        <v>3.0</v>
      </c>
      <c r="M1720" s="127" t="s">
        <v>8174</v>
      </c>
      <c r="N1720" s="26" t="str">
        <f t="shared" si="2"/>
        <v>613.2
CIC
a</v>
      </c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</row>
    <row r="1721">
      <c r="A1721" s="12">
        <v>1720.0</v>
      </c>
      <c r="B1721" s="12" t="s">
        <v>8175</v>
      </c>
      <c r="C1721" s="12" t="s">
        <v>249</v>
      </c>
      <c r="D1721" s="23" t="s">
        <v>4144</v>
      </c>
      <c r="E1721" s="12" t="s">
        <v>8176</v>
      </c>
      <c r="F1721" s="12" t="s">
        <v>8164</v>
      </c>
      <c r="G1721" s="12" t="s">
        <v>8177</v>
      </c>
      <c r="H1721" s="12" t="s">
        <v>8123</v>
      </c>
      <c r="I1721" s="23" t="s">
        <v>8178</v>
      </c>
      <c r="J1721" s="12">
        <v>2025.0</v>
      </c>
      <c r="K1721" s="23" t="s">
        <v>8167</v>
      </c>
      <c r="L1721" s="23">
        <v>3.0</v>
      </c>
      <c r="M1721" s="127" t="s">
        <v>8179</v>
      </c>
      <c r="N1721" s="26" t="str">
        <f t="shared" si="2"/>
        <v>611.2
ANN
t</v>
      </c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</row>
    <row r="1722">
      <c r="A1722" s="12">
        <v>1721.0</v>
      </c>
      <c r="B1722" s="12" t="s">
        <v>8180</v>
      </c>
      <c r="C1722" s="12" t="s">
        <v>249</v>
      </c>
      <c r="D1722" s="23" t="s">
        <v>8181</v>
      </c>
      <c r="E1722" s="12" t="s">
        <v>8182</v>
      </c>
      <c r="F1722" s="12" t="s">
        <v>8183</v>
      </c>
      <c r="G1722" s="12" t="s">
        <v>8184</v>
      </c>
      <c r="H1722" s="12" t="s">
        <v>8123</v>
      </c>
      <c r="I1722" s="23" t="s">
        <v>8185</v>
      </c>
      <c r="J1722" s="12">
        <v>2025.0</v>
      </c>
      <c r="K1722" s="23" t="s">
        <v>8186</v>
      </c>
      <c r="L1722" s="23">
        <v>3.0</v>
      </c>
      <c r="M1722" s="127" t="s">
        <v>8187</v>
      </c>
      <c r="N1722" s="26" t="str">
        <f t="shared" si="2"/>
        <v>658.8
WAH
m</v>
      </c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</row>
    <row r="1723">
      <c r="A1723" s="12">
        <v>1722.0</v>
      </c>
      <c r="B1723" s="12" t="s">
        <v>8188</v>
      </c>
      <c r="C1723" s="12" t="s">
        <v>229</v>
      </c>
      <c r="D1723" s="23" t="s">
        <v>4277</v>
      </c>
      <c r="E1723" s="12" t="s">
        <v>4667</v>
      </c>
      <c r="F1723" s="12" t="s">
        <v>8189</v>
      </c>
      <c r="G1723" s="12" t="s">
        <v>8184</v>
      </c>
      <c r="H1723" s="12" t="s">
        <v>8123</v>
      </c>
      <c r="I1723" s="23" t="s">
        <v>8190</v>
      </c>
      <c r="J1723" s="12">
        <v>2025.0</v>
      </c>
      <c r="K1723" s="23" t="s">
        <v>8125</v>
      </c>
      <c r="L1723" s="23">
        <v>3.0</v>
      </c>
      <c r="M1723" s="127" t="s">
        <v>8191</v>
      </c>
      <c r="N1723" s="26" t="str">
        <f t="shared" si="2"/>
        <v>338.04
SAR
m</v>
      </c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</row>
    <row r="1724">
      <c r="A1724" s="12">
        <v>1723.0</v>
      </c>
      <c r="B1724" s="12" t="s">
        <v>8192</v>
      </c>
      <c r="C1724" s="12" t="s">
        <v>229</v>
      </c>
      <c r="D1724" s="23" t="s">
        <v>4277</v>
      </c>
      <c r="E1724" s="12" t="s">
        <v>4667</v>
      </c>
      <c r="F1724" s="12" t="s">
        <v>8193</v>
      </c>
      <c r="G1724" s="12" t="s">
        <v>8184</v>
      </c>
      <c r="H1724" s="12" t="s">
        <v>8123</v>
      </c>
      <c r="I1724" s="23" t="s">
        <v>8194</v>
      </c>
      <c r="J1724" s="12">
        <v>2025.0</v>
      </c>
      <c r="K1724" s="23" t="s">
        <v>8125</v>
      </c>
      <c r="L1724" s="23">
        <v>3.0</v>
      </c>
      <c r="M1724" s="127" t="s">
        <v>8195</v>
      </c>
      <c r="N1724" s="26" t="str">
        <f t="shared" si="2"/>
        <v>338.04
WAH
k</v>
      </c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</row>
    <row r="1725">
      <c r="A1725" s="12">
        <v>1724.0</v>
      </c>
      <c r="B1725" s="12" t="s">
        <v>8196</v>
      </c>
      <c r="C1725" s="12" t="s">
        <v>229</v>
      </c>
      <c r="D1725" s="23" t="s">
        <v>4277</v>
      </c>
      <c r="E1725" s="12" t="s">
        <v>4667</v>
      </c>
      <c r="F1725" s="12" t="s">
        <v>8197</v>
      </c>
      <c r="G1725" s="12" t="s">
        <v>8184</v>
      </c>
      <c r="H1725" s="12" t="s">
        <v>8123</v>
      </c>
      <c r="I1725" s="23" t="s">
        <v>8198</v>
      </c>
      <c r="J1725" s="12">
        <v>2025.0</v>
      </c>
      <c r="K1725" s="23" t="s">
        <v>8125</v>
      </c>
      <c r="L1725" s="23">
        <v>3.0</v>
      </c>
      <c r="M1725" s="127" t="s">
        <v>8199</v>
      </c>
      <c r="N1725" s="26" t="str">
        <f t="shared" si="2"/>
        <v>338.04
YUN
h</v>
      </c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</row>
    <row r="1726">
      <c r="A1726" s="12">
        <v>1725.0</v>
      </c>
      <c r="B1726" s="12" t="s">
        <v>8200</v>
      </c>
      <c r="C1726" s="12" t="s">
        <v>229</v>
      </c>
      <c r="D1726" s="23" t="s">
        <v>8201</v>
      </c>
      <c r="E1726" s="12" t="s">
        <v>8202</v>
      </c>
      <c r="F1726" s="12" t="s">
        <v>8203</v>
      </c>
      <c r="G1726" s="12" t="s">
        <v>8184</v>
      </c>
      <c r="H1726" s="12" t="s">
        <v>8123</v>
      </c>
      <c r="I1726" s="23" t="s">
        <v>8204</v>
      </c>
      <c r="J1726" s="12">
        <v>2025.0</v>
      </c>
      <c r="K1726" s="23" t="s">
        <v>8125</v>
      </c>
      <c r="L1726" s="23">
        <v>3.0</v>
      </c>
      <c r="M1726" s="127" t="s">
        <v>8205</v>
      </c>
      <c r="N1726" s="26" t="str">
        <f t="shared" si="2"/>
        <v>302.33
LIN
b</v>
      </c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</row>
    <row r="1727">
      <c r="A1727" s="12">
        <v>1726.0</v>
      </c>
      <c r="B1727" s="12" t="s">
        <v>8206</v>
      </c>
      <c r="C1727" s="12" t="s">
        <v>249</v>
      </c>
      <c r="D1727" s="23" t="s">
        <v>2349</v>
      </c>
      <c r="E1727" s="12" t="s">
        <v>8207</v>
      </c>
      <c r="F1727" s="12" t="s">
        <v>8208</v>
      </c>
      <c r="G1727" s="12" t="s">
        <v>8184</v>
      </c>
      <c r="H1727" s="12" t="s">
        <v>8123</v>
      </c>
      <c r="I1727" s="23" t="s">
        <v>8209</v>
      </c>
      <c r="J1727" s="12">
        <v>2025.0</v>
      </c>
      <c r="K1727" s="23" t="s">
        <v>8210</v>
      </c>
      <c r="L1727" s="23">
        <v>3.0</v>
      </c>
      <c r="M1727" s="127" t="s">
        <v>8211</v>
      </c>
      <c r="N1727" s="26" t="str">
        <f t="shared" si="2"/>
        <v>628.4
ANN
y</v>
      </c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</row>
    <row r="1728">
      <c r="A1728" s="12">
        <v>1727.0</v>
      </c>
      <c r="B1728" s="12" t="s">
        <v>8212</v>
      </c>
      <c r="C1728" s="12" t="s">
        <v>249</v>
      </c>
      <c r="D1728" s="23" t="s">
        <v>2349</v>
      </c>
      <c r="E1728" s="12" t="s">
        <v>8207</v>
      </c>
      <c r="F1728" s="12" t="s">
        <v>8213</v>
      </c>
      <c r="G1728" s="12" t="s">
        <v>8184</v>
      </c>
      <c r="H1728" s="12" t="s">
        <v>8123</v>
      </c>
      <c r="I1728" s="23" t="s">
        <v>8214</v>
      </c>
      <c r="J1728" s="12">
        <v>2025.0</v>
      </c>
      <c r="K1728" s="23" t="s">
        <v>8215</v>
      </c>
      <c r="L1728" s="23">
        <v>3.0</v>
      </c>
      <c r="M1728" s="127" t="s">
        <v>8216</v>
      </c>
      <c r="N1728" s="26" t="str">
        <f t="shared" si="2"/>
        <v>628.4
WAH
m</v>
      </c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</row>
    <row r="1729">
      <c r="A1729" s="12">
        <v>1728.0</v>
      </c>
      <c r="B1729" s="12" t="s">
        <v>8217</v>
      </c>
      <c r="C1729" s="12" t="s">
        <v>249</v>
      </c>
      <c r="D1729" s="23" t="s">
        <v>2349</v>
      </c>
      <c r="E1729" s="12" t="s">
        <v>8207</v>
      </c>
      <c r="F1729" s="12" t="s">
        <v>8143</v>
      </c>
      <c r="G1729" s="12" t="s">
        <v>8184</v>
      </c>
      <c r="H1729" s="12" t="s">
        <v>8123</v>
      </c>
      <c r="I1729" s="23" t="s">
        <v>8218</v>
      </c>
      <c r="J1729" s="12">
        <v>2025.0</v>
      </c>
      <c r="K1729" s="23" t="s">
        <v>8186</v>
      </c>
      <c r="L1729" s="23">
        <v>3.0</v>
      </c>
      <c r="M1729" s="127" t="s">
        <v>8219</v>
      </c>
      <c r="N1729" s="26" t="str">
        <f t="shared" si="2"/>
        <v>628.4
LU'
m</v>
      </c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</row>
    <row r="1730">
      <c r="A1730" s="12">
        <v>1729.0</v>
      </c>
      <c r="B1730" s="12" t="s">
        <v>8220</v>
      </c>
      <c r="C1730" s="12" t="s">
        <v>249</v>
      </c>
      <c r="D1730" s="23" t="s">
        <v>2349</v>
      </c>
      <c r="E1730" s="12" t="s">
        <v>8207</v>
      </c>
      <c r="F1730" s="12" t="s">
        <v>8221</v>
      </c>
      <c r="G1730" s="12" t="s">
        <v>8184</v>
      </c>
      <c r="H1730" s="12" t="s">
        <v>8123</v>
      </c>
      <c r="I1730" s="23" t="s">
        <v>8222</v>
      </c>
      <c r="J1730" s="12">
        <v>2025.0</v>
      </c>
      <c r="K1730" s="23" t="s">
        <v>8215</v>
      </c>
      <c r="L1730" s="23">
        <v>3.0</v>
      </c>
      <c r="M1730" s="127" t="s">
        <v>8223</v>
      </c>
      <c r="N1730" s="26" t="str">
        <f t="shared" si="2"/>
        <v>628.4
IKA
c</v>
      </c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</row>
    <row r="1731">
      <c r="A1731" s="12">
        <v>1730.0</v>
      </c>
      <c r="B1731" s="12" t="s">
        <v>8224</v>
      </c>
      <c r="C1731" s="12" t="s">
        <v>249</v>
      </c>
      <c r="D1731" s="23" t="s">
        <v>2349</v>
      </c>
      <c r="E1731" s="12" t="s">
        <v>8207</v>
      </c>
      <c r="F1731" s="12" t="s">
        <v>8225</v>
      </c>
      <c r="G1731" s="12" t="s">
        <v>8184</v>
      </c>
      <c r="H1731" s="12" t="s">
        <v>8123</v>
      </c>
      <c r="I1731" s="23" t="s">
        <v>8226</v>
      </c>
      <c r="J1731" s="12">
        <v>2025.0</v>
      </c>
      <c r="K1731" s="23" t="s">
        <v>8159</v>
      </c>
      <c r="L1731" s="23">
        <v>3.0</v>
      </c>
      <c r="M1731" s="127" t="s">
        <v>8227</v>
      </c>
      <c r="N1731" s="26" t="str">
        <f t="shared" si="2"/>
        <v>628.4
RAT
a</v>
      </c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</row>
    <row r="1732">
      <c r="A1732" s="12">
        <v>1731.0</v>
      </c>
      <c r="B1732" s="12" t="s">
        <v>8228</v>
      </c>
      <c r="C1732" s="12" t="s">
        <v>225</v>
      </c>
      <c r="D1732" s="23" t="s">
        <v>685</v>
      </c>
      <c r="E1732" s="12" t="s">
        <v>7957</v>
      </c>
      <c r="F1732" s="12" t="s">
        <v>8225</v>
      </c>
      <c r="G1732" s="12" t="s">
        <v>8184</v>
      </c>
      <c r="H1732" s="12" t="s">
        <v>6320</v>
      </c>
      <c r="I1732" s="23" t="s">
        <v>8229</v>
      </c>
      <c r="J1732" s="12">
        <v>2025.0</v>
      </c>
      <c r="K1732" s="23" t="s">
        <v>8186</v>
      </c>
      <c r="L1732" s="23">
        <v>3.0</v>
      </c>
      <c r="M1732" s="127" t="s">
        <v>8230</v>
      </c>
      <c r="N1732" s="26" t="str">
        <f t="shared" si="2"/>
        <v>158.1
RAT
p</v>
      </c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</row>
    <row r="1733">
      <c r="A1733" s="12">
        <v>1732.0</v>
      </c>
      <c r="B1733" s="12" t="s">
        <v>8231</v>
      </c>
      <c r="C1733" s="12" t="s">
        <v>225</v>
      </c>
      <c r="D1733" s="23" t="s">
        <v>685</v>
      </c>
      <c r="E1733" s="12" t="s">
        <v>7957</v>
      </c>
      <c r="F1733" s="12" t="s">
        <v>8232</v>
      </c>
      <c r="G1733" s="12" t="s">
        <v>8184</v>
      </c>
      <c r="H1733" s="12" t="s">
        <v>6320</v>
      </c>
      <c r="I1733" s="23" t="s">
        <v>8233</v>
      </c>
      <c r="J1733" s="12">
        <v>2025.0</v>
      </c>
      <c r="K1733" s="23" t="s">
        <v>8234</v>
      </c>
      <c r="L1733" s="23">
        <v>3.0</v>
      </c>
      <c r="M1733" s="127" t="s">
        <v>8235</v>
      </c>
      <c r="N1733" s="26" t="str">
        <f t="shared" si="2"/>
        <v>158.1
ERV
m</v>
      </c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</row>
    <row r="1734">
      <c r="A1734" s="12">
        <v>1733.0</v>
      </c>
      <c r="B1734" s="12" t="s">
        <v>8236</v>
      </c>
      <c r="C1734" s="12" t="s">
        <v>225</v>
      </c>
      <c r="D1734" s="23" t="s">
        <v>685</v>
      </c>
      <c r="E1734" s="12" t="s">
        <v>7957</v>
      </c>
      <c r="F1734" s="12" t="s">
        <v>8237</v>
      </c>
      <c r="G1734" s="12" t="s">
        <v>8184</v>
      </c>
      <c r="H1734" s="12" t="s">
        <v>6320</v>
      </c>
      <c r="I1734" s="23" t="s">
        <v>8238</v>
      </c>
      <c r="J1734" s="12">
        <v>2025.0</v>
      </c>
      <c r="K1734" s="23" t="s">
        <v>8186</v>
      </c>
      <c r="L1734" s="23">
        <v>3.0</v>
      </c>
      <c r="M1734" s="127" t="s">
        <v>8239</v>
      </c>
      <c r="N1734" s="26" t="str">
        <f t="shared" si="2"/>
        <v>158.1
RUT
l</v>
      </c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</row>
    <row r="1735">
      <c r="A1735" s="12">
        <v>1734.0</v>
      </c>
      <c r="B1735" s="12" t="s">
        <v>8240</v>
      </c>
      <c r="C1735" s="12" t="s">
        <v>225</v>
      </c>
      <c r="D1735" s="23" t="s">
        <v>685</v>
      </c>
      <c r="E1735" s="12" t="s">
        <v>7957</v>
      </c>
      <c r="F1735" s="12" t="s">
        <v>8241</v>
      </c>
      <c r="G1735" s="12" t="s">
        <v>8184</v>
      </c>
      <c r="H1735" s="12" t="s">
        <v>6320</v>
      </c>
      <c r="I1735" s="23" t="s">
        <v>8242</v>
      </c>
      <c r="J1735" s="12">
        <v>2025.0</v>
      </c>
      <c r="K1735" s="23" t="s">
        <v>8234</v>
      </c>
      <c r="L1735" s="23">
        <v>3.0</v>
      </c>
      <c r="M1735" s="127" t="s">
        <v>8243</v>
      </c>
      <c r="N1735" s="26" t="str">
        <f t="shared" si="2"/>
        <v>158.1
IQB
k</v>
      </c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</row>
    <row r="1736">
      <c r="A1736" s="12">
        <v>1735.0</v>
      </c>
      <c r="B1736" s="12" t="s">
        <v>8244</v>
      </c>
      <c r="C1736" s="12" t="s">
        <v>225</v>
      </c>
      <c r="D1736" s="23" t="s">
        <v>685</v>
      </c>
      <c r="E1736" s="12" t="s">
        <v>7957</v>
      </c>
      <c r="F1736" s="12" t="s">
        <v>8177</v>
      </c>
      <c r="G1736" s="12" t="s">
        <v>8184</v>
      </c>
      <c r="H1736" s="12" t="s">
        <v>6320</v>
      </c>
      <c r="I1736" s="23" t="s">
        <v>8245</v>
      </c>
      <c r="J1736" s="12">
        <v>2025.0</v>
      </c>
      <c r="K1736" s="23" t="s">
        <v>8186</v>
      </c>
      <c r="L1736" s="23">
        <v>3.0</v>
      </c>
      <c r="M1736" s="127" t="s">
        <v>8246</v>
      </c>
      <c r="N1736" s="26" t="str">
        <f t="shared" si="2"/>
        <v>158.1
IKH
j</v>
      </c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</row>
    <row r="1737">
      <c r="A1737" s="12">
        <v>1736.0</v>
      </c>
      <c r="B1737" s="12" t="s">
        <v>8247</v>
      </c>
      <c r="C1737" s="12" t="s">
        <v>226</v>
      </c>
      <c r="D1737" s="23">
        <v>297.0</v>
      </c>
      <c r="E1737" s="12" t="s">
        <v>6361</v>
      </c>
      <c r="F1737" s="12" t="s">
        <v>8248</v>
      </c>
      <c r="G1737" s="12"/>
      <c r="H1737" s="12" t="s">
        <v>2097</v>
      </c>
      <c r="I1737" s="23" t="s">
        <v>8249</v>
      </c>
      <c r="J1737" s="12">
        <v>2008.0</v>
      </c>
      <c r="K1737" s="23" t="s">
        <v>8250</v>
      </c>
      <c r="L1737" s="23">
        <v>1.0</v>
      </c>
      <c r="M1737" s="22"/>
      <c r="N1737" s="22" t="str">
        <f t="shared" si="2"/>
        <v>297
SOF
3</v>
      </c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</row>
    <row r="1738">
      <c r="A1738" s="12">
        <v>1737.0</v>
      </c>
      <c r="B1738" s="12" t="s">
        <v>8251</v>
      </c>
      <c r="C1738" s="12" t="s">
        <v>226</v>
      </c>
      <c r="D1738" s="23">
        <v>297.0</v>
      </c>
      <c r="E1738" s="12" t="s">
        <v>6361</v>
      </c>
      <c r="F1738" s="12" t="s">
        <v>8248</v>
      </c>
      <c r="G1738" s="12"/>
      <c r="H1738" s="12" t="s">
        <v>2097</v>
      </c>
      <c r="I1738" s="23" t="s">
        <v>8252</v>
      </c>
      <c r="J1738" s="12">
        <v>2005.0</v>
      </c>
      <c r="K1738" s="23" t="s">
        <v>8253</v>
      </c>
      <c r="L1738" s="23">
        <v>1.0</v>
      </c>
      <c r="M1738" s="22"/>
      <c r="N1738" s="22" t="str">
        <f t="shared" si="2"/>
        <v>297
SOF
3</v>
      </c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</row>
    <row r="1739">
      <c r="A1739" s="12">
        <v>1738.0</v>
      </c>
      <c r="B1739" s="12" t="s">
        <v>8254</v>
      </c>
      <c r="C1739" s="12" t="s">
        <v>226</v>
      </c>
      <c r="D1739" s="23">
        <v>297.0</v>
      </c>
      <c r="E1739" s="12" t="s">
        <v>6361</v>
      </c>
      <c r="F1739" s="12" t="s">
        <v>8248</v>
      </c>
      <c r="G1739" s="12"/>
      <c r="H1739" s="12" t="s">
        <v>2097</v>
      </c>
      <c r="I1739" s="23" t="s">
        <v>8255</v>
      </c>
      <c r="J1739" s="12">
        <v>2001.0</v>
      </c>
      <c r="K1739" s="23" t="s">
        <v>8256</v>
      </c>
      <c r="L1739" s="23">
        <v>1.0</v>
      </c>
      <c r="M1739" s="22"/>
      <c r="N1739" s="22" t="str">
        <f t="shared" si="2"/>
        <v>297
SOF
3</v>
      </c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</row>
    <row r="1740">
      <c r="A1740" s="12">
        <v>1739.0</v>
      </c>
      <c r="B1740" s="73"/>
      <c r="C1740" s="73"/>
      <c r="D1740" s="95"/>
      <c r="E1740" s="73"/>
      <c r="F1740" s="73"/>
      <c r="G1740" s="73"/>
      <c r="H1740" s="73"/>
      <c r="I1740" s="95"/>
      <c r="J1740" s="73"/>
      <c r="K1740" s="95"/>
      <c r="L1740" s="95"/>
      <c r="M1740" s="22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</row>
    <row r="1741">
      <c r="A1741" s="12">
        <v>1740.0</v>
      </c>
      <c r="B1741" s="73"/>
      <c r="C1741" s="73"/>
      <c r="D1741" s="95"/>
      <c r="E1741" s="73"/>
      <c r="F1741" s="73"/>
      <c r="G1741" s="73"/>
      <c r="H1741" s="73"/>
      <c r="I1741" s="95"/>
      <c r="J1741" s="73"/>
      <c r="K1741" s="95"/>
      <c r="L1741" s="95"/>
      <c r="M1741" s="22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</row>
    <row r="1742">
      <c r="A1742" s="26"/>
      <c r="B1742" s="73"/>
      <c r="C1742" s="73"/>
      <c r="D1742" s="95"/>
      <c r="E1742" s="73"/>
      <c r="F1742" s="73"/>
      <c r="G1742" s="73"/>
      <c r="H1742" s="73"/>
      <c r="I1742" s="95"/>
      <c r="J1742" s="73"/>
      <c r="K1742" s="95"/>
      <c r="L1742" s="95"/>
      <c r="M1742" s="22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</row>
    <row r="1743">
      <c r="A1743" s="26"/>
      <c r="B1743" s="73"/>
      <c r="C1743" s="73"/>
      <c r="D1743" s="95"/>
      <c r="E1743" s="73"/>
      <c r="F1743" s="73"/>
      <c r="G1743" s="73"/>
      <c r="H1743" s="73"/>
      <c r="I1743" s="95"/>
      <c r="J1743" s="73"/>
      <c r="K1743" s="95"/>
      <c r="L1743" s="95"/>
      <c r="M1743" s="22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</row>
    <row r="1744">
      <c r="A1744" s="26"/>
      <c r="B1744" s="73"/>
      <c r="C1744" s="73"/>
      <c r="D1744" s="95"/>
      <c r="E1744" s="73"/>
      <c r="F1744" s="73"/>
      <c r="G1744" s="73"/>
      <c r="H1744" s="73"/>
      <c r="I1744" s="95"/>
      <c r="J1744" s="73"/>
      <c r="K1744" s="95"/>
      <c r="L1744" s="95"/>
      <c r="M1744" s="22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</row>
    <row r="1745">
      <c r="A1745" s="26"/>
      <c r="B1745" s="73"/>
      <c r="C1745" s="73"/>
      <c r="D1745" s="95"/>
      <c r="E1745" s="73"/>
      <c r="F1745" s="73"/>
      <c r="G1745" s="73"/>
      <c r="H1745" s="73"/>
      <c r="I1745" s="95"/>
      <c r="J1745" s="73"/>
      <c r="K1745" s="95"/>
      <c r="L1745" s="95"/>
      <c r="M1745" s="22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</row>
    <row r="1746">
      <c r="A1746" s="26"/>
      <c r="B1746" s="73"/>
      <c r="C1746" s="73"/>
      <c r="D1746" s="95"/>
      <c r="E1746" s="73"/>
      <c r="F1746" s="73"/>
      <c r="G1746" s="73"/>
      <c r="H1746" s="73"/>
      <c r="I1746" s="95"/>
      <c r="J1746" s="73"/>
      <c r="K1746" s="95"/>
      <c r="L1746" s="95"/>
      <c r="M1746" s="22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</row>
    <row r="1747">
      <c r="A1747" s="26"/>
      <c r="B1747" s="73"/>
      <c r="C1747" s="73"/>
      <c r="D1747" s="95"/>
      <c r="E1747" s="73"/>
      <c r="F1747" s="73"/>
      <c r="G1747" s="73"/>
      <c r="H1747" s="73"/>
      <c r="I1747" s="95"/>
      <c r="J1747" s="73"/>
      <c r="K1747" s="95"/>
      <c r="L1747" s="95"/>
      <c r="M1747" s="22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</row>
    <row r="1748">
      <c r="A1748" s="26"/>
      <c r="B1748" s="73"/>
      <c r="C1748" s="73"/>
      <c r="D1748" s="95"/>
      <c r="E1748" s="73"/>
      <c r="F1748" s="73"/>
      <c r="G1748" s="73"/>
      <c r="H1748" s="73"/>
      <c r="I1748" s="95"/>
      <c r="J1748" s="73"/>
      <c r="K1748" s="95"/>
      <c r="L1748" s="95"/>
      <c r="M1748" s="22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</row>
    <row r="1749">
      <c r="A1749" s="26"/>
      <c r="B1749" s="73"/>
      <c r="C1749" s="73"/>
      <c r="D1749" s="95"/>
      <c r="E1749" s="73"/>
      <c r="F1749" s="73"/>
      <c r="G1749" s="73"/>
      <c r="H1749" s="73"/>
      <c r="I1749" s="95"/>
      <c r="J1749" s="73"/>
      <c r="K1749" s="95"/>
      <c r="L1749" s="95"/>
      <c r="M1749" s="22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</row>
    <row r="1750">
      <c r="A1750" s="26"/>
      <c r="B1750" s="73"/>
      <c r="C1750" s="73"/>
      <c r="D1750" s="95"/>
      <c r="E1750" s="73"/>
      <c r="F1750" s="73"/>
      <c r="G1750" s="73"/>
      <c r="H1750" s="73"/>
      <c r="I1750" s="95"/>
      <c r="J1750" s="73"/>
      <c r="K1750" s="95"/>
      <c r="L1750" s="95"/>
      <c r="M1750" s="22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</row>
    <row r="1751">
      <c r="A1751" s="26"/>
      <c r="B1751" s="73"/>
      <c r="C1751" s="73"/>
      <c r="D1751" s="95"/>
      <c r="E1751" s="73"/>
      <c r="F1751" s="73"/>
      <c r="G1751" s="73"/>
      <c r="H1751" s="73"/>
      <c r="I1751" s="95"/>
      <c r="J1751" s="73"/>
      <c r="K1751" s="95"/>
      <c r="L1751" s="95"/>
      <c r="M1751" s="22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</row>
    <row r="1752">
      <c r="A1752" s="26"/>
      <c r="B1752" s="73"/>
      <c r="C1752" s="73"/>
      <c r="D1752" s="95"/>
      <c r="E1752" s="73"/>
      <c r="F1752" s="73"/>
      <c r="G1752" s="73"/>
      <c r="H1752" s="73"/>
      <c r="I1752" s="95"/>
      <c r="J1752" s="73"/>
      <c r="K1752" s="95"/>
      <c r="L1752" s="95"/>
      <c r="M1752" s="22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</row>
    <row r="1753">
      <c r="A1753" s="26"/>
      <c r="B1753" s="73"/>
      <c r="C1753" s="73"/>
      <c r="D1753" s="95"/>
      <c r="E1753" s="73"/>
      <c r="F1753" s="73"/>
      <c r="G1753" s="73"/>
      <c r="H1753" s="73"/>
      <c r="I1753" s="95"/>
      <c r="J1753" s="73"/>
      <c r="K1753" s="95"/>
      <c r="L1753" s="95"/>
      <c r="M1753" s="22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</row>
    <row r="1754">
      <c r="A1754" s="26"/>
      <c r="B1754" s="73"/>
      <c r="C1754" s="73"/>
      <c r="D1754" s="95"/>
      <c r="E1754" s="73"/>
      <c r="F1754" s="73"/>
      <c r="G1754" s="73"/>
      <c r="H1754" s="73"/>
      <c r="I1754" s="95"/>
      <c r="J1754" s="73"/>
      <c r="K1754" s="95"/>
      <c r="L1754" s="95"/>
      <c r="M1754" s="22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</row>
    <row r="1755">
      <c r="A1755" s="26"/>
      <c r="B1755" s="73"/>
      <c r="C1755" s="73"/>
      <c r="D1755" s="95"/>
      <c r="E1755" s="73"/>
      <c r="F1755" s="73"/>
      <c r="G1755" s="73"/>
      <c r="H1755" s="73"/>
      <c r="I1755" s="95"/>
      <c r="J1755" s="73"/>
      <c r="K1755" s="95"/>
      <c r="L1755" s="95"/>
      <c r="M1755" s="22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</row>
    <row r="1756">
      <c r="A1756" s="26"/>
      <c r="B1756" s="73"/>
      <c r="C1756" s="73"/>
      <c r="D1756" s="95"/>
      <c r="E1756" s="73"/>
      <c r="F1756" s="73"/>
      <c r="G1756" s="73"/>
      <c r="H1756" s="73"/>
      <c r="I1756" s="95"/>
      <c r="J1756" s="73"/>
      <c r="K1756" s="95"/>
      <c r="L1756" s="95"/>
      <c r="M1756" s="22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</row>
    <row r="1757">
      <c r="A1757" s="26"/>
      <c r="B1757" s="73"/>
      <c r="C1757" s="73"/>
      <c r="D1757" s="95"/>
      <c r="E1757" s="73"/>
      <c r="F1757" s="73"/>
      <c r="G1757" s="73"/>
      <c r="H1757" s="73"/>
      <c r="I1757" s="95"/>
      <c r="J1757" s="73"/>
      <c r="K1757" s="95"/>
      <c r="L1757" s="95"/>
      <c r="M1757" s="22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</row>
    <row r="1758">
      <c r="A1758" s="26"/>
      <c r="B1758" s="73"/>
      <c r="C1758" s="73"/>
      <c r="D1758" s="95"/>
      <c r="E1758" s="73"/>
      <c r="F1758" s="73"/>
      <c r="G1758" s="73"/>
      <c r="H1758" s="73"/>
      <c r="I1758" s="95"/>
      <c r="J1758" s="73"/>
      <c r="K1758" s="95"/>
      <c r="L1758" s="95"/>
      <c r="M1758" s="22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</row>
    <row r="1759">
      <c r="A1759" s="26"/>
      <c r="B1759" s="73"/>
      <c r="C1759" s="73"/>
      <c r="D1759" s="95"/>
      <c r="E1759" s="73"/>
      <c r="F1759" s="73"/>
      <c r="G1759" s="73"/>
      <c r="H1759" s="73"/>
      <c r="I1759" s="95"/>
      <c r="J1759" s="73"/>
      <c r="K1759" s="95"/>
      <c r="L1759" s="95"/>
      <c r="M1759" s="22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</row>
    <row r="1760">
      <c r="A1760" s="26"/>
      <c r="B1760" s="73"/>
      <c r="C1760" s="73"/>
      <c r="D1760" s="95"/>
      <c r="E1760" s="73"/>
      <c r="F1760" s="73"/>
      <c r="G1760" s="73"/>
      <c r="H1760" s="73"/>
      <c r="I1760" s="95"/>
      <c r="J1760" s="73"/>
      <c r="K1760" s="95"/>
      <c r="L1760" s="95"/>
      <c r="M1760" s="22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</row>
    <row r="1761">
      <c r="A1761" s="26"/>
      <c r="B1761" s="73"/>
      <c r="C1761" s="73"/>
      <c r="D1761" s="95"/>
      <c r="E1761" s="73"/>
      <c r="F1761" s="73"/>
      <c r="G1761" s="73"/>
      <c r="H1761" s="73"/>
      <c r="I1761" s="95"/>
      <c r="J1761" s="73"/>
      <c r="K1761" s="95"/>
      <c r="L1761" s="95"/>
      <c r="M1761" s="22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</row>
    <row r="1762">
      <c r="A1762" s="26"/>
      <c r="B1762" s="73"/>
      <c r="C1762" s="73"/>
      <c r="D1762" s="95"/>
      <c r="E1762" s="73"/>
      <c r="F1762" s="73"/>
      <c r="G1762" s="73"/>
      <c r="H1762" s="73"/>
      <c r="I1762" s="95"/>
      <c r="J1762" s="73"/>
      <c r="K1762" s="95"/>
      <c r="L1762" s="95"/>
      <c r="M1762" s="22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</row>
    <row r="1763">
      <c r="A1763" s="26"/>
      <c r="B1763" s="73"/>
      <c r="C1763" s="73"/>
      <c r="D1763" s="95"/>
      <c r="E1763" s="73"/>
      <c r="F1763" s="73"/>
      <c r="G1763" s="73"/>
      <c r="H1763" s="73"/>
      <c r="I1763" s="95"/>
      <c r="J1763" s="73"/>
      <c r="K1763" s="95"/>
      <c r="L1763" s="95"/>
      <c r="M1763" s="22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</row>
    <row r="1764">
      <c r="A1764" s="26"/>
      <c r="B1764" s="73"/>
      <c r="C1764" s="73"/>
      <c r="D1764" s="95"/>
      <c r="E1764" s="73"/>
      <c r="F1764" s="73"/>
      <c r="G1764" s="73"/>
      <c r="H1764" s="73"/>
      <c r="I1764" s="95"/>
      <c r="J1764" s="73"/>
      <c r="K1764" s="95"/>
      <c r="L1764" s="95"/>
      <c r="M1764" s="22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</row>
    <row r="1765">
      <c r="A1765" s="26"/>
      <c r="B1765" s="73"/>
      <c r="C1765" s="73"/>
      <c r="D1765" s="95"/>
      <c r="E1765" s="73"/>
      <c r="F1765" s="73"/>
      <c r="G1765" s="73"/>
      <c r="H1765" s="73"/>
      <c r="I1765" s="95"/>
      <c r="J1765" s="73"/>
      <c r="K1765" s="95"/>
      <c r="L1765" s="95"/>
      <c r="M1765" s="22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</row>
    <row r="1766">
      <c r="A1766" s="26"/>
      <c r="B1766" s="73"/>
      <c r="C1766" s="73"/>
      <c r="D1766" s="95"/>
      <c r="E1766" s="73"/>
      <c r="F1766" s="73"/>
      <c r="G1766" s="73"/>
      <c r="H1766" s="73"/>
      <c r="I1766" s="95"/>
      <c r="J1766" s="73"/>
      <c r="K1766" s="95"/>
      <c r="L1766" s="95"/>
      <c r="M1766" s="22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</row>
    <row r="1767">
      <c r="A1767" s="26"/>
      <c r="B1767" s="73"/>
      <c r="C1767" s="73"/>
      <c r="D1767" s="95"/>
      <c r="E1767" s="73"/>
      <c r="F1767" s="73"/>
      <c r="G1767" s="73"/>
      <c r="H1767" s="73"/>
      <c r="I1767" s="95"/>
      <c r="J1767" s="73"/>
      <c r="K1767" s="95"/>
      <c r="L1767" s="95"/>
      <c r="M1767" s="22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</row>
    <row r="1768">
      <c r="A1768" s="26"/>
      <c r="B1768" s="73"/>
      <c r="C1768" s="73"/>
      <c r="D1768" s="95"/>
      <c r="E1768" s="73"/>
      <c r="F1768" s="73"/>
      <c r="G1768" s="73"/>
      <c r="H1768" s="73"/>
      <c r="I1768" s="95"/>
      <c r="J1768" s="73"/>
      <c r="K1768" s="95"/>
      <c r="L1768" s="95"/>
      <c r="M1768" s="22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</row>
    <row r="1769">
      <c r="A1769" s="26"/>
      <c r="B1769" s="73"/>
      <c r="C1769" s="73"/>
      <c r="D1769" s="95"/>
      <c r="E1769" s="73"/>
      <c r="F1769" s="73"/>
      <c r="G1769" s="73"/>
      <c r="H1769" s="73"/>
      <c r="I1769" s="95"/>
      <c r="J1769" s="73"/>
      <c r="K1769" s="95"/>
      <c r="L1769" s="95"/>
      <c r="M1769" s="22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</row>
    <row r="1770">
      <c r="A1770" s="26"/>
      <c r="B1770" s="73"/>
      <c r="C1770" s="73"/>
      <c r="D1770" s="95"/>
      <c r="E1770" s="73"/>
      <c r="F1770" s="73"/>
      <c r="G1770" s="73"/>
      <c r="H1770" s="73"/>
      <c r="I1770" s="95"/>
      <c r="J1770" s="73"/>
      <c r="K1770" s="95"/>
      <c r="L1770" s="95"/>
      <c r="M1770" s="22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</row>
    <row r="1771">
      <c r="A1771" s="26"/>
      <c r="B1771" s="73"/>
      <c r="C1771" s="73"/>
      <c r="D1771" s="95"/>
      <c r="E1771" s="73"/>
      <c r="F1771" s="73"/>
      <c r="G1771" s="73"/>
      <c r="H1771" s="73"/>
      <c r="I1771" s="95"/>
      <c r="J1771" s="73"/>
      <c r="K1771" s="95"/>
      <c r="L1771" s="95"/>
      <c r="M1771" s="22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</row>
    <row r="1772">
      <c r="A1772" s="26"/>
      <c r="B1772" s="73"/>
      <c r="C1772" s="73"/>
      <c r="D1772" s="95"/>
      <c r="E1772" s="73"/>
      <c r="F1772" s="73"/>
      <c r="G1772" s="73"/>
      <c r="H1772" s="73"/>
      <c r="I1772" s="95"/>
      <c r="J1772" s="73"/>
      <c r="K1772" s="95"/>
      <c r="L1772" s="95"/>
      <c r="M1772" s="22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</row>
    <row r="1773">
      <c r="A1773" s="26"/>
      <c r="B1773" s="73"/>
      <c r="C1773" s="73"/>
      <c r="D1773" s="95"/>
      <c r="E1773" s="73"/>
      <c r="F1773" s="73"/>
      <c r="G1773" s="73"/>
      <c r="H1773" s="73"/>
      <c r="I1773" s="95"/>
      <c r="J1773" s="73"/>
      <c r="K1773" s="95"/>
      <c r="L1773" s="95"/>
      <c r="M1773" s="22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</row>
    <row r="1774">
      <c r="A1774" s="26"/>
      <c r="B1774" s="73"/>
      <c r="C1774" s="73"/>
      <c r="D1774" s="95"/>
      <c r="E1774" s="73"/>
      <c r="F1774" s="73"/>
      <c r="G1774" s="73"/>
      <c r="H1774" s="73"/>
      <c r="I1774" s="95"/>
      <c r="J1774" s="73"/>
      <c r="K1774" s="95"/>
      <c r="L1774" s="95"/>
      <c r="M1774" s="22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</row>
    <row r="1775">
      <c r="A1775" s="26"/>
      <c r="B1775" s="73"/>
      <c r="C1775" s="73"/>
      <c r="D1775" s="95"/>
      <c r="E1775" s="73"/>
      <c r="F1775" s="73"/>
      <c r="G1775" s="73"/>
      <c r="H1775" s="73"/>
      <c r="I1775" s="95"/>
      <c r="J1775" s="73"/>
      <c r="K1775" s="95"/>
      <c r="L1775" s="95"/>
      <c r="M1775" s="22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</row>
    <row r="1776">
      <c r="A1776" s="26"/>
      <c r="B1776" s="73"/>
      <c r="C1776" s="73"/>
      <c r="D1776" s="95"/>
      <c r="E1776" s="73"/>
      <c r="F1776" s="73"/>
      <c r="G1776" s="73"/>
      <c r="H1776" s="73"/>
      <c r="I1776" s="95"/>
      <c r="J1776" s="73"/>
      <c r="K1776" s="95"/>
      <c r="L1776" s="95"/>
      <c r="M1776" s="22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</row>
    <row r="1777">
      <c r="A1777" s="26"/>
      <c r="B1777" s="73"/>
      <c r="C1777" s="73"/>
      <c r="D1777" s="95"/>
      <c r="E1777" s="73"/>
      <c r="F1777" s="73"/>
      <c r="G1777" s="73"/>
      <c r="H1777" s="73"/>
      <c r="I1777" s="95"/>
      <c r="J1777" s="73"/>
      <c r="K1777" s="95"/>
      <c r="L1777" s="95"/>
      <c r="M1777" s="22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</row>
    <row r="1778">
      <c r="A1778" s="26"/>
      <c r="B1778" s="73"/>
      <c r="C1778" s="73"/>
      <c r="D1778" s="95"/>
      <c r="E1778" s="73"/>
      <c r="F1778" s="73"/>
      <c r="G1778" s="73"/>
      <c r="H1778" s="73"/>
      <c r="I1778" s="95"/>
      <c r="J1778" s="73"/>
      <c r="K1778" s="95"/>
      <c r="L1778" s="95"/>
      <c r="M1778" s="22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</row>
    <row r="1779">
      <c r="A1779" s="26"/>
      <c r="B1779" s="73"/>
      <c r="C1779" s="73"/>
      <c r="D1779" s="95"/>
      <c r="E1779" s="73"/>
      <c r="F1779" s="73"/>
      <c r="G1779" s="73"/>
      <c r="H1779" s="73"/>
      <c r="I1779" s="95"/>
      <c r="J1779" s="73"/>
      <c r="K1779" s="95"/>
      <c r="L1779" s="95"/>
      <c r="M1779" s="22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</row>
    <row r="1780">
      <c r="A1780" s="26"/>
      <c r="B1780" s="73"/>
      <c r="C1780" s="73"/>
      <c r="D1780" s="95"/>
      <c r="E1780" s="73"/>
      <c r="F1780" s="73"/>
      <c r="G1780" s="73"/>
      <c r="H1780" s="73"/>
      <c r="I1780" s="95"/>
      <c r="J1780" s="73"/>
      <c r="K1780" s="95"/>
      <c r="L1780" s="95"/>
      <c r="M1780" s="22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</row>
    <row r="1781">
      <c r="A1781" s="26"/>
      <c r="B1781" s="73"/>
      <c r="C1781" s="73"/>
      <c r="D1781" s="95"/>
      <c r="E1781" s="73"/>
      <c r="F1781" s="73"/>
      <c r="G1781" s="73"/>
      <c r="H1781" s="73"/>
      <c r="I1781" s="95"/>
      <c r="J1781" s="73"/>
      <c r="K1781" s="95"/>
      <c r="L1781" s="95"/>
      <c r="M1781" s="22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</row>
    <row r="1782">
      <c r="A1782" s="26"/>
      <c r="B1782" s="73"/>
      <c r="C1782" s="73"/>
      <c r="D1782" s="95"/>
      <c r="E1782" s="73"/>
      <c r="F1782" s="73"/>
      <c r="G1782" s="73"/>
      <c r="H1782" s="73"/>
      <c r="I1782" s="95"/>
      <c r="J1782" s="73"/>
      <c r="K1782" s="95"/>
      <c r="L1782" s="95"/>
      <c r="M1782" s="22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</row>
    <row r="1783">
      <c r="A1783" s="26"/>
      <c r="B1783" s="73"/>
      <c r="C1783" s="73"/>
      <c r="D1783" s="95"/>
      <c r="E1783" s="73"/>
      <c r="F1783" s="73"/>
      <c r="G1783" s="73"/>
      <c r="H1783" s="73"/>
      <c r="I1783" s="95"/>
      <c r="J1783" s="73"/>
      <c r="K1783" s="95"/>
      <c r="L1783" s="95"/>
      <c r="M1783" s="22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</row>
    <row r="1784">
      <c r="A1784" s="26"/>
      <c r="B1784" s="73"/>
      <c r="C1784" s="73"/>
      <c r="D1784" s="95"/>
      <c r="E1784" s="73"/>
      <c r="F1784" s="73"/>
      <c r="G1784" s="73"/>
      <c r="H1784" s="73"/>
      <c r="I1784" s="95"/>
      <c r="J1784" s="73"/>
      <c r="K1784" s="95"/>
      <c r="L1784" s="95"/>
      <c r="M1784" s="22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</row>
    <row r="1785">
      <c r="A1785" s="26"/>
      <c r="B1785" s="73"/>
      <c r="C1785" s="73"/>
      <c r="D1785" s="95"/>
      <c r="E1785" s="73"/>
      <c r="F1785" s="73"/>
      <c r="G1785" s="73"/>
      <c r="H1785" s="73"/>
      <c r="I1785" s="95"/>
      <c r="J1785" s="73"/>
      <c r="K1785" s="95"/>
      <c r="L1785" s="95"/>
      <c r="M1785" s="22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</row>
    <row r="1786">
      <c r="A1786" s="26"/>
      <c r="B1786" s="73"/>
      <c r="C1786" s="73"/>
      <c r="D1786" s="95"/>
      <c r="E1786" s="73"/>
      <c r="F1786" s="73"/>
      <c r="G1786" s="73"/>
      <c r="H1786" s="73"/>
      <c r="I1786" s="95"/>
      <c r="J1786" s="73"/>
      <c r="K1786" s="95"/>
      <c r="L1786" s="95"/>
      <c r="M1786" s="22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</row>
    <row r="1787">
      <c r="A1787" s="26"/>
      <c r="B1787" s="73"/>
      <c r="C1787" s="73"/>
      <c r="D1787" s="95"/>
      <c r="E1787" s="73"/>
      <c r="F1787" s="73"/>
      <c r="G1787" s="73"/>
      <c r="H1787" s="73"/>
      <c r="I1787" s="95"/>
      <c r="J1787" s="73"/>
      <c r="K1787" s="95"/>
      <c r="L1787" s="95"/>
      <c r="M1787" s="22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</row>
    <row r="1788">
      <c r="A1788" s="26"/>
      <c r="B1788" s="73"/>
      <c r="C1788" s="73"/>
      <c r="D1788" s="95"/>
      <c r="E1788" s="73"/>
      <c r="F1788" s="73"/>
      <c r="G1788" s="73"/>
      <c r="H1788" s="73"/>
      <c r="I1788" s="95"/>
      <c r="J1788" s="73"/>
      <c r="K1788" s="95"/>
      <c r="L1788" s="95"/>
      <c r="M1788" s="22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</row>
    <row r="1789">
      <c r="A1789" s="26"/>
      <c r="B1789" s="73"/>
      <c r="C1789" s="73"/>
      <c r="D1789" s="95"/>
      <c r="E1789" s="73"/>
      <c r="F1789" s="73"/>
      <c r="G1789" s="73"/>
      <c r="H1789" s="73"/>
      <c r="I1789" s="95"/>
      <c r="J1789" s="73"/>
      <c r="K1789" s="95"/>
      <c r="L1789" s="95"/>
      <c r="M1789" s="22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</row>
    <row r="1790">
      <c r="A1790" s="26"/>
      <c r="B1790" s="73"/>
      <c r="C1790" s="73"/>
      <c r="D1790" s="95"/>
      <c r="E1790" s="73"/>
      <c r="F1790" s="73"/>
      <c r="G1790" s="73"/>
      <c r="H1790" s="73"/>
      <c r="I1790" s="95"/>
      <c r="J1790" s="73"/>
      <c r="K1790" s="95"/>
      <c r="L1790" s="95"/>
      <c r="M1790" s="22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</row>
    <row r="1791">
      <c r="A1791" s="26"/>
      <c r="B1791" s="73"/>
      <c r="C1791" s="73"/>
      <c r="D1791" s="95"/>
      <c r="E1791" s="73"/>
      <c r="F1791" s="73"/>
      <c r="G1791" s="73"/>
      <c r="H1791" s="73"/>
      <c r="I1791" s="95"/>
      <c r="J1791" s="73"/>
      <c r="K1791" s="95"/>
      <c r="L1791" s="95"/>
      <c r="M1791" s="22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</row>
    <row r="1792">
      <c r="A1792" s="26"/>
      <c r="B1792" s="73"/>
      <c r="C1792" s="73"/>
      <c r="D1792" s="95"/>
      <c r="E1792" s="73"/>
      <c r="F1792" s="73"/>
      <c r="G1792" s="73"/>
      <c r="H1792" s="73"/>
      <c r="I1792" s="95"/>
      <c r="J1792" s="73"/>
      <c r="K1792" s="95"/>
      <c r="L1792" s="95"/>
      <c r="M1792" s="22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</row>
    <row r="1793">
      <c r="A1793" s="26"/>
      <c r="B1793" s="73"/>
      <c r="C1793" s="73"/>
      <c r="D1793" s="95"/>
      <c r="E1793" s="73"/>
      <c r="F1793" s="73"/>
      <c r="G1793" s="73"/>
      <c r="H1793" s="73"/>
      <c r="I1793" s="95"/>
      <c r="J1793" s="73"/>
      <c r="K1793" s="95"/>
      <c r="L1793" s="95"/>
      <c r="M1793" s="22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</row>
    <row r="1794">
      <c r="A1794" s="26"/>
      <c r="B1794" s="73"/>
      <c r="C1794" s="73"/>
      <c r="D1794" s="95"/>
      <c r="E1794" s="73"/>
      <c r="F1794" s="73"/>
      <c r="G1794" s="73"/>
      <c r="H1794" s="73"/>
      <c r="I1794" s="95"/>
      <c r="J1794" s="73"/>
      <c r="K1794" s="95"/>
      <c r="L1794" s="95"/>
      <c r="M1794" s="22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</row>
    <row r="1795">
      <c r="A1795" s="26"/>
      <c r="B1795" s="73"/>
      <c r="C1795" s="73"/>
      <c r="D1795" s="95"/>
      <c r="E1795" s="73"/>
      <c r="F1795" s="73"/>
      <c r="G1795" s="73"/>
      <c r="H1795" s="73"/>
      <c r="I1795" s="95"/>
      <c r="J1795" s="73"/>
      <c r="K1795" s="95"/>
      <c r="L1795" s="95"/>
      <c r="M1795" s="22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</row>
    <row r="1796">
      <c r="A1796" s="26"/>
      <c r="B1796" s="73"/>
      <c r="C1796" s="73"/>
      <c r="D1796" s="95"/>
      <c r="E1796" s="73"/>
      <c r="F1796" s="73"/>
      <c r="G1796" s="73"/>
      <c r="H1796" s="73"/>
      <c r="I1796" s="95"/>
      <c r="J1796" s="73"/>
      <c r="K1796" s="95"/>
      <c r="L1796" s="95"/>
      <c r="M1796" s="22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</row>
    <row r="1797">
      <c r="A1797" s="26"/>
      <c r="B1797" s="73"/>
      <c r="C1797" s="73"/>
      <c r="D1797" s="95"/>
      <c r="E1797" s="73"/>
      <c r="F1797" s="73"/>
      <c r="G1797" s="73"/>
      <c r="H1797" s="73"/>
      <c r="I1797" s="95"/>
      <c r="J1797" s="73"/>
      <c r="K1797" s="95"/>
      <c r="L1797" s="95"/>
      <c r="M1797" s="22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</row>
    <row r="1798">
      <c r="A1798" s="26"/>
      <c r="B1798" s="73"/>
      <c r="C1798" s="73"/>
      <c r="D1798" s="95"/>
      <c r="E1798" s="73"/>
      <c r="F1798" s="73"/>
      <c r="G1798" s="73"/>
      <c r="H1798" s="73"/>
      <c r="I1798" s="95"/>
      <c r="J1798" s="73"/>
      <c r="K1798" s="95"/>
      <c r="L1798" s="95"/>
      <c r="M1798" s="22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</row>
    <row r="1799">
      <c r="A1799" s="26"/>
      <c r="B1799" s="73"/>
      <c r="C1799" s="73"/>
      <c r="D1799" s="95"/>
      <c r="E1799" s="73"/>
      <c r="F1799" s="73"/>
      <c r="G1799" s="73"/>
      <c r="H1799" s="73"/>
      <c r="I1799" s="95"/>
      <c r="J1799" s="73"/>
      <c r="K1799" s="95"/>
      <c r="L1799" s="95"/>
      <c r="M1799" s="22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</row>
    <row r="1800">
      <c r="A1800" s="26"/>
      <c r="B1800" s="73"/>
      <c r="C1800" s="73"/>
      <c r="D1800" s="95"/>
      <c r="E1800" s="73"/>
      <c r="F1800" s="73"/>
      <c r="G1800" s="73"/>
      <c r="H1800" s="73"/>
      <c r="I1800" s="95"/>
      <c r="J1800" s="73"/>
      <c r="K1800" s="95"/>
      <c r="L1800" s="95"/>
      <c r="M1800" s="22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</row>
    <row r="1801">
      <c r="A1801" s="26"/>
      <c r="B1801" s="73"/>
      <c r="C1801" s="73"/>
      <c r="D1801" s="95"/>
      <c r="E1801" s="73"/>
      <c r="F1801" s="73"/>
      <c r="G1801" s="73"/>
      <c r="H1801" s="73"/>
      <c r="I1801" s="95"/>
      <c r="J1801" s="73"/>
      <c r="K1801" s="95"/>
      <c r="L1801" s="95"/>
      <c r="M1801" s="22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</row>
    <row r="1802">
      <c r="A1802" s="26"/>
      <c r="B1802" s="73"/>
      <c r="C1802" s="73"/>
      <c r="D1802" s="95"/>
      <c r="E1802" s="73"/>
      <c r="F1802" s="73"/>
      <c r="G1802" s="73"/>
      <c r="H1802" s="73"/>
      <c r="I1802" s="95"/>
      <c r="J1802" s="73"/>
      <c r="K1802" s="95"/>
      <c r="L1802" s="95"/>
      <c r="M1802" s="22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</row>
    <row r="1803">
      <c r="A1803" s="26"/>
      <c r="B1803" s="73"/>
      <c r="C1803" s="73"/>
      <c r="D1803" s="95"/>
      <c r="E1803" s="73"/>
      <c r="F1803" s="73"/>
      <c r="G1803" s="73"/>
      <c r="H1803" s="73"/>
      <c r="I1803" s="95"/>
      <c r="J1803" s="73"/>
      <c r="K1803" s="95"/>
      <c r="L1803" s="95"/>
      <c r="M1803" s="22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</row>
    <row r="1804">
      <c r="A1804" s="26"/>
      <c r="B1804" s="73"/>
      <c r="C1804" s="73"/>
      <c r="D1804" s="95"/>
      <c r="E1804" s="73"/>
      <c r="F1804" s="73"/>
      <c r="G1804" s="73"/>
      <c r="H1804" s="73"/>
      <c r="I1804" s="95"/>
      <c r="J1804" s="73"/>
      <c r="K1804" s="95"/>
      <c r="L1804" s="95"/>
      <c r="M1804" s="22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</row>
    <row r="1805">
      <c r="A1805" s="26"/>
      <c r="B1805" s="73"/>
      <c r="C1805" s="73"/>
      <c r="D1805" s="95"/>
      <c r="E1805" s="73"/>
      <c r="F1805" s="73"/>
      <c r="G1805" s="73"/>
      <c r="H1805" s="73"/>
      <c r="I1805" s="95"/>
      <c r="J1805" s="73"/>
      <c r="K1805" s="95"/>
      <c r="L1805" s="95"/>
      <c r="M1805" s="22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</row>
    <row r="1806">
      <c r="A1806" s="26"/>
      <c r="B1806" s="73"/>
      <c r="C1806" s="73"/>
      <c r="D1806" s="95"/>
      <c r="E1806" s="73"/>
      <c r="F1806" s="73"/>
      <c r="G1806" s="73"/>
      <c r="H1806" s="73"/>
      <c r="I1806" s="95"/>
      <c r="J1806" s="73"/>
      <c r="K1806" s="95"/>
      <c r="L1806" s="95"/>
      <c r="M1806" s="22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</row>
    <row r="1807">
      <c r="A1807" s="26"/>
      <c r="B1807" s="73"/>
      <c r="C1807" s="73"/>
      <c r="D1807" s="95"/>
      <c r="E1807" s="73"/>
      <c r="F1807" s="73"/>
      <c r="G1807" s="73"/>
      <c r="H1807" s="73"/>
      <c r="I1807" s="95"/>
      <c r="J1807" s="73"/>
      <c r="K1807" s="95"/>
      <c r="L1807" s="95"/>
      <c r="M1807" s="22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</row>
    <row r="1808">
      <c r="A1808" s="26"/>
      <c r="B1808" s="73"/>
      <c r="C1808" s="73"/>
      <c r="D1808" s="95"/>
      <c r="E1808" s="73"/>
      <c r="F1808" s="73"/>
      <c r="G1808" s="73"/>
      <c r="H1808" s="73"/>
      <c r="I1808" s="95"/>
      <c r="J1808" s="73"/>
      <c r="K1808" s="95"/>
      <c r="L1808" s="95"/>
      <c r="M1808" s="22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</row>
    <row r="1809">
      <c r="A1809" s="26"/>
      <c r="B1809" s="73"/>
      <c r="C1809" s="73"/>
      <c r="D1809" s="95"/>
      <c r="E1809" s="73"/>
      <c r="F1809" s="73"/>
      <c r="G1809" s="73"/>
      <c r="H1809" s="73"/>
      <c r="I1809" s="95"/>
      <c r="J1809" s="73"/>
      <c r="K1809" s="95"/>
      <c r="L1809" s="95"/>
      <c r="M1809" s="22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</row>
    <row r="1810">
      <c r="A1810" s="26"/>
      <c r="B1810" s="73"/>
      <c r="C1810" s="73"/>
      <c r="D1810" s="95"/>
      <c r="E1810" s="73"/>
      <c r="F1810" s="73"/>
      <c r="G1810" s="73"/>
      <c r="H1810" s="73"/>
      <c r="I1810" s="95"/>
      <c r="J1810" s="73"/>
      <c r="K1810" s="95"/>
      <c r="L1810" s="95"/>
      <c r="M1810" s="22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</row>
    <row r="1811">
      <c r="A1811" s="26"/>
      <c r="B1811" s="73"/>
      <c r="C1811" s="73"/>
      <c r="D1811" s="95"/>
      <c r="E1811" s="73"/>
      <c r="F1811" s="73"/>
      <c r="G1811" s="73"/>
      <c r="H1811" s="73"/>
      <c r="I1811" s="95"/>
      <c r="J1811" s="73"/>
      <c r="K1811" s="95"/>
      <c r="L1811" s="95"/>
      <c r="M1811" s="22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</row>
    <row r="1812">
      <c r="A1812" s="26"/>
      <c r="B1812" s="73"/>
      <c r="C1812" s="73"/>
      <c r="D1812" s="95"/>
      <c r="E1812" s="73"/>
      <c r="F1812" s="73"/>
      <c r="G1812" s="73"/>
      <c r="H1812" s="73"/>
      <c r="I1812" s="95"/>
      <c r="J1812" s="73"/>
      <c r="K1812" s="95"/>
      <c r="L1812" s="95"/>
      <c r="M1812" s="22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</row>
    <row r="1813">
      <c r="A1813" s="26"/>
      <c r="B1813" s="73"/>
      <c r="C1813" s="73"/>
      <c r="D1813" s="95"/>
      <c r="E1813" s="73"/>
      <c r="F1813" s="73"/>
      <c r="G1813" s="73"/>
      <c r="H1813" s="73"/>
      <c r="I1813" s="95"/>
      <c r="J1813" s="73"/>
      <c r="K1813" s="95"/>
      <c r="L1813" s="95"/>
      <c r="M1813" s="22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</row>
    <row r="1814">
      <c r="A1814" s="26"/>
      <c r="B1814" s="73"/>
      <c r="C1814" s="73"/>
      <c r="D1814" s="95"/>
      <c r="E1814" s="73"/>
      <c r="F1814" s="73"/>
      <c r="G1814" s="73"/>
      <c r="H1814" s="73"/>
      <c r="I1814" s="95"/>
      <c r="J1814" s="73"/>
      <c r="K1814" s="95"/>
      <c r="L1814" s="95"/>
      <c r="M1814" s="22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</row>
    <row r="1815">
      <c r="A1815" s="26"/>
      <c r="B1815" s="73"/>
      <c r="C1815" s="73"/>
      <c r="D1815" s="95"/>
      <c r="E1815" s="73"/>
      <c r="F1815" s="73"/>
      <c r="G1815" s="73"/>
      <c r="H1815" s="73"/>
      <c r="I1815" s="95"/>
      <c r="J1815" s="73"/>
      <c r="K1815" s="95"/>
      <c r="L1815" s="95"/>
      <c r="M1815" s="22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</row>
    <row r="1816">
      <c r="A1816" s="26"/>
      <c r="B1816" s="73"/>
      <c r="C1816" s="73"/>
      <c r="D1816" s="95"/>
      <c r="E1816" s="73"/>
      <c r="F1816" s="73"/>
      <c r="G1816" s="73"/>
      <c r="H1816" s="73"/>
      <c r="I1816" s="95"/>
      <c r="J1816" s="73"/>
      <c r="K1816" s="95"/>
      <c r="L1816" s="95"/>
      <c r="M1816" s="22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</row>
    <row r="1817">
      <c r="A1817" s="26"/>
      <c r="B1817" s="73"/>
      <c r="C1817" s="73"/>
      <c r="D1817" s="95"/>
      <c r="E1817" s="73"/>
      <c r="F1817" s="73"/>
      <c r="G1817" s="73"/>
      <c r="H1817" s="73"/>
      <c r="I1817" s="95"/>
      <c r="J1817" s="73"/>
      <c r="K1817" s="95"/>
      <c r="L1817" s="95"/>
      <c r="M1817" s="22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</row>
    <row r="1818">
      <c r="A1818" s="26"/>
      <c r="B1818" s="73"/>
      <c r="C1818" s="73"/>
      <c r="D1818" s="95"/>
      <c r="E1818" s="73"/>
      <c r="F1818" s="73"/>
      <c r="G1818" s="73"/>
      <c r="H1818" s="73"/>
      <c r="I1818" s="95"/>
      <c r="J1818" s="73"/>
      <c r="K1818" s="95"/>
      <c r="L1818" s="95"/>
      <c r="M1818" s="22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</row>
    <row r="1819">
      <c r="A1819" s="26"/>
      <c r="B1819" s="73"/>
      <c r="C1819" s="73"/>
      <c r="D1819" s="95"/>
      <c r="E1819" s="73"/>
      <c r="F1819" s="73"/>
      <c r="G1819" s="73"/>
      <c r="H1819" s="73"/>
      <c r="I1819" s="95"/>
      <c r="J1819" s="73"/>
      <c r="K1819" s="95"/>
      <c r="L1819" s="95"/>
      <c r="M1819" s="22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</row>
    <row r="1820">
      <c r="A1820" s="26"/>
      <c r="B1820" s="73"/>
      <c r="C1820" s="73"/>
      <c r="D1820" s="95"/>
      <c r="E1820" s="73"/>
      <c r="F1820" s="73"/>
      <c r="G1820" s="73"/>
      <c r="H1820" s="73"/>
      <c r="I1820" s="95"/>
      <c r="J1820" s="73"/>
      <c r="K1820" s="95"/>
      <c r="L1820" s="95"/>
      <c r="M1820" s="22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</row>
    <row r="1821">
      <c r="A1821" s="26"/>
      <c r="B1821" s="73"/>
      <c r="C1821" s="73"/>
      <c r="D1821" s="95"/>
      <c r="E1821" s="73"/>
      <c r="F1821" s="73"/>
      <c r="G1821" s="73"/>
      <c r="H1821" s="73"/>
      <c r="I1821" s="95"/>
      <c r="J1821" s="73"/>
      <c r="K1821" s="95"/>
      <c r="L1821" s="95"/>
      <c r="M1821" s="22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</row>
    <row r="1822">
      <c r="A1822" s="26"/>
      <c r="B1822" s="73"/>
      <c r="C1822" s="73"/>
      <c r="D1822" s="95"/>
      <c r="E1822" s="73"/>
      <c r="F1822" s="73"/>
      <c r="G1822" s="73"/>
      <c r="H1822" s="73"/>
      <c r="I1822" s="95"/>
      <c r="J1822" s="73"/>
      <c r="K1822" s="95"/>
      <c r="L1822" s="95"/>
      <c r="M1822" s="22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</row>
    <row r="1823">
      <c r="A1823" s="26"/>
      <c r="B1823" s="73"/>
      <c r="C1823" s="73"/>
      <c r="D1823" s="95"/>
      <c r="E1823" s="73"/>
      <c r="F1823" s="73"/>
      <c r="G1823" s="73"/>
      <c r="H1823" s="73"/>
      <c r="I1823" s="95"/>
      <c r="J1823" s="73"/>
      <c r="K1823" s="95"/>
      <c r="L1823" s="95"/>
      <c r="M1823" s="22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</row>
    <row r="1824">
      <c r="A1824" s="26"/>
      <c r="B1824" s="73"/>
      <c r="C1824" s="73"/>
      <c r="D1824" s="95"/>
      <c r="E1824" s="73"/>
      <c r="F1824" s="73"/>
      <c r="G1824" s="73"/>
      <c r="H1824" s="73"/>
      <c r="I1824" s="95"/>
      <c r="J1824" s="73"/>
      <c r="K1824" s="95"/>
      <c r="L1824" s="95"/>
      <c r="M1824" s="22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</row>
    <row r="1825">
      <c r="A1825" s="26"/>
      <c r="B1825" s="73"/>
      <c r="C1825" s="73"/>
      <c r="D1825" s="95"/>
      <c r="E1825" s="73"/>
      <c r="F1825" s="73"/>
      <c r="G1825" s="73"/>
      <c r="H1825" s="73"/>
      <c r="I1825" s="95"/>
      <c r="J1825" s="73"/>
      <c r="K1825" s="95"/>
      <c r="L1825" s="95"/>
      <c r="M1825" s="22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</row>
    <row r="1826">
      <c r="A1826" s="26"/>
      <c r="B1826" s="73"/>
      <c r="C1826" s="73"/>
      <c r="D1826" s="95"/>
      <c r="E1826" s="73"/>
      <c r="F1826" s="73"/>
      <c r="G1826" s="73"/>
      <c r="H1826" s="73"/>
      <c r="I1826" s="95"/>
      <c r="J1826" s="73"/>
      <c r="K1826" s="95"/>
      <c r="L1826" s="95"/>
      <c r="M1826" s="22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</row>
    <row r="1827">
      <c r="A1827" s="26"/>
      <c r="B1827" s="73"/>
      <c r="C1827" s="73"/>
      <c r="D1827" s="95"/>
      <c r="E1827" s="73"/>
      <c r="F1827" s="73"/>
      <c r="G1827" s="73"/>
      <c r="H1827" s="73"/>
      <c r="I1827" s="95"/>
      <c r="J1827" s="73"/>
      <c r="K1827" s="95"/>
      <c r="L1827" s="95"/>
      <c r="M1827" s="22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</row>
    <row r="1828">
      <c r="A1828" s="26"/>
      <c r="B1828" s="73"/>
      <c r="C1828" s="73"/>
      <c r="D1828" s="95"/>
      <c r="E1828" s="73"/>
      <c r="F1828" s="73"/>
      <c r="G1828" s="73"/>
      <c r="H1828" s="73"/>
      <c r="I1828" s="95"/>
      <c r="J1828" s="73"/>
      <c r="K1828" s="95"/>
      <c r="L1828" s="95"/>
      <c r="M1828" s="22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</row>
    <row r="1829">
      <c r="A1829" s="26"/>
      <c r="B1829" s="73"/>
      <c r="C1829" s="73"/>
      <c r="D1829" s="95"/>
      <c r="E1829" s="73"/>
      <c r="F1829" s="73"/>
      <c r="G1829" s="73"/>
      <c r="H1829" s="73"/>
      <c r="I1829" s="95"/>
      <c r="J1829" s="73"/>
      <c r="K1829" s="95"/>
      <c r="L1829" s="95"/>
      <c r="M1829" s="22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</row>
    <row r="1830">
      <c r="A1830" s="26"/>
      <c r="B1830" s="73"/>
      <c r="C1830" s="73"/>
      <c r="D1830" s="95"/>
      <c r="E1830" s="73"/>
      <c r="F1830" s="73"/>
      <c r="G1830" s="73"/>
      <c r="H1830" s="73"/>
      <c r="I1830" s="95"/>
      <c r="J1830" s="73"/>
      <c r="K1830" s="95"/>
      <c r="L1830" s="95"/>
      <c r="M1830" s="22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</row>
    <row r="1831">
      <c r="A1831" s="26"/>
      <c r="B1831" s="73"/>
      <c r="C1831" s="73"/>
      <c r="D1831" s="95"/>
      <c r="E1831" s="73"/>
      <c r="F1831" s="73"/>
      <c r="G1831" s="73"/>
      <c r="H1831" s="73"/>
      <c r="I1831" s="95"/>
      <c r="J1831" s="73"/>
      <c r="K1831" s="95"/>
      <c r="L1831" s="95"/>
      <c r="M1831" s="22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</row>
    <row r="1832">
      <c r="A1832" s="26"/>
      <c r="B1832" s="73"/>
      <c r="C1832" s="73"/>
      <c r="D1832" s="95"/>
      <c r="E1832" s="73"/>
      <c r="F1832" s="73"/>
      <c r="G1832" s="73"/>
      <c r="H1832" s="73"/>
      <c r="I1832" s="95"/>
      <c r="J1832" s="73"/>
      <c r="K1832" s="95"/>
      <c r="L1832" s="95"/>
      <c r="M1832" s="22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</row>
    <row r="1833">
      <c r="A1833" s="26"/>
      <c r="B1833" s="73"/>
      <c r="C1833" s="73"/>
      <c r="D1833" s="95"/>
      <c r="E1833" s="73"/>
      <c r="F1833" s="73"/>
      <c r="G1833" s="73"/>
      <c r="H1833" s="73"/>
      <c r="I1833" s="95"/>
      <c r="J1833" s="73"/>
      <c r="K1833" s="95"/>
      <c r="L1833" s="95"/>
      <c r="M1833" s="22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</row>
    <row r="1834">
      <c r="A1834" s="26"/>
      <c r="B1834" s="73"/>
      <c r="C1834" s="73"/>
      <c r="D1834" s="95"/>
      <c r="E1834" s="73"/>
      <c r="F1834" s="73"/>
      <c r="G1834" s="73"/>
      <c r="H1834" s="73"/>
      <c r="I1834" s="95"/>
      <c r="J1834" s="73"/>
      <c r="K1834" s="95"/>
      <c r="L1834" s="95"/>
      <c r="M1834" s="22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</row>
    <row r="1835">
      <c r="A1835" s="26"/>
      <c r="B1835" s="73"/>
      <c r="C1835" s="73"/>
      <c r="D1835" s="95"/>
      <c r="E1835" s="73"/>
      <c r="F1835" s="73"/>
      <c r="G1835" s="73"/>
      <c r="H1835" s="73"/>
      <c r="I1835" s="95"/>
      <c r="J1835" s="73"/>
      <c r="K1835" s="95"/>
      <c r="L1835" s="95"/>
      <c r="M1835" s="22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</row>
    <row r="1836">
      <c r="A1836" s="26"/>
      <c r="B1836" s="73"/>
      <c r="C1836" s="73"/>
      <c r="D1836" s="95"/>
      <c r="E1836" s="73"/>
      <c r="F1836" s="73"/>
      <c r="G1836" s="73"/>
      <c r="H1836" s="73"/>
      <c r="I1836" s="95"/>
      <c r="J1836" s="73"/>
      <c r="K1836" s="95"/>
      <c r="L1836" s="95"/>
      <c r="M1836" s="22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</row>
    <row r="1837">
      <c r="A1837" s="26"/>
      <c r="B1837" s="73"/>
      <c r="C1837" s="73"/>
      <c r="D1837" s="95"/>
      <c r="E1837" s="73"/>
      <c r="F1837" s="73"/>
      <c r="G1837" s="73"/>
      <c r="H1837" s="73"/>
      <c r="I1837" s="95"/>
      <c r="J1837" s="73"/>
      <c r="K1837" s="95"/>
      <c r="L1837" s="95"/>
      <c r="M1837" s="22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</row>
    <row r="1838">
      <c r="A1838" s="26"/>
      <c r="B1838" s="73"/>
      <c r="C1838" s="73"/>
      <c r="D1838" s="95"/>
      <c r="E1838" s="73"/>
      <c r="F1838" s="73"/>
      <c r="G1838" s="73"/>
      <c r="H1838" s="73"/>
      <c r="I1838" s="95"/>
      <c r="J1838" s="73"/>
      <c r="K1838" s="95"/>
      <c r="L1838" s="95"/>
      <c r="M1838" s="22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</row>
    <row r="1839">
      <c r="A1839" s="26"/>
      <c r="B1839" s="73"/>
      <c r="C1839" s="73"/>
      <c r="D1839" s="95"/>
      <c r="E1839" s="73"/>
      <c r="F1839" s="73"/>
      <c r="G1839" s="73"/>
      <c r="H1839" s="73"/>
      <c r="I1839" s="95"/>
      <c r="J1839" s="73"/>
      <c r="K1839" s="95"/>
      <c r="L1839" s="95"/>
      <c r="M1839" s="22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</row>
    <row r="1840">
      <c r="A1840" s="26"/>
      <c r="B1840" s="73"/>
      <c r="C1840" s="73"/>
      <c r="D1840" s="95"/>
      <c r="E1840" s="73"/>
      <c r="F1840" s="73"/>
      <c r="G1840" s="73"/>
      <c r="H1840" s="73"/>
      <c r="I1840" s="95"/>
      <c r="J1840" s="73"/>
      <c r="K1840" s="95"/>
      <c r="L1840" s="95"/>
      <c r="M1840" s="22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</row>
    <row r="1841">
      <c r="A1841" s="26"/>
      <c r="B1841" s="73"/>
      <c r="C1841" s="73"/>
      <c r="D1841" s="95"/>
      <c r="E1841" s="73"/>
      <c r="F1841" s="73"/>
      <c r="G1841" s="73"/>
      <c r="H1841" s="73"/>
      <c r="I1841" s="95"/>
      <c r="J1841" s="73"/>
      <c r="K1841" s="95"/>
      <c r="L1841" s="95"/>
      <c r="M1841" s="22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</row>
    <row r="1842">
      <c r="A1842" s="26"/>
      <c r="B1842" s="73"/>
      <c r="C1842" s="73"/>
      <c r="D1842" s="95"/>
      <c r="E1842" s="73"/>
      <c r="F1842" s="73"/>
      <c r="G1842" s="73"/>
      <c r="H1842" s="73"/>
      <c r="I1842" s="95"/>
      <c r="J1842" s="73"/>
      <c r="K1842" s="95"/>
      <c r="L1842" s="95"/>
      <c r="M1842" s="22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</row>
    <row r="1843">
      <c r="A1843" s="26"/>
      <c r="B1843" s="73"/>
      <c r="C1843" s="73"/>
      <c r="D1843" s="95"/>
      <c r="E1843" s="73"/>
      <c r="F1843" s="73"/>
      <c r="G1843" s="73"/>
      <c r="H1843" s="73"/>
      <c r="I1843" s="95"/>
      <c r="J1843" s="73"/>
      <c r="K1843" s="95"/>
      <c r="L1843" s="95"/>
      <c r="M1843" s="22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</row>
    <row r="1844">
      <c r="A1844" s="26"/>
      <c r="B1844" s="73"/>
      <c r="C1844" s="73"/>
      <c r="D1844" s="95"/>
      <c r="E1844" s="73"/>
      <c r="F1844" s="73"/>
      <c r="G1844" s="73"/>
      <c r="H1844" s="73"/>
      <c r="I1844" s="95"/>
      <c r="J1844" s="73"/>
      <c r="K1844" s="95"/>
      <c r="L1844" s="95"/>
      <c r="M1844" s="22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</row>
    <row r="1845">
      <c r="A1845" s="26"/>
      <c r="B1845" s="73"/>
      <c r="C1845" s="73"/>
      <c r="D1845" s="95"/>
      <c r="E1845" s="73"/>
      <c r="F1845" s="73"/>
      <c r="G1845" s="73"/>
      <c r="H1845" s="73"/>
      <c r="I1845" s="95"/>
      <c r="J1845" s="73"/>
      <c r="K1845" s="95"/>
      <c r="L1845" s="95"/>
      <c r="M1845" s="22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</row>
    <row r="1846">
      <c r="A1846" s="26"/>
      <c r="B1846" s="73"/>
      <c r="C1846" s="73"/>
      <c r="D1846" s="95"/>
      <c r="E1846" s="73"/>
      <c r="F1846" s="73"/>
      <c r="G1846" s="73"/>
      <c r="H1846" s="73"/>
      <c r="I1846" s="95"/>
      <c r="J1846" s="73"/>
      <c r="K1846" s="95"/>
      <c r="L1846" s="95"/>
      <c r="M1846" s="22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</row>
    <row r="1847">
      <c r="A1847" s="26"/>
      <c r="B1847" s="73"/>
      <c r="C1847" s="73"/>
      <c r="D1847" s="95"/>
      <c r="E1847" s="73"/>
      <c r="F1847" s="73"/>
      <c r="G1847" s="73"/>
      <c r="H1847" s="73"/>
      <c r="I1847" s="95"/>
      <c r="J1847" s="73"/>
      <c r="K1847" s="95"/>
      <c r="L1847" s="95"/>
      <c r="M1847" s="22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</row>
    <row r="1848">
      <c r="A1848" s="26"/>
      <c r="B1848" s="73"/>
      <c r="C1848" s="73"/>
      <c r="D1848" s="95"/>
      <c r="E1848" s="73"/>
      <c r="F1848" s="73"/>
      <c r="G1848" s="73"/>
      <c r="H1848" s="73"/>
      <c r="I1848" s="95"/>
      <c r="J1848" s="73"/>
      <c r="K1848" s="95"/>
      <c r="L1848" s="95"/>
      <c r="M1848" s="22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</row>
    <row r="1849">
      <c r="A1849" s="26"/>
      <c r="B1849" s="73"/>
      <c r="C1849" s="73"/>
      <c r="D1849" s="95"/>
      <c r="E1849" s="73"/>
      <c r="F1849" s="73"/>
      <c r="G1849" s="73"/>
      <c r="H1849" s="73"/>
      <c r="I1849" s="95"/>
      <c r="J1849" s="73"/>
      <c r="K1849" s="95"/>
      <c r="L1849" s="95"/>
      <c r="M1849" s="22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</row>
    <row r="1850">
      <c r="A1850" s="26"/>
      <c r="B1850" s="73"/>
      <c r="C1850" s="73"/>
      <c r="D1850" s="95"/>
      <c r="E1850" s="73"/>
      <c r="F1850" s="73"/>
      <c r="G1850" s="73"/>
      <c r="H1850" s="73"/>
      <c r="I1850" s="95"/>
      <c r="J1850" s="73"/>
      <c r="K1850" s="95"/>
      <c r="L1850" s="95"/>
      <c r="M1850" s="22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</row>
    <row r="1851">
      <c r="A1851" s="26"/>
      <c r="B1851" s="73"/>
      <c r="C1851" s="73"/>
      <c r="D1851" s="95"/>
      <c r="E1851" s="73"/>
      <c r="F1851" s="73"/>
      <c r="G1851" s="73"/>
      <c r="H1851" s="73"/>
      <c r="I1851" s="95"/>
      <c r="J1851" s="73"/>
      <c r="K1851" s="95"/>
      <c r="L1851" s="95"/>
      <c r="M1851" s="22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</row>
    <row r="1852">
      <c r="A1852" s="26"/>
      <c r="B1852" s="73"/>
      <c r="C1852" s="73"/>
      <c r="D1852" s="95"/>
      <c r="E1852" s="73"/>
      <c r="F1852" s="73"/>
      <c r="G1852" s="73"/>
      <c r="H1852" s="73"/>
      <c r="I1852" s="95"/>
      <c r="J1852" s="73"/>
      <c r="K1852" s="95"/>
      <c r="L1852" s="95"/>
      <c r="M1852" s="22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</row>
    <row r="1853">
      <c r="A1853" s="26"/>
      <c r="B1853" s="73"/>
      <c r="C1853" s="73"/>
      <c r="D1853" s="95"/>
      <c r="E1853" s="73"/>
      <c r="F1853" s="73"/>
      <c r="G1853" s="73"/>
      <c r="H1853" s="73"/>
      <c r="I1853" s="95"/>
      <c r="J1853" s="73"/>
      <c r="K1853" s="95"/>
      <c r="L1853" s="95"/>
      <c r="M1853" s="22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</row>
    <row r="1854">
      <c r="A1854" s="26"/>
      <c r="B1854" s="73"/>
      <c r="C1854" s="73"/>
      <c r="D1854" s="95"/>
      <c r="E1854" s="73"/>
      <c r="F1854" s="73"/>
      <c r="G1854" s="73"/>
      <c r="H1854" s="73"/>
      <c r="I1854" s="95"/>
      <c r="J1854" s="73"/>
      <c r="K1854" s="95"/>
      <c r="L1854" s="95"/>
      <c r="M1854" s="22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</row>
    <row r="1855">
      <c r="A1855" s="26"/>
      <c r="B1855" s="73"/>
      <c r="C1855" s="73"/>
      <c r="D1855" s="95"/>
      <c r="E1855" s="73"/>
      <c r="F1855" s="73"/>
      <c r="G1855" s="73"/>
      <c r="H1855" s="73"/>
      <c r="I1855" s="95"/>
      <c r="J1855" s="73"/>
      <c r="K1855" s="95"/>
      <c r="L1855" s="95"/>
      <c r="M1855" s="22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</row>
    <row r="1856">
      <c r="A1856" s="26"/>
      <c r="B1856" s="73"/>
      <c r="C1856" s="73"/>
      <c r="D1856" s="95"/>
      <c r="E1856" s="73"/>
      <c r="F1856" s="73"/>
      <c r="G1856" s="73"/>
      <c r="H1856" s="73"/>
      <c r="I1856" s="95"/>
      <c r="J1856" s="73"/>
      <c r="K1856" s="95"/>
      <c r="L1856" s="95"/>
      <c r="M1856" s="22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</row>
    <row r="1857">
      <c r="A1857" s="26"/>
      <c r="B1857" s="73"/>
      <c r="C1857" s="73"/>
      <c r="D1857" s="95"/>
      <c r="E1857" s="73"/>
      <c r="F1857" s="73"/>
      <c r="G1857" s="73"/>
      <c r="H1857" s="73"/>
      <c r="I1857" s="95"/>
      <c r="J1857" s="73"/>
      <c r="K1857" s="95"/>
      <c r="L1857" s="95"/>
      <c r="M1857" s="22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</row>
    <row r="1858">
      <c r="A1858" s="26"/>
      <c r="B1858" s="73"/>
      <c r="C1858" s="73"/>
      <c r="D1858" s="95"/>
      <c r="E1858" s="73"/>
      <c r="F1858" s="73"/>
      <c r="G1858" s="73"/>
      <c r="H1858" s="73"/>
      <c r="I1858" s="95"/>
      <c r="J1858" s="73"/>
      <c r="K1858" s="95"/>
      <c r="L1858" s="95"/>
      <c r="M1858" s="22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</row>
    <row r="1859">
      <c r="A1859" s="26"/>
      <c r="B1859" s="73"/>
      <c r="C1859" s="73"/>
      <c r="D1859" s="95"/>
      <c r="E1859" s="73"/>
      <c r="F1859" s="73"/>
      <c r="G1859" s="73"/>
      <c r="H1859" s="73"/>
      <c r="I1859" s="95"/>
      <c r="J1859" s="73"/>
      <c r="K1859" s="95"/>
      <c r="L1859" s="95"/>
      <c r="M1859" s="22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</row>
    <row r="1860">
      <c r="A1860" s="26"/>
      <c r="B1860" s="73"/>
      <c r="C1860" s="73"/>
      <c r="D1860" s="95"/>
      <c r="E1860" s="73"/>
      <c r="F1860" s="73"/>
      <c r="G1860" s="73"/>
      <c r="H1860" s="73"/>
      <c r="I1860" s="95"/>
      <c r="J1860" s="73"/>
      <c r="K1860" s="95"/>
      <c r="L1860" s="95"/>
      <c r="M1860" s="22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</row>
    <row r="1861">
      <c r="A1861" s="26"/>
      <c r="B1861" s="73"/>
      <c r="C1861" s="73"/>
      <c r="D1861" s="95"/>
      <c r="E1861" s="73"/>
      <c r="F1861" s="73"/>
      <c r="G1861" s="73"/>
      <c r="H1861" s="73"/>
      <c r="I1861" s="95"/>
      <c r="J1861" s="73"/>
      <c r="K1861" s="95"/>
      <c r="L1861" s="95"/>
      <c r="M1861" s="22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</row>
    <row r="1862">
      <c r="A1862" s="26"/>
      <c r="B1862" s="73"/>
      <c r="C1862" s="73"/>
      <c r="D1862" s="95"/>
      <c r="E1862" s="73"/>
      <c r="F1862" s="73"/>
      <c r="G1862" s="73"/>
      <c r="H1862" s="73"/>
      <c r="I1862" s="95"/>
      <c r="J1862" s="73"/>
      <c r="K1862" s="95"/>
      <c r="L1862" s="95"/>
      <c r="M1862" s="22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</row>
    <row r="1863">
      <c r="A1863" s="26"/>
      <c r="B1863" s="73"/>
      <c r="C1863" s="73"/>
      <c r="D1863" s="95"/>
      <c r="E1863" s="73"/>
      <c r="F1863" s="73"/>
      <c r="G1863" s="73"/>
      <c r="H1863" s="73"/>
      <c r="I1863" s="95"/>
      <c r="J1863" s="73"/>
      <c r="K1863" s="95"/>
      <c r="L1863" s="95"/>
      <c r="M1863" s="22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</row>
    <row r="1864">
      <c r="A1864" s="26"/>
      <c r="B1864" s="73"/>
      <c r="C1864" s="73"/>
      <c r="D1864" s="95"/>
      <c r="E1864" s="73"/>
      <c r="F1864" s="73"/>
      <c r="G1864" s="73"/>
      <c r="H1864" s="73"/>
      <c r="I1864" s="95"/>
      <c r="J1864" s="73"/>
      <c r="K1864" s="95"/>
      <c r="L1864" s="95"/>
      <c r="M1864" s="22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</row>
    <row r="1865">
      <c r="A1865" s="26"/>
      <c r="B1865" s="73"/>
      <c r="C1865" s="73"/>
      <c r="D1865" s="95"/>
      <c r="E1865" s="73"/>
      <c r="F1865" s="73"/>
      <c r="G1865" s="73"/>
      <c r="H1865" s="73"/>
      <c r="I1865" s="95"/>
      <c r="J1865" s="73"/>
      <c r="K1865" s="95"/>
      <c r="L1865" s="95"/>
      <c r="M1865" s="22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</row>
    <row r="1866">
      <c r="A1866" s="26"/>
      <c r="B1866" s="73"/>
      <c r="C1866" s="73"/>
      <c r="D1866" s="95"/>
      <c r="E1866" s="73"/>
      <c r="F1866" s="73"/>
      <c r="G1866" s="73"/>
      <c r="H1866" s="73"/>
      <c r="I1866" s="95"/>
      <c r="J1866" s="73"/>
      <c r="K1866" s="95"/>
      <c r="L1866" s="95"/>
      <c r="M1866" s="22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</row>
    <row r="1867">
      <c r="A1867" s="26"/>
      <c r="B1867" s="73"/>
      <c r="C1867" s="73"/>
      <c r="D1867" s="95"/>
      <c r="E1867" s="73"/>
      <c r="F1867" s="73"/>
      <c r="G1867" s="73"/>
      <c r="H1867" s="73"/>
      <c r="I1867" s="95"/>
      <c r="J1867" s="73"/>
      <c r="K1867" s="95"/>
      <c r="L1867" s="95"/>
      <c r="M1867" s="22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</row>
    <row r="1868">
      <c r="A1868" s="26"/>
      <c r="B1868" s="73"/>
      <c r="C1868" s="73"/>
      <c r="D1868" s="95"/>
      <c r="E1868" s="73"/>
      <c r="F1868" s="73"/>
      <c r="G1868" s="73"/>
      <c r="H1868" s="73"/>
      <c r="I1868" s="95"/>
      <c r="J1868" s="73"/>
      <c r="K1868" s="95"/>
      <c r="L1868" s="95"/>
      <c r="M1868" s="22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</row>
    <row r="1869">
      <c r="A1869" s="26"/>
      <c r="B1869" s="73"/>
      <c r="C1869" s="73"/>
      <c r="D1869" s="95"/>
      <c r="E1869" s="73"/>
      <c r="F1869" s="73"/>
      <c r="G1869" s="73"/>
      <c r="H1869" s="73"/>
      <c r="I1869" s="95"/>
      <c r="J1869" s="73"/>
      <c r="K1869" s="95"/>
      <c r="L1869" s="95"/>
      <c r="M1869" s="22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</row>
    <row r="1870">
      <c r="A1870" s="26"/>
      <c r="B1870" s="73"/>
      <c r="C1870" s="73"/>
      <c r="D1870" s="95"/>
      <c r="E1870" s="73"/>
      <c r="F1870" s="73"/>
      <c r="G1870" s="73"/>
      <c r="H1870" s="73"/>
      <c r="I1870" s="95"/>
      <c r="J1870" s="73"/>
      <c r="K1870" s="95"/>
      <c r="L1870" s="95"/>
      <c r="M1870" s="22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</row>
    <row r="1871">
      <c r="A1871" s="26"/>
      <c r="B1871" s="73"/>
      <c r="C1871" s="73"/>
      <c r="D1871" s="95"/>
      <c r="E1871" s="73"/>
      <c r="F1871" s="73"/>
      <c r="G1871" s="73"/>
      <c r="H1871" s="73"/>
      <c r="I1871" s="95"/>
      <c r="J1871" s="73"/>
      <c r="K1871" s="95"/>
      <c r="L1871" s="95"/>
      <c r="M1871" s="22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</row>
    <row r="1872">
      <c r="A1872" s="26"/>
      <c r="B1872" s="73"/>
      <c r="C1872" s="73"/>
      <c r="D1872" s="95"/>
      <c r="E1872" s="73"/>
      <c r="F1872" s="73"/>
      <c r="G1872" s="73"/>
      <c r="H1872" s="73"/>
      <c r="I1872" s="95"/>
      <c r="J1872" s="73"/>
      <c r="K1872" s="95"/>
      <c r="L1872" s="95"/>
      <c r="M1872" s="22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</row>
    <row r="1873">
      <c r="A1873" s="26"/>
      <c r="B1873" s="73"/>
      <c r="C1873" s="73"/>
      <c r="D1873" s="95"/>
      <c r="E1873" s="73"/>
      <c r="F1873" s="73"/>
      <c r="G1873" s="73"/>
      <c r="H1873" s="73"/>
      <c r="I1873" s="95"/>
      <c r="J1873" s="73"/>
      <c r="K1873" s="95"/>
      <c r="L1873" s="95"/>
      <c r="M1873" s="22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</row>
    <row r="1874">
      <c r="A1874" s="26"/>
      <c r="B1874" s="73"/>
      <c r="C1874" s="73"/>
      <c r="D1874" s="95"/>
      <c r="E1874" s="73"/>
      <c r="F1874" s="73"/>
      <c r="G1874" s="73"/>
      <c r="H1874" s="73"/>
      <c r="I1874" s="95"/>
      <c r="J1874" s="73"/>
      <c r="K1874" s="95"/>
      <c r="L1874" s="95"/>
      <c r="M1874" s="22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</row>
    <row r="1875">
      <c r="A1875" s="26"/>
      <c r="B1875" s="73"/>
      <c r="C1875" s="73"/>
      <c r="D1875" s="95"/>
      <c r="E1875" s="73"/>
      <c r="F1875" s="73"/>
      <c r="G1875" s="73"/>
      <c r="H1875" s="73"/>
      <c r="I1875" s="95"/>
      <c r="J1875" s="73"/>
      <c r="K1875" s="95"/>
      <c r="L1875" s="95"/>
      <c r="M1875" s="22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</row>
    <row r="1876">
      <c r="A1876" s="26"/>
      <c r="B1876" s="73"/>
      <c r="C1876" s="73"/>
      <c r="D1876" s="95"/>
      <c r="E1876" s="73"/>
      <c r="F1876" s="73"/>
      <c r="G1876" s="73"/>
      <c r="H1876" s="73"/>
      <c r="I1876" s="95"/>
      <c r="J1876" s="73"/>
      <c r="K1876" s="95"/>
      <c r="L1876" s="95"/>
      <c r="M1876" s="22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</row>
    <row r="1877">
      <c r="A1877" s="26"/>
      <c r="B1877" s="73"/>
      <c r="C1877" s="73"/>
      <c r="D1877" s="95"/>
      <c r="E1877" s="73"/>
      <c r="F1877" s="73"/>
      <c r="G1877" s="73"/>
      <c r="H1877" s="73"/>
      <c r="I1877" s="95"/>
      <c r="J1877" s="73"/>
      <c r="K1877" s="95"/>
      <c r="L1877" s="95"/>
      <c r="M1877" s="22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</row>
    <row r="1878">
      <c r="A1878" s="26"/>
      <c r="B1878" s="73"/>
      <c r="C1878" s="73"/>
      <c r="D1878" s="95"/>
      <c r="E1878" s="73"/>
      <c r="F1878" s="73"/>
      <c r="G1878" s="73"/>
      <c r="H1878" s="73"/>
      <c r="I1878" s="95"/>
      <c r="J1878" s="73"/>
      <c r="K1878" s="95"/>
      <c r="L1878" s="95"/>
      <c r="M1878" s="22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</row>
    <row r="1879">
      <c r="A1879" s="26"/>
      <c r="B1879" s="73"/>
      <c r="C1879" s="73"/>
      <c r="D1879" s="95"/>
      <c r="E1879" s="73"/>
      <c r="F1879" s="73"/>
      <c r="G1879" s="73"/>
      <c r="H1879" s="73"/>
      <c r="I1879" s="95"/>
      <c r="J1879" s="73"/>
      <c r="K1879" s="95"/>
      <c r="L1879" s="95"/>
      <c r="M1879" s="22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</row>
    <row r="1880">
      <c r="A1880" s="26"/>
      <c r="B1880" s="73"/>
      <c r="C1880" s="73"/>
      <c r="D1880" s="95"/>
      <c r="E1880" s="73"/>
      <c r="F1880" s="73"/>
      <c r="G1880" s="73"/>
      <c r="H1880" s="73"/>
      <c r="I1880" s="95"/>
      <c r="J1880" s="73"/>
      <c r="K1880" s="95"/>
      <c r="L1880" s="95"/>
      <c r="M1880" s="22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</row>
    <row r="1881">
      <c r="A1881" s="26"/>
      <c r="B1881" s="73"/>
      <c r="C1881" s="73"/>
      <c r="D1881" s="95"/>
      <c r="E1881" s="73"/>
      <c r="F1881" s="73"/>
      <c r="G1881" s="73"/>
      <c r="H1881" s="73"/>
      <c r="I1881" s="95"/>
      <c r="J1881" s="73"/>
      <c r="K1881" s="95"/>
      <c r="L1881" s="95"/>
      <c r="M1881" s="22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</row>
    <row r="1882">
      <c r="A1882" s="26"/>
      <c r="B1882" s="73"/>
      <c r="C1882" s="73"/>
      <c r="D1882" s="95"/>
      <c r="E1882" s="73"/>
      <c r="F1882" s="73"/>
      <c r="G1882" s="73"/>
      <c r="H1882" s="73"/>
      <c r="I1882" s="95"/>
      <c r="J1882" s="73"/>
      <c r="K1882" s="95"/>
      <c r="L1882" s="95"/>
      <c r="M1882" s="22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</row>
    <row r="1883">
      <c r="A1883" s="26"/>
      <c r="B1883" s="73"/>
      <c r="C1883" s="73"/>
      <c r="D1883" s="95"/>
      <c r="E1883" s="73"/>
      <c r="F1883" s="73"/>
      <c r="G1883" s="73"/>
      <c r="H1883" s="73"/>
      <c r="I1883" s="95"/>
      <c r="J1883" s="73"/>
      <c r="K1883" s="95"/>
      <c r="L1883" s="95"/>
      <c r="M1883" s="22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</row>
    <row r="1884">
      <c r="A1884" s="26"/>
      <c r="B1884" s="73"/>
      <c r="C1884" s="73"/>
      <c r="D1884" s="95"/>
      <c r="E1884" s="73"/>
      <c r="F1884" s="73"/>
      <c r="G1884" s="73"/>
      <c r="H1884" s="73"/>
      <c r="I1884" s="95"/>
      <c r="J1884" s="73"/>
      <c r="K1884" s="95"/>
      <c r="L1884" s="95"/>
      <c r="M1884" s="22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</row>
    <row r="1885">
      <c r="A1885" s="26"/>
      <c r="B1885" s="73"/>
      <c r="C1885" s="73"/>
      <c r="D1885" s="95"/>
      <c r="E1885" s="73"/>
      <c r="F1885" s="73"/>
      <c r="G1885" s="73"/>
      <c r="H1885" s="73"/>
      <c r="I1885" s="95"/>
      <c r="J1885" s="73"/>
      <c r="K1885" s="95"/>
      <c r="L1885" s="95"/>
      <c r="M1885" s="22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</row>
    <row r="1886">
      <c r="A1886" s="26"/>
      <c r="B1886" s="73"/>
      <c r="C1886" s="73"/>
      <c r="D1886" s="95"/>
      <c r="E1886" s="73"/>
      <c r="F1886" s="73"/>
      <c r="G1886" s="73"/>
      <c r="H1886" s="73"/>
      <c r="I1886" s="95"/>
      <c r="J1886" s="73"/>
      <c r="K1886" s="95"/>
      <c r="L1886" s="95"/>
      <c r="M1886" s="22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</row>
    <row r="1887">
      <c r="A1887" s="26"/>
      <c r="B1887" s="73"/>
      <c r="C1887" s="73"/>
      <c r="D1887" s="95"/>
      <c r="E1887" s="73"/>
      <c r="F1887" s="73"/>
      <c r="G1887" s="73"/>
      <c r="H1887" s="73"/>
      <c r="I1887" s="95"/>
      <c r="J1887" s="73"/>
      <c r="K1887" s="95"/>
      <c r="L1887" s="95"/>
      <c r="M1887" s="22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</row>
    <row r="1888">
      <c r="A1888" s="26"/>
      <c r="B1888" s="73"/>
      <c r="C1888" s="73"/>
      <c r="D1888" s="95"/>
      <c r="E1888" s="73"/>
      <c r="F1888" s="73"/>
      <c r="G1888" s="73"/>
      <c r="H1888" s="73"/>
      <c r="I1888" s="95"/>
      <c r="J1888" s="73"/>
      <c r="K1888" s="95"/>
      <c r="L1888" s="95"/>
      <c r="M1888" s="22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</row>
    <row r="1889">
      <c r="A1889" s="26"/>
      <c r="B1889" s="73"/>
      <c r="C1889" s="73"/>
      <c r="D1889" s="95"/>
      <c r="E1889" s="73"/>
      <c r="F1889" s="73"/>
      <c r="G1889" s="73"/>
      <c r="H1889" s="73"/>
      <c r="I1889" s="95"/>
      <c r="J1889" s="73"/>
      <c r="K1889" s="95"/>
      <c r="L1889" s="95"/>
      <c r="M1889" s="22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</row>
    <row r="1890">
      <c r="A1890" s="26"/>
      <c r="B1890" s="73"/>
      <c r="C1890" s="73"/>
      <c r="D1890" s="95"/>
      <c r="E1890" s="73"/>
      <c r="F1890" s="73"/>
      <c r="G1890" s="73"/>
      <c r="H1890" s="73"/>
      <c r="I1890" s="95"/>
      <c r="J1890" s="73"/>
      <c r="K1890" s="95"/>
      <c r="L1890" s="95"/>
      <c r="M1890" s="22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</row>
    <row r="1891">
      <c r="A1891" s="26"/>
      <c r="B1891" s="73"/>
      <c r="C1891" s="73"/>
      <c r="D1891" s="95"/>
      <c r="E1891" s="73"/>
      <c r="F1891" s="73"/>
      <c r="G1891" s="73"/>
      <c r="H1891" s="73"/>
      <c r="I1891" s="95"/>
      <c r="J1891" s="73"/>
      <c r="K1891" s="95"/>
      <c r="L1891" s="95"/>
      <c r="M1891" s="22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</row>
    <row r="1892">
      <c r="A1892" s="26"/>
      <c r="B1892" s="73"/>
      <c r="C1892" s="73"/>
      <c r="D1892" s="95"/>
      <c r="E1892" s="73"/>
      <c r="F1892" s="73"/>
      <c r="G1892" s="73"/>
      <c r="H1892" s="73"/>
      <c r="I1892" s="95"/>
      <c r="J1892" s="73"/>
      <c r="K1892" s="95"/>
      <c r="L1892" s="95"/>
      <c r="M1892" s="22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</row>
    <row r="1893">
      <c r="A1893" s="26"/>
      <c r="B1893" s="73"/>
      <c r="C1893" s="73"/>
      <c r="D1893" s="95"/>
      <c r="E1893" s="73"/>
      <c r="F1893" s="73"/>
      <c r="G1893" s="73"/>
      <c r="H1893" s="73"/>
      <c r="I1893" s="95"/>
      <c r="J1893" s="73"/>
      <c r="K1893" s="95"/>
      <c r="L1893" s="95"/>
      <c r="M1893" s="22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</row>
    <row r="1894">
      <c r="A1894" s="26"/>
      <c r="B1894" s="73"/>
      <c r="C1894" s="73"/>
      <c r="D1894" s="95"/>
      <c r="E1894" s="73"/>
      <c r="F1894" s="73"/>
      <c r="G1894" s="73"/>
      <c r="H1894" s="73"/>
      <c r="I1894" s="95"/>
      <c r="J1894" s="73"/>
      <c r="K1894" s="95"/>
      <c r="L1894" s="95"/>
      <c r="M1894" s="22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</row>
    <row r="1895">
      <c r="A1895" s="26"/>
      <c r="B1895" s="73"/>
      <c r="C1895" s="73"/>
      <c r="D1895" s="95"/>
      <c r="E1895" s="73"/>
      <c r="F1895" s="73"/>
      <c r="G1895" s="73"/>
      <c r="H1895" s="73"/>
      <c r="I1895" s="95"/>
      <c r="J1895" s="73"/>
      <c r="K1895" s="95"/>
      <c r="L1895" s="95"/>
      <c r="M1895" s="22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</row>
    <row r="1896">
      <c r="A1896" s="26"/>
      <c r="B1896" s="73"/>
      <c r="C1896" s="73"/>
      <c r="D1896" s="95"/>
      <c r="E1896" s="73"/>
      <c r="F1896" s="73"/>
      <c r="G1896" s="73"/>
      <c r="H1896" s="73"/>
      <c r="I1896" s="95"/>
      <c r="J1896" s="73"/>
      <c r="K1896" s="95"/>
      <c r="L1896" s="95"/>
      <c r="M1896" s="22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</row>
    <row r="1897">
      <c r="A1897" s="26"/>
      <c r="B1897" s="73"/>
      <c r="C1897" s="73"/>
      <c r="D1897" s="95"/>
      <c r="E1897" s="73"/>
      <c r="F1897" s="73"/>
      <c r="G1897" s="73"/>
      <c r="H1897" s="73"/>
      <c r="I1897" s="95"/>
      <c r="J1897" s="73"/>
      <c r="K1897" s="95"/>
      <c r="L1897" s="95"/>
      <c r="M1897" s="22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</row>
    <row r="1898">
      <c r="A1898" s="26"/>
      <c r="B1898" s="73"/>
      <c r="C1898" s="73"/>
      <c r="D1898" s="95"/>
      <c r="E1898" s="73"/>
      <c r="F1898" s="73"/>
      <c r="G1898" s="73"/>
      <c r="H1898" s="73"/>
      <c r="I1898" s="95"/>
      <c r="J1898" s="73"/>
      <c r="K1898" s="95"/>
      <c r="L1898" s="95"/>
      <c r="M1898" s="22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</row>
    <row r="1899">
      <c r="A1899" s="26"/>
      <c r="B1899" s="73"/>
      <c r="C1899" s="73"/>
      <c r="D1899" s="95"/>
      <c r="E1899" s="73"/>
      <c r="F1899" s="73"/>
      <c r="G1899" s="73"/>
      <c r="H1899" s="73"/>
      <c r="I1899" s="95"/>
      <c r="J1899" s="73"/>
      <c r="K1899" s="95"/>
      <c r="L1899" s="95"/>
      <c r="M1899" s="22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</row>
    <row r="1900">
      <c r="A1900" s="26"/>
      <c r="B1900" s="73"/>
      <c r="C1900" s="73"/>
      <c r="D1900" s="95"/>
      <c r="E1900" s="73"/>
      <c r="F1900" s="73"/>
      <c r="G1900" s="73"/>
      <c r="H1900" s="73"/>
      <c r="I1900" s="95"/>
      <c r="J1900" s="73"/>
      <c r="K1900" s="95"/>
      <c r="L1900" s="95"/>
      <c r="M1900" s="22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</row>
    <row r="1901">
      <c r="A1901" s="26"/>
      <c r="B1901" s="73"/>
      <c r="C1901" s="73"/>
      <c r="D1901" s="95"/>
      <c r="E1901" s="73"/>
      <c r="F1901" s="73"/>
      <c r="G1901" s="73"/>
      <c r="H1901" s="73"/>
      <c r="I1901" s="95"/>
      <c r="J1901" s="73"/>
      <c r="K1901" s="95"/>
      <c r="L1901" s="95"/>
      <c r="M1901" s="22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</row>
    <row r="1902">
      <c r="A1902" s="26"/>
      <c r="B1902" s="73"/>
      <c r="C1902" s="73"/>
      <c r="D1902" s="95"/>
      <c r="E1902" s="73"/>
      <c r="F1902" s="73"/>
      <c r="G1902" s="73"/>
      <c r="H1902" s="73"/>
      <c r="I1902" s="95"/>
      <c r="J1902" s="73"/>
      <c r="K1902" s="95"/>
      <c r="L1902" s="95"/>
      <c r="M1902" s="22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</row>
    <row r="1903">
      <c r="A1903" s="26"/>
      <c r="B1903" s="73"/>
      <c r="C1903" s="73"/>
      <c r="D1903" s="95"/>
      <c r="E1903" s="73"/>
      <c r="F1903" s="73"/>
      <c r="G1903" s="73"/>
      <c r="H1903" s="73"/>
      <c r="I1903" s="95"/>
      <c r="J1903" s="73"/>
      <c r="K1903" s="95"/>
      <c r="L1903" s="95"/>
      <c r="M1903" s="22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</row>
    <row r="1904">
      <c r="A1904" s="26"/>
      <c r="B1904" s="73"/>
      <c r="C1904" s="73"/>
      <c r="D1904" s="95"/>
      <c r="E1904" s="73"/>
      <c r="F1904" s="73"/>
      <c r="G1904" s="73"/>
      <c r="H1904" s="73"/>
      <c r="I1904" s="95"/>
      <c r="J1904" s="73"/>
      <c r="K1904" s="95"/>
      <c r="L1904" s="95"/>
      <c r="M1904" s="22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</row>
    <row r="1905">
      <c r="A1905" s="26"/>
      <c r="B1905" s="73"/>
      <c r="C1905" s="73"/>
      <c r="D1905" s="95"/>
      <c r="E1905" s="73"/>
      <c r="F1905" s="73"/>
      <c r="G1905" s="73"/>
      <c r="H1905" s="73"/>
      <c r="I1905" s="95"/>
      <c r="J1905" s="73"/>
      <c r="K1905" s="95"/>
      <c r="L1905" s="95"/>
      <c r="M1905" s="22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</row>
    <row r="1906">
      <c r="A1906" s="26"/>
      <c r="B1906" s="73"/>
      <c r="C1906" s="73"/>
      <c r="D1906" s="95"/>
      <c r="E1906" s="73"/>
      <c r="F1906" s="73"/>
      <c r="G1906" s="73"/>
      <c r="H1906" s="73"/>
      <c r="I1906" s="95"/>
      <c r="J1906" s="73"/>
      <c r="K1906" s="95"/>
      <c r="L1906" s="95"/>
      <c r="M1906" s="22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</row>
    <row r="1907">
      <c r="A1907" s="26"/>
      <c r="B1907" s="73"/>
      <c r="C1907" s="73"/>
      <c r="D1907" s="95"/>
      <c r="E1907" s="73"/>
      <c r="F1907" s="73"/>
      <c r="G1907" s="73"/>
      <c r="H1907" s="73"/>
      <c r="I1907" s="95"/>
      <c r="J1907" s="73"/>
      <c r="K1907" s="95"/>
      <c r="L1907" s="95"/>
      <c r="M1907" s="22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</row>
    <row r="1908">
      <c r="A1908" s="26"/>
      <c r="B1908" s="73"/>
      <c r="C1908" s="73"/>
      <c r="D1908" s="95"/>
      <c r="E1908" s="73"/>
      <c r="F1908" s="73"/>
      <c r="G1908" s="73"/>
      <c r="H1908" s="73"/>
      <c r="I1908" s="95"/>
      <c r="J1908" s="73"/>
      <c r="K1908" s="95"/>
      <c r="L1908" s="95"/>
      <c r="M1908" s="22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</row>
    <row r="1909">
      <c r="A1909" s="26"/>
      <c r="B1909" s="73"/>
      <c r="C1909" s="73"/>
      <c r="D1909" s="95"/>
      <c r="E1909" s="73"/>
      <c r="F1909" s="73"/>
      <c r="G1909" s="73"/>
      <c r="H1909" s="73"/>
      <c r="I1909" s="95"/>
      <c r="J1909" s="73"/>
      <c r="K1909" s="95"/>
      <c r="L1909" s="95"/>
      <c r="M1909" s="22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</row>
    <row r="1910">
      <c r="A1910" s="26"/>
      <c r="B1910" s="73"/>
      <c r="C1910" s="73"/>
      <c r="D1910" s="95"/>
      <c r="E1910" s="73"/>
      <c r="F1910" s="73"/>
      <c r="G1910" s="73"/>
      <c r="H1910" s="73"/>
      <c r="I1910" s="95"/>
      <c r="J1910" s="73"/>
      <c r="K1910" s="95"/>
      <c r="L1910" s="95"/>
      <c r="M1910" s="22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</row>
    <row r="1911">
      <c r="A1911" s="26"/>
      <c r="B1911" s="73"/>
      <c r="C1911" s="73"/>
      <c r="D1911" s="95"/>
      <c r="E1911" s="73"/>
      <c r="F1911" s="73"/>
      <c r="G1911" s="73"/>
      <c r="H1911" s="73"/>
      <c r="I1911" s="95"/>
      <c r="J1911" s="73"/>
      <c r="K1911" s="95"/>
      <c r="L1911" s="95"/>
      <c r="M1911" s="22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</row>
    <row r="1912">
      <c r="A1912" s="26"/>
      <c r="B1912" s="73"/>
      <c r="C1912" s="73"/>
      <c r="D1912" s="95"/>
      <c r="E1912" s="73"/>
      <c r="F1912" s="73"/>
      <c r="G1912" s="73"/>
      <c r="H1912" s="73"/>
      <c r="I1912" s="95"/>
      <c r="J1912" s="73"/>
      <c r="K1912" s="95"/>
      <c r="L1912" s="95"/>
      <c r="M1912" s="22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</row>
    <row r="1913">
      <c r="A1913" s="26"/>
      <c r="B1913" s="73"/>
      <c r="C1913" s="73"/>
      <c r="D1913" s="95"/>
      <c r="E1913" s="73"/>
      <c r="F1913" s="73"/>
      <c r="G1913" s="73"/>
      <c r="H1913" s="73"/>
      <c r="I1913" s="95"/>
      <c r="J1913" s="73"/>
      <c r="K1913" s="95"/>
      <c r="L1913" s="95"/>
      <c r="M1913" s="22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</row>
    <row r="1914">
      <c r="A1914" s="26"/>
      <c r="B1914" s="73"/>
      <c r="C1914" s="73"/>
      <c r="D1914" s="95"/>
      <c r="E1914" s="73"/>
      <c r="F1914" s="73"/>
      <c r="G1914" s="73"/>
      <c r="H1914" s="73"/>
      <c r="I1914" s="95"/>
      <c r="J1914" s="73"/>
      <c r="K1914" s="95"/>
      <c r="L1914" s="95"/>
      <c r="M1914" s="22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</row>
    <row r="1915">
      <c r="A1915" s="26"/>
      <c r="B1915" s="73"/>
      <c r="C1915" s="73"/>
      <c r="D1915" s="95"/>
      <c r="E1915" s="73"/>
      <c r="F1915" s="73"/>
      <c r="G1915" s="73"/>
      <c r="H1915" s="73"/>
      <c r="I1915" s="95"/>
      <c r="J1915" s="73"/>
      <c r="K1915" s="95"/>
      <c r="L1915" s="95"/>
      <c r="M1915" s="22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</row>
    <row r="1916">
      <c r="A1916" s="26"/>
      <c r="B1916" s="73"/>
      <c r="C1916" s="73"/>
      <c r="D1916" s="95"/>
      <c r="E1916" s="73"/>
      <c r="F1916" s="73"/>
      <c r="G1916" s="73"/>
      <c r="H1916" s="73"/>
      <c r="I1916" s="95"/>
      <c r="J1916" s="73"/>
      <c r="K1916" s="95"/>
      <c r="L1916" s="95"/>
      <c r="M1916" s="22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</row>
    <row r="1917">
      <c r="A1917" s="26"/>
      <c r="B1917" s="73"/>
      <c r="C1917" s="73"/>
      <c r="D1917" s="95"/>
      <c r="E1917" s="73"/>
      <c r="F1917" s="73"/>
      <c r="G1917" s="73"/>
      <c r="H1917" s="73"/>
      <c r="I1917" s="95"/>
      <c r="J1917" s="73"/>
      <c r="K1917" s="95"/>
      <c r="L1917" s="95"/>
      <c r="M1917" s="22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</row>
    <row r="1918">
      <c r="A1918" s="26"/>
      <c r="B1918" s="73"/>
      <c r="C1918" s="73"/>
      <c r="D1918" s="95"/>
      <c r="E1918" s="73"/>
      <c r="F1918" s="73"/>
      <c r="G1918" s="73"/>
      <c r="H1918" s="73"/>
      <c r="I1918" s="95"/>
      <c r="J1918" s="73"/>
      <c r="K1918" s="95"/>
      <c r="L1918" s="95"/>
      <c r="M1918" s="22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</row>
    <row r="1919">
      <c r="A1919" s="26"/>
      <c r="B1919" s="73"/>
      <c r="C1919" s="73"/>
      <c r="D1919" s="95"/>
      <c r="E1919" s="73"/>
      <c r="F1919" s="73"/>
      <c r="G1919" s="73"/>
      <c r="H1919" s="73"/>
      <c r="I1919" s="95"/>
      <c r="J1919" s="73"/>
      <c r="K1919" s="95"/>
      <c r="L1919" s="95"/>
      <c r="M1919" s="22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</row>
    <row r="1920">
      <c r="A1920" s="26"/>
      <c r="B1920" s="73"/>
      <c r="C1920" s="73"/>
      <c r="D1920" s="95"/>
      <c r="E1920" s="73"/>
      <c r="F1920" s="73"/>
      <c r="G1920" s="73"/>
      <c r="H1920" s="73"/>
      <c r="I1920" s="95"/>
      <c r="J1920" s="73"/>
      <c r="K1920" s="95"/>
      <c r="L1920" s="95"/>
      <c r="M1920" s="22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</row>
    <row r="1921">
      <c r="A1921" s="26"/>
      <c r="B1921" s="73"/>
      <c r="C1921" s="73"/>
      <c r="D1921" s="95"/>
      <c r="E1921" s="73"/>
      <c r="F1921" s="73"/>
      <c r="G1921" s="73"/>
      <c r="H1921" s="73"/>
      <c r="I1921" s="95"/>
      <c r="J1921" s="73"/>
      <c r="K1921" s="95"/>
      <c r="L1921" s="95"/>
      <c r="M1921" s="22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</row>
    <row r="1922">
      <c r="A1922" s="26"/>
      <c r="B1922" s="73"/>
      <c r="C1922" s="73"/>
      <c r="D1922" s="95"/>
      <c r="E1922" s="73"/>
      <c r="F1922" s="73"/>
      <c r="G1922" s="73"/>
      <c r="H1922" s="73"/>
      <c r="I1922" s="95"/>
      <c r="J1922" s="73"/>
      <c r="K1922" s="95"/>
      <c r="L1922" s="95"/>
      <c r="M1922" s="22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</row>
    <row r="1923">
      <c r="A1923" s="26"/>
      <c r="B1923" s="73"/>
      <c r="C1923" s="73"/>
      <c r="D1923" s="95"/>
      <c r="E1923" s="73"/>
      <c r="F1923" s="73"/>
      <c r="G1923" s="73"/>
      <c r="H1923" s="73"/>
      <c r="I1923" s="95"/>
      <c r="J1923" s="73"/>
      <c r="K1923" s="95"/>
      <c r="L1923" s="95"/>
      <c r="M1923" s="22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</row>
    <row r="1924">
      <c r="A1924" s="26"/>
      <c r="B1924" s="73"/>
      <c r="C1924" s="73"/>
      <c r="D1924" s="95"/>
      <c r="E1924" s="73"/>
      <c r="F1924" s="73"/>
      <c r="G1924" s="73"/>
      <c r="H1924" s="73"/>
      <c r="I1924" s="95"/>
      <c r="J1924" s="73"/>
      <c r="K1924" s="95"/>
      <c r="L1924" s="95"/>
      <c r="M1924" s="22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</row>
    <row r="1925">
      <c r="A1925" s="26"/>
      <c r="B1925" s="73"/>
      <c r="C1925" s="73"/>
      <c r="D1925" s="95"/>
      <c r="E1925" s="73"/>
      <c r="F1925" s="73"/>
      <c r="G1925" s="73"/>
      <c r="H1925" s="73"/>
      <c r="I1925" s="95"/>
      <c r="J1925" s="73"/>
      <c r="K1925" s="95"/>
      <c r="L1925" s="95"/>
      <c r="M1925" s="22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</row>
    <row r="1926">
      <c r="A1926" s="26"/>
      <c r="B1926" s="73"/>
      <c r="C1926" s="73"/>
      <c r="D1926" s="95"/>
      <c r="E1926" s="73"/>
      <c r="F1926" s="73"/>
      <c r="G1926" s="73"/>
      <c r="H1926" s="73"/>
      <c r="I1926" s="95"/>
      <c r="J1926" s="73"/>
      <c r="K1926" s="95"/>
      <c r="L1926" s="95"/>
      <c r="M1926" s="22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</row>
    <row r="1927">
      <c r="A1927" s="26"/>
      <c r="B1927" s="73"/>
      <c r="C1927" s="73"/>
      <c r="D1927" s="95"/>
      <c r="E1927" s="73"/>
      <c r="F1927" s="73"/>
      <c r="G1927" s="73"/>
      <c r="H1927" s="73"/>
      <c r="I1927" s="95"/>
      <c r="J1927" s="73"/>
      <c r="K1927" s="95"/>
      <c r="L1927" s="95"/>
      <c r="M1927" s="22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</row>
    <row r="1928">
      <c r="A1928" s="26"/>
      <c r="B1928" s="73"/>
      <c r="C1928" s="73"/>
      <c r="D1928" s="95"/>
      <c r="E1928" s="73"/>
      <c r="F1928" s="73"/>
      <c r="G1928" s="73"/>
      <c r="H1928" s="73"/>
      <c r="I1928" s="95"/>
      <c r="J1928" s="73"/>
      <c r="K1928" s="95"/>
      <c r="L1928" s="95"/>
      <c r="M1928" s="22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</row>
    <row r="1929">
      <c r="A1929" s="26"/>
      <c r="B1929" s="73"/>
      <c r="C1929" s="73"/>
      <c r="D1929" s="95"/>
      <c r="E1929" s="73"/>
      <c r="F1929" s="73"/>
      <c r="G1929" s="73"/>
      <c r="H1929" s="73"/>
      <c r="I1929" s="95"/>
      <c r="J1929" s="73"/>
      <c r="K1929" s="95"/>
      <c r="L1929" s="95"/>
      <c r="M1929" s="22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</row>
    <row r="1930">
      <c r="A1930" s="26"/>
      <c r="B1930" s="73"/>
      <c r="C1930" s="73"/>
      <c r="D1930" s="95"/>
      <c r="E1930" s="73"/>
      <c r="F1930" s="73"/>
      <c r="G1930" s="73"/>
      <c r="H1930" s="73"/>
      <c r="I1930" s="95"/>
      <c r="J1930" s="73"/>
      <c r="K1930" s="95"/>
      <c r="L1930" s="95"/>
      <c r="M1930" s="22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</row>
    <row r="1931">
      <c r="A1931" s="26"/>
      <c r="B1931" s="73"/>
      <c r="C1931" s="73"/>
      <c r="D1931" s="95"/>
      <c r="E1931" s="73"/>
      <c r="F1931" s="73"/>
      <c r="G1931" s="73"/>
      <c r="H1931" s="73"/>
      <c r="I1931" s="95"/>
      <c r="J1931" s="73"/>
      <c r="K1931" s="95"/>
      <c r="L1931" s="95"/>
      <c r="M1931" s="22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</row>
    <row r="1932">
      <c r="A1932" s="26"/>
      <c r="B1932" s="73"/>
      <c r="C1932" s="73"/>
      <c r="D1932" s="95"/>
      <c r="E1932" s="73"/>
      <c r="F1932" s="73"/>
      <c r="G1932" s="73"/>
      <c r="H1932" s="73"/>
      <c r="I1932" s="95"/>
      <c r="J1932" s="73"/>
      <c r="K1932" s="95"/>
      <c r="L1932" s="95"/>
      <c r="M1932" s="22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</row>
    <row r="1933">
      <c r="A1933" s="26"/>
      <c r="B1933" s="73"/>
      <c r="C1933" s="73"/>
      <c r="D1933" s="95"/>
      <c r="E1933" s="73"/>
      <c r="F1933" s="73"/>
      <c r="G1933" s="73"/>
      <c r="H1933" s="73"/>
      <c r="I1933" s="95"/>
      <c r="J1933" s="73"/>
      <c r="K1933" s="95"/>
      <c r="L1933" s="95"/>
      <c r="M1933" s="22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</row>
    <row r="1934">
      <c r="A1934" s="26"/>
      <c r="B1934" s="73"/>
      <c r="C1934" s="73"/>
      <c r="D1934" s="95"/>
      <c r="E1934" s="73"/>
      <c r="F1934" s="73"/>
      <c r="G1934" s="73"/>
      <c r="H1934" s="73"/>
      <c r="I1934" s="95"/>
      <c r="J1934" s="73"/>
      <c r="K1934" s="95"/>
      <c r="L1934" s="95"/>
      <c r="M1934" s="22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</row>
    <row r="1935">
      <c r="A1935" s="26"/>
      <c r="B1935" s="73"/>
      <c r="C1935" s="73"/>
      <c r="D1935" s="95"/>
      <c r="E1935" s="73"/>
      <c r="F1935" s="73"/>
      <c r="G1935" s="73"/>
      <c r="H1935" s="73"/>
      <c r="I1935" s="95"/>
      <c r="J1935" s="73"/>
      <c r="K1935" s="95"/>
      <c r="L1935" s="95"/>
      <c r="M1935" s="22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</row>
    <row r="1936">
      <c r="A1936" s="26"/>
      <c r="B1936" s="73"/>
      <c r="C1936" s="73"/>
      <c r="D1936" s="95"/>
      <c r="E1936" s="73"/>
      <c r="F1936" s="73"/>
      <c r="G1936" s="73"/>
      <c r="H1936" s="73"/>
      <c r="I1936" s="95"/>
      <c r="J1936" s="73"/>
      <c r="K1936" s="95"/>
      <c r="L1936" s="95"/>
      <c r="M1936" s="22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</row>
    <row r="1937">
      <c r="A1937" s="26"/>
      <c r="B1937" s="73"/>
      <c r="C1937" s="73"/>
      <c r="D1937" s="95"/>
      <c r="E1937" s="73"/>
      <c r="F1937" s="73"/>
      <c r="G1937" s="73"/>
      <c r="H1937" s="73"/>
      <c r="I1937" s="95"/>
      <c r="J1937" s="73"/>
      <c r="K1937" s="95"/>
      <c r="L1937" s="95"/>
      <c r="M1937" s="22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</row>
    <row r="1938">
      <c r="A1938" s="26"/>
      <c r="B1938" s="73"/>
      <c r="C1938" s="73"/>
      <c r="D1938" s="95"/>
      <c r="E1938" s="73"/>
      <c r="F1938" s="73"/>
      <c r="G1938" s="73"/>
      <c r="H1938" s="73"/>
      <c r="I1938" s="95"/>
      <c r="J1938" s="73"/>
      <c r="K1938" s="95"/>
      <c r="L1938" s="95"/>
      <c r="M1938" s="22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</row>
    <row r="1939">
      <c r="A1939" s="26"/>
      <c r="B1939" s="73"/>
      <c r="C1939" s="73"/>
      <c r="D1939" s="95"/>
      <c r="E1939" s="73"/>
      <c r="F1939" s="73"/>
      <c r="G1939" s="73"/>
      <c r="H1939" s="73"/>
      <c r="I1939" s="95"/>
      <c r="J1939" s="73"/>
      <c r="K1939" s="95"/>
      <c r="L1939" s="95"/>
      <c r="M1939" s="22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</row>
    <row r="1940">
      <c r="A1940" s="26"/>
      <c r="B1940" s="73"/>
      <c r="C1940" s="73"/>
      <c r="D1940" s="95"/>
      <c r="E1940" s="73"/>
      <c r="F1940" s="73"/>
      <c r="G1940" s="73"/>
      <c r="H1940" s="73"/>
      <c r="I1940" s="95"/>
      <c r="J1940" s="73"/>
      <c r="K1940" s="95"/>
      <c r="L1940" s="95"/>
      <c r="M1940" s="22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</row>
    <row r="1941">
      <c r="A1941" s="26"/>
      <c r="B1941" s="73"/>
      <c r="C1941" s="73"/>
      <c r="D1941" s="95"/>
      <c r="E1941" s="73"/>
      <c r="F1941" s="73"/>
      <c r="G1941" s="73"/>
      <c r="H1941" s="73"/>
      <c r="I1941" s="95"/>
      <c r="J1941" s="73"/>
      <c r="K1941" s="95"/>
      <c r="L1941" s="95"/>
      <c r="M1941" s="22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</row>
    <row r="1942">
      <c r="A1942" s="26"/>
      <c r="B1942" s="73"/>
      <c r="C1942" s="73"/>
      <c r="D1942" s="95"/>
      <c r="E1942" s="73"/>
      <c r="F1942" s="73"/>
      <c r="G1942" s="73"/>
      <c r="H1942" s="73"/>
      <c r="I1942" s="95"/>
      <c r="J1942" s="73"/>
      <c r="K1942" s="95"/>
      <c r="L1942" s="95"/>
      <c r="M1942" s="22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</row>
    <row r="1943">
      <c r="A1943" s="26"/>
      <c r="B1943" s="73"/>
      <c r="C1943" s="73"/>
      <c r="D1943" s="95"/>
      <c r="E1943" s="73"/>
      <c r="F1943" s="73"/>
      <c r="G1943" s="73"/>
      <c r="H1943" s="73"/>
      <c r="I1943" s="95"/>
      <c r="J1943" s="73"/>
      <c r="K1943" s="95"/>
      <c r="L1943" s="95"/>
      <c r="M1943" s="22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</row>
    <row r="1944">
      <c r="A1944" s="26"/>
      <c r="B1944" s="73"/>
      <c r="C1944" s="73"/>
      <c r="D1944" s="95"/>
      <c r="E1944" s="73"/>
      <c r="F1944" s="73"/>
      <c r="G1944" s="73"/>
      <c r="H1944" s="73"/>
      <c r="I1944" s="95"/>
      <c r="J1944" s="73"/>
      <c r="K1944" s="95"/>
      <c r="L1944" s="95"/>
      <c r="M1944" s="22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</row>
    <row r="1945">
      <c r="A1945" s="26"/>
      <c r="B1945" s="73"/>
      <c r="C1945" s="73"/>
      <c r="D1945" s="95"/>
      <c r="E1945" s="73"/>
      <c r="F1945" s="73"/>
      <c r="G1945" s="73"/>
      <c r="H1945" s="73"/>
      <c r="I1945" s="95"/>
      <c r="J1945" s="73"/>
      <c r="K1945" s="95"/>
      <c r="L1945" s="95"/>
      <c r="M1945" s="22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</row>
    <row r="1946">
      <c r="A1946" s="26"/>
      <c r="B1946" s="73"/>
      <c r="C1946" s="73"/>
      <c r="D1946" s="95"/>
      <c r="E1946" s="73"/>
      <c r="F1946" s="73"/>
      <c r="G1946" s="73"/>
      <c r="H1946" s="73"/>
      <c r="I1946" s="95"/>
      <c r="J1946" s="73"/>
      <c r="K1946" s="95"/>
      <c r="L1946" s="95"/>
      <c r="M1946" s="22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</row>
    <row r="1947">
      <c r="A1947" s="26"/>
      <c r="B1947" s="73"/>
      <c r="C1947" s="73"/>
      <c r="D1947" s="95"/>
      <c r="E1947" s="73"/>
      <c r="F1947" s="73"/>
      <c r="G1947" s="73"/>
      <c r="H1947" s="73"/>
      <c r="I1947" s="95"/>
      <c r="J1947" s="73"/>
      <c r="K1947" s="95"/>
      <c r="L1947" s="95"/>
      <c r="M1947" s="22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</row>
    <row r="1948">
      <c r="A1948" s="26"/>
      <c r="B1948" s="73"/>
      <c r="C1948" s="73"/>
      <c r="D1948" s="95"/>
      <c r="E1948" s="73"/>
      <c r="F1948" s="73"/>
      <c r="G1948" s="73"/>
      <c r="H1948" s="73"/>
      <c r="I1948" s="95"/>
      <c r="J1948" s="73"/>
      <c r="K1948" s="95"/>
      <c r="L1948" s="95"/>
      <c r="M1948" s="22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</row>
    <row r="1949">
      <c r="A1949" s="26"/>
      <c r="B1949" s="73"/>
      <c r="C1949" s="73"/>
      <c r="D1949" s="95"/>
      <c r="E1949" s="73"/>
      <c r="F1949" s="73"/>
      <c r="G1949" s="73"/>
      <c r="H1949" s="73"/>
      <c r="I1949" s="95"/>
      <c r="J1949" s="73"/>
      <c r="K1949" s="95"/>
      <c r="L1949" s="95"/>
      <c r="M1949" s="22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</row>
    <row r="1950">
      <c r="A1950" s="26"/>
      <c r="B1950" s="73"/>
      <c r="C1950" s="73"/>
      <c r="D1950" s="95"/>
      <c r="E1950" s="73"/>
      <c r="F1950" s="73"/>
      <c r="G1950" s="73"/>
      <c r="H1950" s="73"/>
      <c r="I1950" s="95"/>
      <c r="J1950" s="73"/>
      <c r="K1950" s="95"/>
      <c r="L1950" s="95"/>
      <c r="M1950" s="22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</row>
    <row r="1951">
      <c r="A1951" s="26"/>
      <c r="B1951" s="73"/>
      <c r="C1951" s="73"/>
      <c r="D1951" s="95"/>
      <c r="E1951" s="73"/>
      <c r="F1951" s="73"/>
      <c r="G1951" s="73"/>
      <c r="H1951" s="73"/>
      <c r="I1951" s="95"/>
      <c r="J1951" s="73"/>
      <c r="K1951" s="95"/>
      <c r="L1951" s="95"/>
      <c r="M1951" s="22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</row>
    <row r="1952">
      <c r="A1952" s="26"/>
      <c r="B1952" s="73"/>
      <c r="C1952" s="73"/>
      <c r="D1952" s="95"/>
      <c r="E1952" s="73"/>
      <c r="F1952" s="73"/>
      <c r="G1952" s="73"/>
      <c r="H1952" s="73"/>
      <c r="I1952" s="95"/>
      <c r="J1952" s="73"/>
      <c r="K1952" s="95"/>
      <c r="L1952" s="95"/>
      <c r="M1952" s="22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</row>
    <row r="1953">
      <c r="A1953" s="26"/>
      <c r="B1953" s="73"/>
      <c r="C1953" s="73"/>
      <c r="D1953" s="95"/>
      <c r="E1953" s="73"/>
      <c r="F1953" s="73"/>
      <c r="G1953" s="73"/>
      <c r="H1953" s="73"/>
      <c r="I1953" s="95"/>
      <c r="J1953" s="73"/>
      <c r="K1953" s="95"/>
      <c r="L1953" s="95"/>
      <c r="M1953" s="22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</row>
    <row r="1954">
      <c r="A1954" s="26"/>
      <c r="B1954" s="73"/>
      <c r="C1954" s="73"/>
      <c r="D1954" s="95"/>
      <c r="E1954" s="73"/>
      <c r="F1954" s="73"/>
      <c r="G1954" s="73"/>
      <c r="H1954" s="73"/>
      <c r="I1954" s="95"/>
      <c r="J1954" s="73"/>
      <c r="K1954" s="95"/>
      <c r="L1954" s="95"/>
      <c r="M1954" s="22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</row>
    <row r="1955">
      <c r="A1955" s="26"/>
      <c r="B1955" s="73"/>
      <c r="C1955" s="73"/>
      <c r="D1955" s="95"/>
      <c r="E1955" s="73"/>
      <c r="F1955" s="73"/>
      <c r="G1955" s="73"/>
      <c r="H1955" s="73"/>
      <c r="I1955" s="95"/>
      <c r="J1955" s="73"/>
      <c r="K1955" s="95"/>
      <c r="L1955" s="95"/>
      <c r="M1955" s="22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</row>
    <row r="1956">
      <c r="A1956" s="26"/>
      <c r="B1956" s="73"/>
      <c r="C1956" s="73"/>
      <c r="D1956" s="95"/>
      <c r="E1956" s="73"/>
      <c r="F1956" s="73"/>
      <c r="G1956" s="73"/>
      <c r="H1956" s="73"/>
      <c r="I1956" s="95"/>
      <c r="J1956" s="73"/>
      <c r="K1956" s="95"/>
      <c r="L1956" s="95"/>
      <c r="M1956" s="22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</row>
    <row r="1957">
      <c r="A1957" s="26"/>
      <c r="B1957" s="73"/>
      <c r="C1957" s="73"/>
      <c r="D1957" s="95"/>
      <c r="E1957" s="73"/>
      <c r="F1957" s="73"/>
      <c r="G1957" s="73"/>
      <c r="H1957" s="73"/>
      <c r="I1957" s="95"/>
      <c r="J1957" s="73"/>
      <c r="K1957" s="95"/>
      <c r="L1957" s="95"/>
      <c r="M1957" s="22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</row>
    <row r="1958">
      <c r="A1958" s="26"/>
      <c r="B1958" s="73"/>
      <c r="C1958" s="73"/>
      <c r="D1958" s="95"/>
      <c r="E1958" s="73"/>
      <c r="F1958" s="73"/>
      <c r="G1958" s="73"/>
      <c r="H1958" s="73"/>
      <c r="I1958" s="95"/>
      <c r="J1958" s="73"/>
      <c r="K1958" s="95"/>
      <c r="L1958" s="95"/>
      <c r="M1958" s="22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</row>
    <row r="1959">
      <c r="A1959" s="26"/>
      <c r="B1959" s="73"/>
      <c r="C1959" s="73"/>
      <c r="D1959" s="95"/>
      <c r="E1959" s="73"/>
      <c r="F1959" s="73"/>
      <c r="G1959" s="73"/>
      <c r="H1959" s="73"/>
      <c r="I1959" s="95"/>
      <c r="J1959" s="73"/>
      <c r="K1959" s="95"/>
      <c r="L1959" s="95"/>
      <c r="M1959" s="22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</row>
    <row r="1960">
      <c r="A1960" s="26"/>
      <c r="B1960" s="73"/>
      <c r="C1960" s="73"/>
      <c r="D1960" s="95"/>
      <c r="E1960" s="73"/>
      <c r="F1960" s="73"/>
      <c r="G1960" s="73"/>
      <c r="H1960" s="73"/>
      <c r="I1960" s="95"/>
      <c r="J1960" s="73"/>
      <c r="K1960" s="95"/>
      <c r="L1960" s="95"/>
      <c r="M1960" s="22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</row>
    <row r="1961">
      <c r="A1961" s="26"/>
      <c r="B1961" s="73"/>
      <c r="C1961" s="73"/>
      <c r="D1961" s="95"/>
      <c r="E1961" s="73"/>
      <c r="F1961" s="73"/>
      <c r="G1961" s="73"/>
      <c r="H1961" s="73"/>
      <c r="I1961" s="95"/>
      <c r="J1961" s="73"/>
      <c r="K1961" s="95"/>
      <c r="L1961" s="95"/>
      <c r="M1961" s="22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</row>
    <row r="1962">
      <c r="A1962" s="26"/>
      <c r="B1962" s="73"/>
      <c r="C1962" s="73"/>
      <c r="D1962" s="95"/>
      <c r="E1962" s="73"/>
      <c r="F1962" s="73"/>
      <c r="G1962" s="73"/>
      <c r="H1962" s="73"/>
      <c r="I1962" s="95"/>
      <c r="J1962" s="73"/>
      <c r="K1962" s="95"/>
      <c r="L1962" s="95"/>
      <c r="M1962" s="22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</row>
    <row r="1963">
      <c r="A1963" s="26"/>
      <c r="B1963" s="73"/>
      <c r="C1963" s="73"/>
      <c r="D1963" s="95"/>
      <c r="E1963" s="73"/>
      <c r="F1963" s="73"/>
      <c r="G1963" s="73"/>
      <c r="H1963" s="73"/>
      <c r="I1963" s="95"/>
      <c r="J1963" s="73"/>
      <c r="K1963" s="95"/>
      <c r="L1963" s="95"/>
      <c r="M1963" s="22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</row>
    <row r="1964">
      <c r="A1964" s="26"/>
      <c r="B1964" s="73"/>
      <c r="C1964" s="73"/>
      <c r="D1964" s="95"/>
      <c r="E1964" s="73"/>
      <c r="F1964" s="73"/>
      <c r="G1964" s="73"/>
      <c r="H1964" s="73"/>
      <c r="I1964" s="95"/>
      <c r="J1964" s="73"/>
      <c r="K1964" s="95"/>
      <c r="L1964" s="95"/>
      <c r="M1964" s="22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</row>
    <row r="1965">
      <c r="A1965" s="26"/>
      <c r="B1965" s="73"/>
      <c r="C1965" s="73"/>
      <c r="D1965" s="95"/>
      <c r="E1965" s="73"/>
      <c r="F1965" s="73"/>
      <c r="G1965" s="73"/>
      <c r="H1965" s="73"/>
      <c r="I1965" s="95"/>
      <c r="J1965" s="73"/>
      <c r="K1965" s="95"/>
      <c r="L1965" s="95"/>
      <c r="M1965" s="22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</row>
    <row r="1966">
      <c r="A1966" s="26"/>
      <c r="B1966" s="73"/>
      <c r="C1966" s="73"/>
      <c r="D1966" s="95"/>
      <c r="E1966" s="73"/>
      <c r="F1966" s="73"/>
      <c r="G1966" s="73"/>
      <c r="H1966" s="73"/>
      <c r="I1966" s="95"/>
      <c r="J1966" s="73"/>
      <c r="K1966" s="95"/>
      <c r="L1966" s="95"/>
      <c r="M1966" s="22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</row>
    <row r="1967">
      <c r="A1967" s="26"/>
      <c r="B1967" s="73"/>
      <c r="C1967" s="73"/>
      <c r="D1967" s="95"/>
      <c r="E1967" s="73"/>
      <c r="F1967" s="73"/>
      <c r="G1967" s="73"/>
      <c r="H1967" s="73"/>
      <c r="I1967" s="95"/>
      <c r="J1967" s="73"/>
      <c r="K1967" s="95"/>
      <c r="L1967" s="95"/>
      <c r="M1967" s="22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</row>
    <row r="1968">
      <c r="A1968" s="26"/>
      <c r="B1968" s="73"/>
      <c r="C1968" s="73"/>
      <c r="D1968" s="95"/>
      <c r="E1968" s="73"/>
      <c r="F1968" s="73"/>
      <c r="G1968" s="73"/>
      <c r="H1968" s="73"/>
      <c r="I1968" s="95"/>
      <c r="J1968" s="73"/>
      <c r="K1968" s="95"/>
      <c r="L1968" s="95"/>
      <c r="M1968" s="22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</row>
    <row r="1969">
      <c r="A1969" s="26"/>
      <c r="B1969" s="73"/>
      <c r="C1969" s="73"/>
      <c r="D1969" s="95"/>
      <c r="E1969" s="73"/>
      <c r="F1969" s="73"/>
      <c r="G1969" s="73"/>
      <c r="H1969" s="73"/>
      <c r="I1969" s="95"/>
      <c r="J1969" s="73"/>
      <c r="K1969" s="95"/>
      <c r="L1969" s="95"/>
      <c r="M1969" s="22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</row>
    <row r="1970">
      <c r="A1970" s="26"/>
      <c r="B1970" s="73"/>
      <c r="C1970" s="73"/>
      <c r="D1970" s="95"/>
      <c r="E1970" s="73"/>
      <c r="F1970" s="73"/>
      <c r="G1970" s="73"/>
      <c r="H1970" s="73"/>
      <c r="I1970" s="95"/>
      <c r="J1970" s="73"/>
      <c r="K1970" s="95"/>
      <c r="L1970" s="95"/>
      <c r="M1970" s="22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</row>
    <row r="1971">
      <c r="A1971" s="26"/>
      <c r="B1971" s="73"/>
      <c r="C1971" s="73"/>
      <c r="D1971" s="95"/>
      <c r="E1971" s="73"/>
      <c r="F1971" s="73"/>
      <c r="G1971" s="73"/>
      <c r="H1971" s="73"/>
      <c r="I1971" s="95"/>
      <c r="J1971" s="73"/>
      <c r="K1971" s="95"/>
      <c r="L1971" s="95"/>
      <c r="M1971" s="22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</row>
    <row r="1972">
      <c r="A1972" s="26"/>
      <c r="B1972" s="73"/>
      <c r="C1972" s="73"/>
      <c r="D1972" s="95"/>
      <c r="E1972" s="73"/>
      <c r="F1972" s="73"/>
      <c r="G1972" s="73"/>
      <c r="H1972" s="73"/>
      <c r="I1972" s="95"/>
      <c r="J1972" s="73"/>
      <c r="K1972" s="95"/>
      <c r="L1972" s="95"/>
      <c r="M1972" s="22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</row>
    <row r="1973">
      <c r="A1973" s="26"/>
      <c r="B1973" s="73"/>
      <c r="C1973" s="73"/>
      <c r="D1973" s="95"/>
      <c r="E1973" s="73"/>
      <c r="F1973" s="73"/>
      <c r="G1973" s="73"/>
      <c r="H1973" s="73"/>
      <c r="I1973" s="95"/>
      <c r="J1973" s="73"/>
      <c r="K1973" s="95"/>
      <c r="L1973" s="95"/>
      <c r="M1973" s="22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</row>
    <row r="1974">
      <c r="A1974" s="26"/>
      <c r="B1974" s="73"/>
      <c r="C1974" s="73"/>
      <c r="D1974" s="95"/>
      <c r="E1974" s="73"/>
      <c r="F1974" s="73"/>
      <c r="G1974" s="73"/>
      <c r="H1974" s="73"/>
      <c r="I1974" s="95"/>
      <c r="J1974" s="73"/>
      <c r="K1974" s="95"/>
      <c r="L1974" s="95"/>
      <c r="M1974" s="22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</row>
    <row r="1975">
      <c r="A1975" s="26"/>
      <c r="B1975" s="73"/>
      <c r="C1975" s="73"/>
      <c r="D1975" s="95"/>
      <c r="E1975" s="73"/>
      <c r="F1975" s="73"/>
      <c r="G1975" s="73"/>
      <c r="H1975" s="73"/>
      <c r="I1975" s="95"/>
      <c r="J1975" s="73"/>
      <c r="K1975" s="95"/>
      <c r="L1975" s="95"/>
      <c r="M1975" s="22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</row>
    <row r="1976">
      <c r="A1976" s="26"/>
      <c r="B1976" s="73"/>
      <c r="C1976" s="73"/>
      <c r="D1976" s="95"/>
      <c r="E1976" s="73"/>
      <c r="F1976" s="73"/>
      <c r="G1976" s="73"/>
      <c r="H1976" s="73"/>
      <c r="I1976" s="95"/>
      <c r="J1976" s="73"/>
      <c r="K1976" s="95"/>
      <c r="L1976" s="95"/>
      <c r="M1976" s="22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</row>
    <row r="1977">
      <c r="A1977" s="26"/>
      <c r="B1977" s="73"/>
      <c r="C1977" s="73"/>
      <c r="D1977" s="95"/>
      <c r="E1977" s="73"/>
      <c r="F1977" s="73"/>
      <c r="G1977" s="73"/>
      <c r="H1977" s="73"/>
      <c r="I1977" s="95"/>
      <c r="J1977" s="73"/>
      <c r="K1977" s="95"/>
      <c r="L1977" s="95"/>
      <c r="M1977" s="22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</row>
    <row r="1978">
      <c r="A1978" s="26"/>
      <c r="B1978" s="73"/>
      <c r="C1978" s="73"/>
      <c r="D1978" s="95"/>
      <c r="E1978" s="73"/>
      <c r="F1978" s="73"/>
      <c r="G1978" s="73"/>
      <c r="H1978" s="73"/>
      <c r="I1978" s="95"/>
      <c r="J1978" s="73"/>
      <c r="K1978" s="95"/>
      <c r="L1978" s="95"/>
      <c r="M1978" s="22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</row>
    <row r="1979">
      <c r="A1979" s="26"/>
      <c r="B1979" s="73"/>
      <c r="C1979" s="73"/>
      <c r="D1979" s="95"/>
      <c r="E1979" s="73"/>
      <c r="F1979" s="73"/>
      <c r="G1979" s="73"/>
      <c r="H1979" s="73"/>
      <c r="I1979" s="95"/>
      <c r="J1979" s="73"/>
      <c r="K1979" s="95"/>
      <c r="L1979" s="95"/>
      <c r="M1979" s="22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</row>
    <row r="1980">
      <c r="A1980" s="26"/>
      <c r="B1980" s="73"/>
      <c r="C1980" s="73"/>
      <c r="D1980" s="95"/>
      <c r="E1980" s="73"/>
      <c r="F1980" s="73"/>
      <c r="G1980" s="73"/>
      <c r="H1980" s="73"/>
      <c r="I1980" s="95"/>
      <c r="J1980" s="73"/>
      <c r="K1980" s="95"/>
      <c r="L1980" s="95"/>
      <c r="M1980" s="22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</row>
    <row r="1981">
      <c r="A1981" s="26"/>
      <c r="B1981" s="73"/>
      <c r="C1981" s="73"/>
      <c r="D1981" s="95"/>
      <c r="E1981" s="73"/>
      <c r="F1981" s="73"/>
      <c r="G1981" s="73"/>
      <c r="H1981" s="73"/>
      <c r="I1981" s="95"/>
      <c r="J1981" s="73"/>
      <c r="K1981" s="95"/>
      <c r="L1981" s="95"/>
      <c r="M1981" s="22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</row>
    <row r="1982">
      <c r="A1982" s="26"/>
      <c r="B1982" s="73"/>
      <c r="C1982" s="73"/>
      <c r="D1982" s="95"/>
      <c r="E1982" s="73"/>
      <c r="F1982" s="73"/>
      <c r="G1982" s="73"/>
      <c r="H1982" s="73"/>
      <c r="I1982" s="95"/>
      <c r="J1982" s="73"/>
      <c r="K1982" s="95"/>
      <c r="L1982" s="95"/>
      <c r="M1982" s="22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</row>
    <row r="1983">
      <c r="A1983" s="26"/>
      <c r="B1983" s="73"/>
      <c r="C1983" s="73"/>
      <c r="D1983" s="95"/>
      <c r="E1983" s="73"/>
      <c r="F1983" s="73"/>
      <c r="G1983" s="73"/>
      <c r="H1983" s="73"/>
      <c r="I1983" s="95"/>
      <c r="J1983" s="73"/>
      <c r="K1983" s="95"/>
      <c r="L1983" s="95"/>
      <c r="M1983" s="22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</row>
    <row r="1984">
      <c r="A1984" s="26"/>
      <c r="B1984" s="73"/>
      <c r="C1984" s="73"/>
      <c r="D1984" s="95"/>
      <c r="E1984" s="73"/>
      <c r="F1984" s="73"/>
      <c r="G1984" s="73"/>
      <c r="H1984" s="73"/>
      <c r="I1984" s="95"/>
      <c r="J1984" s="73"/>
      <c r="K1984" s="95"/>
      <c r="L1984" s="95"/>
      <c r="M1984" s="22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</row>
    <row r="1985">
      <c r="A1985" s="26"/>
      <c r="B1985" s="73"/>
      <c r="C1985" s="73"/>
      <c r="D1985" s="95"/>
      <c r="E1985" s="73"/>
      <c r="F1985" s="73"/>
      <c r="G1985" s="73"/>
      <c r="H1985" s="73"/>
      <c r="I1985" s="95"/>
      <c r="J1985" s="73"/>
      <c r="K1985" s="95"/>
      <c r="L1985" s="95"/>
      <c r="M1985" s="22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</row>
    <row r="1986">
      <c r="A1986" s="26"/>
      <c r="B1986" s="73"/>
      <c r="C1986" s="73"/>
      <c r="D1986" s="95"/>
      <c r="E1986" s="73"/>
      <c r="F1986" s="73"/>
      <c r="G1986" s="73"/>
      <c r="H1986" s="73"/>
      <c r="I1986" s="95"/>
      <c r="J1986" s="73"/>
      <c r="K1986" s="95"/>
      <c r="L1986" s="95"/>
      <c r="M1986" s="22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</row>
    <row r="1987">
      <c r="A1987" s="26"/>
      <c r="B1987" s="73"/>
      <c r="C1987" s="73"/>
      <c r="D1987" s="95"/>
      <c r="E1987" s="73"/>
      <c r="F1987" s="73"/>
      <c r="G1987" s="73"/>
      <c r="H1987" s="73"/>
      <c r="I1987" s="95"/>
      <c r="J1987" s="73"/>
      <c r="K1987" s="95"/>
      <c r="L1987" s="95"/>
      <c r="M1987" s="22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</row>
    <row r="1988">
      <c r="A1988" s="26"/>
      <c r="B1988" s="73"/>
      <c r="C1988" s="73"/>
      <c r="D1988" s="95"/>
      <c r="E1988" s="73"/>
      <c r="F1988" s="73"/>
      <c r="G1988" s="73"/>
      <c r="H1988" s="73"/>
      <c r="I1988" s="95"/>
      <c r="J1988" s="73"/>
      <c r="K1988" s="95"/>
      <c r="L1988" s="95"/>
      <c r="M1988" s="22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</row>
    <row r="1989">
      <c r="A1989" s="26"/>
      <c r="B1989" s="73"/>
      <c r="C1989" s="73"/>
      <c r="D1989" s="95"/>
      <c r="E1989" s="73"/>
      <c r="F1989" s="73"/>
      <c r="G1989" s="73"/>
      <c r="H1989" s="73"/>
      <c r="I1989" s="95"/>
      <c r="J1989" s="73"/>
      <c r="K1989" s="95"/>
      <c r="L1989" s="95"/>
      <c r="M1989" s="22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</row>
    <row r="1990">
      <c r="A1990" s="26"/>
      <c r="B1990" s="73"/>
      <c r="C1990" s="73"/>
      <c r="D1990" s="95"/>
      <c r="E1990" s="73"/>
      <c r="F1990" s="73"/>
      <c r="G1990" s="73"/>
      <c r="H1990" s="73"/>
      <c r="I1990" s="95"/>
      <c r="J1990" s="73"/>
      <c r="K1990" s="95"/>
      <c r="L1990" s="95"/>
      <c r="M1990" s="22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</row>
    <row r="1991">
      <c r="A1991" s="26"/>
      <c r="B1991" s="73"/>
      <c r="C1991" s="73"/>
      <c r="D1991" s="95"/>
      <c r="E1991" s="73"/>
      <c r="F1991" s="73"/>
      <c r="G1991" s="73"/>
      <c r="H1991" s="73"/>
      <c r="I1991" s="95"/>
      <c r="J1991" s="73"/>
      <c r="K1991" s="95"/>
      <c r="L1991" s="95"/>
      <c r="M1991" s="22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</row>
    <row r="1992">
      <c r="A1992" s="26"/>
      <c r="B1992" s="73"/>
      <c r="C1992" s="73"/>
      <c r="D1992" s="95"/>
      <c r="E1992" s="73"/>
      <c r="F1992" s="73"/>
      <c r="G1992" s="73"/>
      <c r="H1992" s="73"/>
      <c r="I1992" s="95"/>
      <c r="J1992" s="73"/>
      <c r="K1992" s="95"/>
      <c r="L1992" s="95"/>
      <c r="M1992" s="22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</row>
    <row r="1993">
      <c r="A1993" s="26"/>
      <c r="B1993" s="73"/>
      <c r="C1993" s="73"/>
      <c r="D1993" s="95"/>
      <c r="E1993" s="73"/>
      <c r="F1993" s="73"/>
      <c r="G1993" s="73"/>
      <c r="H1993" s="73"/>
      <c r="I1993" s="95"/>
      <c r="J1993" s="73"/>
      <c r="K1993" s="95"/>
      <c r="L1993" s="95"/>
      <c r="M1993" s="22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</row>
    <row r="1994">
      <c r="A1994" s="26"/>
      <c r="B1994" s="73"/>
      <c r="C1994" s="73"/>
      <c r="D1994" s="95"/>
      <c r="E1994" s="73"/>
      <c r="F1994" s="73"/>
      <c r="G1994" s="73"/>
      <c r="H1994" s="73"/>
      <c r="I1994" s="95"/>
      <c r="J1994" s="73"/>
      <c r="K1994" s="95"/>
      <c r="L1994" s="95"/>
      <c r="M1994" s="22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</row>
    <row r="1995">
      <c r="A1995" s="26"/>
      <c r="B1995" s="73"/>
      <c r="C1995" s="73"/>
      <c r="D1995" s="95"/>
      <c r="E1995" s="73"/>
      <c r="F1995" s="73"/>
      <c r="G1995" s="73"/>
      <c r="H1995" s="73"/>
      <c r="I1995" s="95"/>
      <c r="J1995" s="73"/>
      <c r="K1995" s="95"/>
      <c r="L1995" s="95"/>
      <c r="M1995" s="22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</row>
    <row r="1996">
      <c r="A1996" s="26"/>
      <c r="B1996" s="73"/>
      <c r="C1996" s="73"/>
      <c r="D1996" s="95"/>
      <c r="E1996" s="73"/>
      <c r="F1996" s="73"/>
      <c r="G1996" s="73"/>
      <c r="H1996" s="73"/>
      <c r="I1996" s="95"/>
      <c r="J1996" s="73"/>
      <c r="K1996" s="95"/>
      <c r="L1996" s="95"/>
      <c r="M1996" s="22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</row>
    <row r="1997">
      <c r="A1997" s="26"/>
      <c r="B1997" s="73"/>
      <c r="C1997" s="73"/>
      <c r="D1997" s="95"/>
      <c r="E1997" s="73"/>
      <c r="F1997" s="73"/>
      <c r="G1997" s="73"/>
      <c r="H1997" s="73"/>
      <c r="I1997" s="95"/>
      <c r="J1997" s="73"/>
      <c r="K1997" s="95"/>
      <c r="L1997" s="95"/>
      <c r="M1997" s="22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</row>
    <row r="1998">
      <c r="A1998" s="26"/>
      <c r="B1998" s="73"/>
      <c r="C1998" s="73"/>
      <c r="D1998" s="95"/>
      <c r="E1998" s="73"/>
      <c r="F1998" s="73"/>
      <c r="G1998" s="73"/>
      <c r="H1998" s="73"/>
      <c r="I1998" s="95"/>
      <c r="J1998" s="73"/>
      <c r="K1998" s="95"/>
      <c r="L1998" s="95"/>
      <c r="M1998" s="22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</row>
    <row r="1999">
      <c r="A1999" s="26"/>
      <c r="B1999" s="73"/>
      <c r="C1999" s="73"/>
      <c r="D1999" s="95"/>
      <c r="E1999" s="73"/>
      <c r="F1999" s="73"/>
      <c r="G1999" s="73"/>
      <c r="H1999" s="73"/>
      <c r="I1999" s="95"/>
      <c r="J1999" s="73"/>
      <c r="K1999" s="95"/>
      <c r="L1999" s="95"/>
      <c r="M1999" s="22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</row>
    <row r="2000">
      <c r="A2000" s="26"/>
      <c r="B2000" s="73"/>
      <c r="C2000" s="73"/>
      <c r="D2000" s="95"/>
      <c r="E2000" s="73"/>
      <c r="F2000" s="73"/>
      <c r="G2000" s="73"/>
      <c r="H2000" s="73"/>
      <c r="I2000" s="95"/>
      <c r="J2000" s="73"/>
      <c r="K2000" s="95"/>
      <c r="L2000" s="95"/>
      <c r="M2000" s="22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</row>
    <row r="2001">
      <c r="A2001" s="26"/>
      <c r="B2001" s="73"/>
      <c r="C2001" s="73"/>
      <c r="D2001" s="95"/>
      <c r="E2001" s="73"/>
      <c r="F2001" s="73"/>
      <c r="G2001" s="73"/>
      <c r="H2001" s="73"/>
      <c r="I2001" s="95"/>
      <c r="J2001" s="73"/>
      <c r="K2001" s="95"/>
      <c r="L2001" s="95"/>
      <c r="M2001" s="22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</row>
    <row r="2002">
      <c r="A2002" s="26"/>
      <c r="B2002" s="73"/>
      <c r="C2002" s="73"/>
      <c r="D2002" s="95"/>
      <c r="E2002" s="73"/>
      <c r="F2002" s="73"/>
      <c r="G2002" s="73"/>
      <c r="H2002" s="73"/>
      <c r="I2002" s="95"/>
      <c r="J2002" s="73"/>
      <c r="K2002" s="95"/>
      <c r="L2002" s="95"/>
      <c r="M2002" s="22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</row>
    <row r="2003">
      <c r="A2003" s="26"/>
      <c r="B2003" s="73"/>
      <c r="C2003" s="73"/>
      <c r="D2003" s="95"/>
      <c r="E2003" s="73"/>
      <c r="F2003" s="73"/>
      <c r="G2003" s="73"/>
      <c r="H2003" s="73"/>
      <c r="I2003" s="95"/>
      <c r="J2003" s="73"/>
      <c r="K2003" s="95"/>
      <c r="L2003" s="95"/>
      <c r="M2003" s="22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</row>
    <row r="2004">
      <c r="A2004" s="26"/>
      <c r="B2004" s="73"/>
      <c r="C2004" s="73"/>
      <c r="D2004" s="95"/>
      <c r="E2004" s="73"/>
      <c r="F2004" s="73"/>
      <c r="G2004" s="73"/>
      <c r="H2004" s="73"/>
      <c r="I2004" s="95"/>
      <c r="J2004" s="73"/>
      <c r="K2004" s="95"/>
      <c r="L2004" s="95"/>
      <c r="M2004" s="22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</row>
    <row r="2005">
      <c r="A2005" s="26"/>
      <c r="B2005" s="73"/>
      <c r="C2005" s="73"/>
      <c r="D2005" s="95"/>
      <c r="E2005" s="73"/>
      <c r="F2005" s="73"/>
      <c r="G2005" s="73"/>
      <c r="H2005" s="73"/>
      <c r="I2005" s="95"/>
      <c r="J2005" s="73"/>
      <c r="K2005" s="95"/>
      <c r="L2005" s="95"/>
      <c r="M2005" s="22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</row>
    <row r="2006">
      <c r="A2006" s="26"/>
      <c r="B2006" s="73"/>
      <c r="C2006" s="73"/>
      <c r="D2006" s="95"/>
      <c r="E2006" s="73"/>
      <c r="F2006" s="73"/>
      <c r="G2006" s="73"/>
      <c r="H2006" s="73"/>
      <c r="I2006" s="95"/>
      <c r="J2006" s="73"/>
      <c r="K2006" s="95"/>
      <c r="L2006" s="95"/>
      <c r="M2006" s="22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</row>
    <row r="2007">
      <c r="A2007" s="26"/>
      <c r="B2007" s="73"/>
      <c r="C2007" s="73"/>
      <c r="D2007" s="95"/>
      <c r="E2007" s="73"/>
      <c r="F2007" s="73"/>
      <c r="G2007" s="73"/>
      <c r="H2007" s="73"/>
      <c r="I2007" s="95"/>
      <c r="J2007" s="73"/>
      <c r="K2007" s="95"/>
      <c r="L2007" s="95"/>
      <c r="M2007" s="22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</row>
    <row r="2008">
      <c r="A2008" s="26"/>
      <c r="B2008" s="73"/>
      <c r="C2008" s="73"/>
      <c r="D2008" s="95"/>
      <c r="E2008" s="73"/>
      <c r="F2008" s="73"/>
      <c r="G2008" s="73"/>
      <c r="H2008" s="73"/>
      <c r="I2008" s="95"/>
      <c r="J2008" s="73"/>
      <c r="K2008" s="95"/>
      <c r="L2008" s="95"/>
      <c r="M2008" s="22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</row>
    <row r="2009">
      <c r="A2009" s="26"/>
      <c r="B2009" s="73"/>
      <c r="C2009" s="73"/>
      <c r="D2009" s="95"/>
      <c r="E2009" s="73"/>
      <c r="F2009" s="73"/>
      <c r="G2009" s="73"/>
      <c r="H2009" s="73"/>
      <c r="I2009" s="95"/>
      <c r="J2009" s="73"/>
      <c r="K2009" s="95"/>
      <c r="L2009" s="95"/>
      <c r="M2009" s="22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</row>
    <row r="2010">
      <c r="A2010" s="26"/>
      <c r="B2010" s="73"/>
      <c r="C2010" s="73"/>
      <c r="D2010" s="95"/>
      <c r="E2010" s="73"/>
      <c r="F2010" s="73"/>
      <c r="G2010" s="73"/>
      <c r="H2010" s="73"/>
      <c r="I2010" s="95"/>
      <c r="J2010" s="73"/>
      <c r="K2010" s="95"/>
      <c r="L2010" s="95"/>
      <c r="M2010" s="22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</row>
    <row r="2011">
      <c r="A2011" s="26"/>
      <c r="B2011" s="73"/>
      <c r="C2011" s="73"/>
      <c r="D2011" s="95"/>
      <c r="E2011" s="73"/>
      <c r="F2011" s="73"/>
      <c r="G2011" s="73"/>
      <c r="H2011" s="73"/>
      <c r="I2011" s="95"/>
      <c r="J2011" s="73"/>
      <c r="K2011" s="95"/>
      <c r="L2011" s="95"/>
      <c r="M2011" s="22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</row>
    <row r="2012">
      <c r="A2012" s="26"/>
      <c r="B2012" s="73"/>
      <c r="C2012" s="73"/>
      <c r="D2012" s="95"/>
      <c r="E2012" s="73"/>
      <c r="F2012" s="73"/>
      <c r="G2012" s="73"/>
      <c r="H2012" s="73"/>
      <c r="I2012" s="95"/>
      <c r="J2012" s="73"/>
      <c r="K2012" s="95"/>
      <c r="L2012" s="95"/>
      <c r="M2012" s="22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</row>
    <row r="2013">
      <c r="A2013" s="26"/>
      <c r="B2013" s="73"/>
      <c r="C2013" s="73"/>
      <c r="D2013" s="95"/>
      <c r="E2013" s="73"/>
      <c r="F2013" s="73"/>
      <c r="G2013" s="73"/>
      <c r="H2013" s="73"/>
      <c r="I2013" s="95"/>
      <c r="J2013" s="73"/>
      <c r="K2013" s="95"/>
      <c r="L2013" s="95"/>
      <c r="M2013" s="22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</row>
    <row r="2014">
      <c r="A2014" s="26"/>
      <c r="B2014" s="73"/>
      <c r="C2014" s="73"/>
      <c r="D2014" s="95"/>
      <c r="E2014" s="73"/>
      <c r="F2014" s="73"/>
      <c r="G2014" s="73"/>
      <c r="H2014" s="73"/>
      <c r="I2014" s="95"/>
      <c r="J2014" s="73"/>
      <c r="K2014" s="95"/>
      <c r="L2014" s="95"/>
      <c r="M2014" s="22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</row>
    <row r="2015">
      <c r="A2015" s="26"/>
      <c r="B2015" s="73"/>
      <c r="C2015" s="73"/>
      <c r="D2015" s="95"/>
      <c r="E2015" s="73"/>
      <c r="F2015" s="73"/>
      <c r="G2015" s="73"/>
      <c r="H2015" s="73"/>
      <c r="I2015" s="95"/>
      <c r="J2015" s="73"/>
      <c r="K2015" s="95"/>
      <c r="L2015" s="95"/>
      <c r="M2015" s="22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</row>
    <row r="2016">
      <c r="A2016" s="26"/>
      <c r="B2016" s="73"/>
      <c r="C2016" s="73"/>
      <c r="D2016" s="95"/>
      <c r="E2016" s="73"/>
      <c r="F2016" s="73"/>
      <c r="G2016" s="73"/>
      <c r="H2016" s="73"/>
      <c r="I2016" s="95"/>
      <c r="J2016" s="73"/>
      <c r="K2016" s="95"/>
      <c r="L2016" s="95"/>
      <c r="M2016" s="22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</row>
    <row r="2017">
      <c r="A2017" s="26"/>
      <c r="B2017" s="73"/>
      <c r="C2017" s="73"/>
      <c r="D2017" s="95"/>
      <c r="E2017" s="73"/>
      <c r="F2017" s="73"/>
      <c r="G2017" s="73"/>
      <c r="H2017" s="73"/>
      <c r="I2017" s="95"/>
      <c r="J2017" s="73"/>
      <c r="K2017" s="95"/>
      <c r="L2017" s="95"/>
      <c r="M2017" s="22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</row>
    <row r="2018">
      <c r="A2018" s="26"/>
      <c r="B2018" s="73"/>
      <c r="C2018" s="73"/>
      <c r="D2018" s="95"/>
      <c r="E2018" s="73"/>
      <c r="F2018" s="73"/>
      <c r="G2018" s="73"/>
      <c r="H2018" s="73"/>
      <c r="I2018" s="95"/>
      <c r="J2018" s="73"/>
      <c r="K2018" s="95"/>
      <c r="L2018" s="95"/>
      <c r="M2018" s="22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</row>
    <row r="2019">
      <c r="A2019" s="26"/>
      <c r="B2019" s="73"/>
      <c r="C2019" s="73"/>
      <c r="D2019" s="95"/>
      <c r="E2019" s="73"/>
      <c r="F2019" s="73"/>
      <c r="G2019" s="73"/>
      <c r="H2019" s="73"/>
      <c r="I2019" s="95"/>
      <c r="J2019" s="73"/>
      <c r="K2019" s="95"/>
      <c r="L2019" s="95"/>
      <c r="M2019" s="22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</row>
    <row r="2020">
      <c r="A2020" s="26"/>
      <c r="B2020" s="73"/>
      <c r="C2020" s="73"/>
      <c r="D2020" s="95"/>
      <c r="E2020" s="73"/>
      <c r="F2020" s="73"/>
      <c r="G2020" s="73"/>
      <c r="H2020" s="73"/>
      <c r="I2020" s="95"/>
      <c r="J2020" s="73"/>
      <c r="K2020" s="95"/>
      <c r="L2020" s="95"/>
      <c r="M2020" s="22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</row>
    <row r="2021">
      <c r="A2021" s="26"/>
      <c r="B2021" s="73"/>
      <c r="C2021" s="73"/>
      <c r="D2021" s="95"/>
      <c r="E2021" s="73"/>
      <c r="F2021" s="73"/>
      <c r="G2021" s="73"/>
      <c r="H2021" s="73"/>
      <c r="I2021" s="95"/>
      <c r="J2021" s="73"/>
      <c r="K2021" s="95"/>
      <c r="L2021" s="95"/>
      <c r="M2021" s="22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</row>
    <row r="2022">
      <c r="A2022" s="26"/>
      <c r="B2022" s="73"/>
      <c r="C2022" s="73"/>
      <c r="D2022" s="95"/>
      <c r="E2022" s="73"/>
      <c r="F2022" s="73"/>
      <c r="G2022" s="73"/>
      <c r="H2022" s="73"/>
      <c r="I2022" s="95"/>
      <c r="J2022" s="73"/>
      <c r="K2022" s="95"/>
      <c r="L2022" s="95"/>
      <c r="M2022" s="22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</row>
    <row r="2023">
      <c r="A2023" s="26"/>
      <c r="B2023" s="73"/>
      <c r="C2023" s="73"/>
      <c r="D2023" s="95"/>
      <c r="E2023" s="73"/>
      <c r="F2023" s="73"/>
      <c r="G2023" s="73"/>
      <c r="H2023" s="73"/>
      <c r="I2023" s="95"/>
      <c r="J2023" s="73"/>
      <c r="K2023" s="95"/>
      <c r="L2023" s="95"/>
      <c r="M2023" s="22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</row>
    <row r="2024">
      <c r="A2024" s="26"/>
      <c r="B2024" s="73"/>
      <c r="C2024" s="73"/>
      <c r="D2024" s="95"/>
      <c r="E2024" s="73"/>
      <c r="F2024" s="73"/>
      <c r="G2024" s="73"/>
      <c r="H2024" s="73"/>
      <c r="I2024" s="95"/>
      <c r="J2024" s="73"/>
      <c r="K2024" s="95"/>
      <c r="L2024" s="95"/>
      <c r="M2024" s="22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</row>
    <row r="2025">
      <c r="A2025" s="26"/>
      <c r="B2025" s="73"/>
      <c r="C2025" s="73"/>
      <c r="D2025" s="95"/>
      <c r="E2025" s="73"/>
      <c r="F2025" s="73"/>
      <c r="G2025" s="73"/>
      <c r="H2025" s="73"/>
      <c r="I2025" s="95"/>
      <c r="J2025" s="73"/>
      <c r="K2025" s="95"/>
      <c r="L2025" s="95"/>
      <c r="M2025" s="22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</row>
    <row r="2026">
      <c r="A2026" s="26"/>
      <c r="B2026" s="73"/>
      <c r="C2026" s="73"/>
      <c r="D2026" s="95"/>
      <c r="E2026" s="73"/>
      <c r="F2026" s="73"/>
      <c r="G2026" s="73"/>
      <c r="H2026" s="73"/>
      <c r="I2026" s="95"/>
      <c r="J2026" s="73"/>
      <c r="K2026" s="95"/>
      <c r="L2026" s="95"/>
      <c r="M2026" s="22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</row>
    <row r="2027">
      <c r="A2027" s="26"/>
      <c r="B2027" s="73"/>
      <c r="C2027" s="73"/>
      <c r="D2027" s="95"/>
      <c r="E2027" s="73"/>
      <c r="F2027" s="73"/>
      <c r="G2027" s="73"/>
      <c r="H2027" s="73"/>
      <c r="I2027" s="95"/>
      <c r="J2027" s="73"/>
      <c r="K2027" s="95"/>
      <c r="L2027" s="95"/>
      <c r="M2027" s="22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</row>
    <row r="2028">
      <c r="A2028" s="26"/>
      <c r="B2028" s="73"/>
      <c r="C2028" s="73"/>
      <c r="D2028" s="95"/>
      <c r="E2028" s="73"/>
      <c r="F2028" s="73"/>
      <c r="G2028" s="73"/>
      <c r="H2028" s="73"/>
      <c r="I2028" s="95"/>
      <c r="J2028" s="73"/>
      <c r="K2028" s="95"/>
      <c r="L2028" s="95"/>
      <c r="M2028" s="22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</row>
    <row r="2029">
      <c r="A2029" s="26"/>
      <c r="B2029" s="73"/>
      <c r="C2029" s="73"/>
      <c r="D2029" s="95"/>
      <c r="E2029" s="73"/>
      <c r="F2029" s="73"/>
      <c r="G2029" s="73"/>
      <c r="H2029" s="73"/>
      <c r="I2029" s="95"/>
      <c r="J2029" s="73"/>
      <c r="K2029" s="95"/>
      <c r="L2029" s="95"/>
      <c r="M2029" s="22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</row>
    <row r="2030">
      <c r="A2030" s="26"/>
      <c r="B2030" s="73"/>
      <c r="C2030" s="73"/>
      <c r="D2030" s="95"/>
      <c r="E2030" s="73"/>
      <c r="F2030" s="73"/>
      <c r="G2030" s="73"/>
      <c r="H2030" s="73"/>
      <c r="I2030" s="95"/>
      <c r="J2030" s="73"/>
      <c r="K2030" s="95"/>
      <c r="L2030" s="95"/>
      <c r="M2030" s="22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</row>
    <row r="2031">
      <c r="A2031" s="26"/>
      <c r="B2031" s="73"/>
      <c r="C2031" s="73"/>
      <c r="D2031" s="95"/>
      <c r="E2031" s="73"/>
      <c r="F2031" s="73"/>
      <c r="G2031" s="73"/>
      <c r="H2031" s="73"/>
      <c r="I2031" s="95"/>
      <c r="J2031" s="73"/>
      <c r="K2031" s="95"/>
      <c r="L2031" s="95"/>
      <c r="M2031" s="22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</row>
    <row r="2032">
      <c r="A2032" s="26"/>
      <c r="B2032" s="73"/>
      <c r="C2032" s="73"/>
      <c r="D2032" s="95"/>
      <c r="E2032" s="73"/>
      <c r="F2032" s="73"/>
      <c r="G2032" s="73"/>
      <c r="H2032" s="73"/>
      <c r="I2032" s="95"/>
      <c r="J2032" s="73"/>
      <c r="K2032" s="95"/>
      <c r="L2032" s="95"/>
      <c r="M2032" s="22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</row>
    <row r="2033">
      <c r="A2033" s="26"/>
      <c r="B2033" s="73"/>
      <c r="C2033" s="73"/>
      <c r="D2033" s="95"/>
      <c r="E2033" s="73"/>
      <c r="F2033" s="73"/>
      <c r="G2033" s="73"/>
      <c r="H2033" s="73"/>
      <c r="I2033" s="95"/>
      <c r="J2033" s="73"/>
      <c r="K2033" s="95"/>
      <c r="L2033" s="95"/>
      <c r="M2033" s="22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</row>
    <row r="2034">
      <c r="A2034" s="26"/>
      <c r="B2034" s="73"/>
      <c r="C2034" s="73"/>
      <c r="D2034" s="95"/>
      <c r="E2034" s="73"/>
      <c r="F2034" s="73"/>
      <c r="G2034" s="73"/>
      <c r="H2034" s="73"/>
      <c r="I2034" s="95"/>
      <c r="J2034" s="73"/>
      <c r="K2034" s="95"/>
      <c r="L2034" s="95"/>
      <c r="M2034" s="22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</row>
    <row r="2035">
      <c r="A2035" s="26"/>
      <c r="B2035" s="73"/>
      <c r="C2035" s="73"/>
      <c r="D2035" s="95"/>
      <c r="E2035" s="73"/>
      <c r="F2035" s="73"/>
      <c r="G2035" s="73"/>
      <c r="H2035" s="73"/>
      <c r="I2035" s="95"/>
      <c r="J2035" s="73"/>
      <c r="K2035" s="95"/>
      <c r="L2035" s="95"/>
      <c r="M2035" s="22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</row>
    <row r="2036">
      <c r="A2036" s="26"/>
      <c r="B2036" s="73"/>
      <c r="C2036" s="73"/>
      <c r="D2036" s="95"/>
      <c r="E2036" s="73"/>
      <c r="F2036" s="73"/>
      <c r="G2036" s="73"/>
      <c r="H2036" s="73"/>
      <c r="I2036" s="95"/>
      <c r="J2036" s="73"/>
      <c r="K2036" s="95"/>
      <c r="L2036" s="95"/>
      <c r="M2036" s="22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</row>
    <row r="2037">
      <c r="A2037" s="26"/>
      <c r="B2037" s="73"/>
      <c r="C2037" s="73"/>
      <c r="D2037" s="95"/>
      <c r="E2037" s="73"/>
      <c r="F2037" s="73"/>
      <c r="G2037" s="73"/>
      <c r="H2037" s="73"/>
      <c r="I2037" s="95"/>
      <c r="J2037" s="73"/>
      <c r="K2037" s="95"/>
      <c r="L2037" s="95"/>
      <c r="M2037" s="22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</row>
    <row r="2038">
      <c r="A2038" s="26"/>
      <c r="B2038" s="73"/>
      <c r="C2038" s="73"/>
      <c r="D2038" s="95"/>
      <c r="E2038" s="73"/>
      <c r="F2038" s="73"/>
      <c r="G2038" s="73"/>
      <c r="H2038" s="73"/>
      <c r="I2038" s="95"/>
      <c r="J2038" s="73"/>
      <c r="K2038" s="95"/>
      <c r="L2038" s="95"/>
      <c r="M2038" s="22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</row>
    <row r="2039">
      <c r="A2039" s="26"/>
      <c r="B2039" s="73"/>
      <c r="C2039" s="73"/>
      <c r="D2039" s="95"/>
      <c r="E2039" s="73"/>
      <c r="F2039" s="73"/>
      <c r="G2039" s="73"/>
      <c r="H2039" s="73"/>
      <c r="I2039" s="95"/>
      <c r="J2039" s="73"/>
      <c r="K2039" s="95"/>
      <c r="L2039" s="95"/>
      <c r="M2039" s="22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</row>
    <row r="2040">
      <c r="A2040" s="26"/>
      <c r="B2040" s="73"/>
      <c r="C2040" s="73"/>
      <c r="D2040" s="95"/>
      <c r="E2040" s="73"/>
      <c r="F2040" s="73"/>
      <c r="G2040" s="73"/>
      <c r="H2040" s="73"/>
      <c r="I2040" s="95"/>
      <c r="J2040" s="73"/>
      <c r="K2040" s="95"/>
      <c r="L2040" s="95"/>
      <c r="M2040" s="22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</row>
    <row r="2041">
      <c r="A2041" s="26"/>
      <c r="B2041" s="73"/>
      <c r="C2041" s="73"/>
      <c r="D2041" s="95"/>
      <c r="E2041" s="73"/>
      <c r="F2041" s="73"/>
      <c r="G2041" s="73"/>
      <c r="H2041" s="73"/>
      <c r="I2041" s="95"/>
      <c r="J2041" s="73"/>
      <c r="K2041" s="95"/>
      <c r="L2041" s="95"/>
      <c r="M2041" s="22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</row>
    <row r="2042">
      <c r="A2042" s="26"/>
      <c r="B2042" s="73"/>
      <c r="C2042" s="73"/>
      <c r="D2042" s="95"/>
      <c r="E2042" s="73"/>
      <c r="F2042" s="73"/>
      <c r="G2042" s="73"/>
      <c r="H2042" s="73"/>
      <c r="I2042" s="95"/>
      <c r="J2042" s="73"/>
      <c r="K2042" s="95"/>
      <c r="L2042" s="95"/>
      <c r="M2042" s="22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</row>
    <row r="2043">
      <c r="A2043" s="26"/>
      <c r="B2043" s="73"/>
      <c r="C2043" s="73"/>
      <c r="D2043" s="95"/>
      <c r="E2043" s="73"/>
      <c r="F2043" s="73"/>
      <c r="G2043" s="73"/>
      <c r="H2043" s="73"/>
      <c r="I2043" s="95"/>
      <c r="J2043" s="73"/>
      <c r="K2043" s="95"/>
      <c r="L2043" s="95"/>
      <c r="M2043" s="22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</row>
    <row r="2044">
      <c r="A2044" s="26"/>
      <c r="B2044" s="73"/>
      <c r="C2044" s="73"/>
      <c r="D2044" s="95"/>
      <c r="E2044" s="73"/>
      <c r="F2044" s="73"/>
      <c r="G2044" s="73"/>
      <c r="H2044" s="73"/>
      <c r="I2044" s="95"/>
      <c r="J2044" s="73"/>
      <c r="K2044" s="95"/>
      <c r="L2044" s="95"/>
      <c r="M2044" s="22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</row>
    <row r="2045">
      <c r="A2045" s="26"/>
      <c r="B2045" s="73"/>
      <c r="C2045" s="73"/>
      <c r="D2045" s="95"/>
      <c r="E2045" s="73"/>
      <c r="F2045" s="73"/>
      <c r="G2045" s="73"/>
      <c r="H2045" s="73"/>
      <c r="I2045" s="95"/>
      <c r="J2045" s="73"/>
      <c r="K2045" s="95"/>
      <c r="L2045" s="95"/>
      <c r="M2045" s="22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</row>
    <row r="2046">
      <c r="A2046" s="26"/>
      <c r="B2046" s="73"/>
      <c r="C2046" s="73"/>
      <c r="D2046" s="95"/>
      <c r="E2046" s="73"/>
      <c r="F2046" s="73"/>
      <c r="G2046" s="73"/>
      <c r="H2046" s="73"/>
      <c r="I2046" s="95"/>
      <c r="J2046" s="73"/>
      <c r="K2046" s="95"/>
      <c r="L2046" s="95"/>
      <c r="M2046" s="22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</row>
    <row r="2047">
      <c r="A2047" s="26"/>
      <c r="B2047" s="73"/>
      <c r="C2047" s="73"/>
      <c r="D2047" s="95"/>
      <c r="E2047" s="73"/>
      <c r="F2047" s="73"/>
      <c r="G2047" s="73"/>
      <c r="H2047" s="73"/>
      <c r="I2047" s="95"/>
      <c r="J2047" s="73"/>
      <c r="K2047" s="95"/>
      <c r="L2047" s="95"/>
      <c r="M2047" s="22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</row>
    <row r="2048">
      <c r="A2048" s="26"/>
      <c r="B2048" s="73"/>
      <c r="C2048" s="73"/>
      <c r="D2048" s="95"/>
      <c r="E2048" s="73"/>
      <c r="F2048" s="73"/>
      <c r="G2048" s="73"/>
      <c r="H2048" s="73"/>
      <c r="I2048" s="95"/>
      <c r="J2048" s="73"/>
      <c r="K2048" s="95"/>
      <c r="L2048" s="95"/>
      <c r="M2048" s="22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</row>
    <row r="2049">
      <c r="A2049" s="26"/>
      <c r="B2049" s="73"/>
      <c r="C2049" s="73"/>
      <c r="D2049" s="95"/>
      <c r="E2049" s="73"/>
      <c r="F2049" s="73"/>
      <c r="G2049" s="73"/>
      <c r="H2049" s="73"/>
      <c r="I2049" s="95"/>
      <c r="J2049" s="73"/>
      <c r="K2049" s="95"/>
      <c r="L2049" s="95"/>
      <c r="M2049" s="22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</row>
    <row r="2050">
      <c r="A2050" s="26"/>
      <c r="B2050" s="73"/>
      <c r="C2050" s="73"/>
      <c r="D2050" s="95"/>
      <c r="E2050" s="73"/>
      <c r="F2050" s="73"/>
      <c r="G2050" s="73"/>
      <c r="H2050" s="73"/>
      <c r="I2050" s="95"/>
      <c r="J2050" s="73"/>
      <c r="K2050" s="95"/>
      <c r="L2050" s="95"/>
      <c r="M2050" s="22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</row>
    <row r="2051">
      <c r="A2051" s="26"/>
      <c r="B2051" s="73"/>
      <c r="C2051" s="73"/>
      <c r="D2051" s="95"/>
      <c r="E2051" s="73"/>
      <c r="F2051" s="73"/>
      <c r="G2051" s="73"/>
      <c r="H2051" s="73"/>
      <c r="I2051" s="95"/>
      <c r="J2051" s="73"/>
      <c r="K2051" s="95"/>
      <c r="L2051" s="95"/>
      <c r="M2051" s="22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</row>
    <row r="2052">
      <c r="A2052" s="26"/>
      <c r="B2052" s="73"/>
      <c r="C2052" s="73"/>
      <c r="D2052" s="95"/>
      <c r="E2052" s="73"/>
      <c r="F2052" s="73"/>
      <c r="G2052" s="73"/>
      <c r="H2052" s="73"/>
      <c r="I2052" s="95"/>
      <c r="J2052" s="73"/>
      <c r="K2052" s="95"/>
      <c r="L2052" s="95"/>
      <c r="M2052" s="22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</row>
    <row r="2053">
      <c r="A2053" s="26"/>
      <c r="B2053" s="73"/>
      <c r="C2053" s="73"/>
      <c r="D2053" s="95"/>
      <c r="E2053" s="73"/>
      <c r="F2053" s="73"/>
      <c r="G2053" s="73"/>
      <c r="H2053" s="73"/>
      <c r="I2053" s="95"/>
      <c r="J2053" s="73"/>
      <c r="K2053" s="95"/>
      <c r="L2053" s="95"/>
      <c r="M2053" s="22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</row>
    <row r="2054">
      <c r="A2054" s="26"/>
      <c r="B2054" s="73"/>
      <c r="C2054" s="73"/>
      <c r="D2054" s="95"/>
      <c r="E2054" s="73"/>
      <c r="F2054" s="73"/>
      <c r="G2054" s="73"/>
      <c r="H2054" s="73"/>
      <c r="I2054" s="95"/>
      <c r="J2054" s="73"/>
      <c r="K2054" s="95"/>
      <c r="L2054" s="95"/>
      <c r="M2054" s="22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</row>
    <row r="2055">
      <c r="A2055" s="26"/>
      <c r="B2055" s="73"/>
      <c r="C2055" s="73"/>
      <c r="D2055" s="95"/>
      <c r="E2055" s="73"/>
      <c r="F2055" s="73"/>
      <c r="G2055" s="73"/>
      <c r="H2055" s="73"/>
      <c r="I2055" s="95"/>
      <c r="J2055" s="73"/>
      <c r="K2055" s="95"/>
      <c r="L2055" s="95"/>
      <c r="M2055" s="22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</row>
    <row r="2056">
      <c r="A2056" s="26"/>
      <c r="B2056" s="73"/>
      <c r="C2056" s="73"/>
      <c r="D2056" s="95"/>
      <c r="E2056" s="73"/>
      <c r="F2056" s="73"/>
      <c r="G2056" s="73"/>
      <c r="H2056" s="73"/>
      <c r="I2056" s="95"/>
      <c r="J2056" s="73"/>
      <c r="K2056" s="95"/>
      <c r="L2056" s="95"/>
      <c r="M2056" s="22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</row>
    <row r="2057">
      <c r="A2057" s="26"/>
      <c r="B2057" s="73"/>
      <c r="C2057" s="73"/>
      <c r="D2057" s="95"/>
      <c r="E2057" s="73"/>
      <c r="F2057" s="73"/>
      <c r="G2057" s="73"/>
      <c r="H2057" s="73"/>
      <c r="I2057" s="95"/>
      <c r="J2057" s="73"/>
      <c r="K2057" s="95"/>
      <c r="L2057" s="95"/>
      <c r="M2057" s="22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</row>
    <row r="2058">
      <c r="A2058" s="26"/>
      <c r="B2058" s="73"/>
      <c r="C2058" s="73"/>
      <c r="D2058" s="95"/>
      <c r="E2058" s="73"/>
      <c r="F2058" s="73"/>
      <c r="G2058" s="73"/>
      <c r="H2058" s="73"/>
      <c r="I2058" s="95"/>
      <c r="J2058" s="73"/>
      <c r="K2058" s="95"/>
      <c r="L2058" s="95"/>
      <c r="M2058" s="22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</row>
    <row r="2059">
      <c r="A2059" s="26"/>
      <c r="B2059" s="73"/>
      <c r="C2059" s="73"/>
      <c r="D2059" s="95"/>
      <c r="E2059" s="73"/>
      <c r="F2059" s="73"/>
      <c r="G2059" s="73"/>
      <c r="H2059" s="73"/>
      <c r="I2059" s="95"/>
      <c r="J2059" s="73"/>
      <c r="K2059" s="95"/>
      <c r="L2059" s="95"/>
      <c r="M2059" s="22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</row>
    <row r="2060">
      <c r="A2060" s="26"/>
      <c r="B2060" s="73"/>
      <c r="C2060" s="73"/>
      <c r="D2060" s="95"/>
      <c r="E2060" s="73"/>
      <c r="F2060" s="73"/>
      <c r="G2060" s="73"/>
      <c r="H2060" s="73"/>
      <c r="I2060" s="95"/>
      <c r="J2060" s="73"/>
      <c r="K2060" s="95"/>
      <c r="L2060" s="95"/>
      <c r="M2060" s="22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</row>
    <row r="2061">
      <c r="A2061" s="26"/>
      <c r="B2061" s="73"/>
      <c r="C2061" s="73"/>
      <c r="D2061" s="95"/>
      <c r="E2061" s="73"/>
      <c r="F2061" s="73"/>
      <c r="G2061" s="73"/>
      <c r="H2061" s="73"/>
      <c r="I2061" s="95"/>
      <c r="J2061" s="73"/>
      <c r="K2061" s="95"/>
      <c r="L2061" s="95"/>
      <c r="M2061" s="22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</row>
    <row r="2062">
      <c r="A2062" s="26"/>
      <c r="B2062" s="73"/>
      <c r="C2062" s="73"/>
      <c r="D2062" s="95"/>
      <c r="E2062" s="73"/>
      <c r="F2062" s="73"/>
      <c r="G2062" s="73"/>
      <c r="H2062" s="73"/>
      <c r="I2062" s="95"/>
      <c r="J2062" s="73"/>
      <c r="K2062" s="95"/>
      <c r="L2062" s="95"/>
      <c r="M2062" s="22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</row>
    <row r="2063">
      <c r="A2063" s="26"/>
      <c r="B2063" s="73"/>
      <c r="C2063" s="73"/>
      <c r="D2063" s="95"/>
      <c r="E2063" s="73"/>
      <c r="F2063" s="73"/>
      <c r="G2063" s="73"/>
      <c r="H2063" s="73"/>
      <c r="I2063" s="95"/>
      <c r="J2063" s="73"/>
      <c r="K2063" s="95"/>
      <c r="L2063" s="95"/>
      <c r="M2063" s="22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</row>
    <row r="2064">
      <c r="A2064" s="26"/>
      <c r="B2064" s="73"/>
      <c r="C2064" s="73"/>
      <c r="D2064" s="95"/>
      <c r="E2064" s="73"/>
      <c r="F2064" s="73"/>
      <c r="G2064" s="73"/>
      <c r="H2064" s="73"/>
      <c r="I2064" s="95"/>
      <c r="J2064" s="73"/>
      <c r="K2064" s="95"/>
      <c r="L2064" s="95"/>
      <c r="M2064" s="22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</row>
    <row r="2065">
      <c r="A2065" s="26"/>
      <c r="B2065" s="73"/>
      <c r="C2065" s="73"/>
      <c r="D2065" s="95"/>
      <c r="E2065" s="73"/>
      <c r="F2065" s="73"/>
      <c r="G2065" s="73"/>
      <c r="H2065" s="73"/>
      <c r="I2065" s="95"/>
      <c r="J2065" s="73"/>
      <c r="K2065" s="95"/>
      <c r="L2065" s="95"/>
      <c r="M2065" s="22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</row>
    <row r="2066">
      <c r="A2066" s="26"/>
      <c r="B2066" s="73"/>
      <c r="C2066" s="73"/>
      <c r="D2066" s="95"/>
      <c r="E2066" s="73"/>
      <c r="F2066" s="73"/>
      <c r="G2066" s="73"/>
      <c r="H2066" s="73"/>
      <c r="I2066" s="95"/>
      <c r="J2066" s="73"/>
      <c r="K2066" s="95"/>
      <c r="L2066" s="95"/>
      <c r="M2066" s="22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</row>
    <row r="2067">
      <c r="A2067" s="26"/>
      <c r="B2067" s="73"/>
      <c r="C2067" s="73"/>
      <c r="D2067" s="95"/>
      <c r="E2067" s="73"/>
      <c r="F2067" s="73"/>
      <c r="G2067" s="73"/>
      <c r="H2067" s="73"/>
      <c r="I2067" s="95"/>
      <c r="J2067" s="73"/>
      <c r="K2067" s="95"/>
      <c r="L2067" s="95"/>
      <c r="M2067" s="22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</row>
    <row r="2068">
      <c r="A2068" s="26"/>
      <c r="B2068" s="73"/>
      <c r="C2068" s="73"/>
      <c r="D2068" s="95"/>
      <c r="E2068" s="73"/>
      <c r="F2068" s="73"/>
      <c r="G2068" s="73"/>
      <c r="H2068" s="73"/>
      <c r="I2068" s="95"/>
      <c r="J2068" s="73"/>
      <c r="K2068" s="95"/>
      <c r="L2068" s="95"/>
      <c r="M2068" s="22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</row>
    <row r="2069">
      <c r="A2069" s="26"/>
      <c r="B2069" s="73"/>
      <c r="C2069" s="73"/>
      <c r="D2069" s="95"/>
      <c r="E2069" s="73"/>
      <c r="F2069" s="73"/>
      <c r="G2069" s="73"/>
      <c r="H2069" s="73"/>
      <c r="I2069" s="95"/>
      <c r="J2069" s="73"/>
      <c r="K2069" s="95"/>
      <c r="L2069" s="95"/>
      <c r="M2069" s="22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</row>
    <row r="2070">
      <c r="A2070" s="26"/>
      <c r="B2070" s="73"/>
      <c r="C2070" s="73"/>
      <c r="D2070" s="95"/>
      <c r="E2070" s="73"/>
      <c r="F2070" s="73"/>
      <c r="G2070" s="73"/>
      <c r="H2070" s="73"/>
      <c r="I2070" s="95"/>
      <c r="J2070" s="73"/>
      <c r="K2070" s="95"/>
      <c r="L2070" s="95"/>
      <c r="M2070" s="22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</row>
    <row r="2071">
      <c r="A2071" s="26"/>
      <c r="B2071" s="73"/>
      <c r="C2071" s="73"/>
      <c r="D2071" s="95"/>
      <c r="E2071" s="73"/>
      <c r="F2071" s="73"/>
      <c r="G2071" s="73"/>
      <c r="H2071" s="73"/>
      <c r="I2071" s="95"/>
      <c r="J2071" s="73"/>
      <c r="K2071" s="95"/>
      <c r="L2071" s="95"/>
      <c r="M2071" s="22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</row>
    <row r="2072">
      <c r="A2072" s="26"/>
      <c r="B2072" s="73"/>
      <c r="C2072" s="73"/>
      <c r="D2072" s="95"/>
      <c r="E2072" s="73"/>
      <c r="F2072" s="73"/>
      <c r="G2072" s="73"/>
      <c r="H2072" s="73"/>
      <c r="I2072" s="95"/>
      <c r="J2072" s="73"/>
      <c r="K2072" s="95"/>
      <c r="L2072" s="95"/>
      <c r="M2072" s="22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</row>
    <row r="2073">
      <c r="A2073" s="26"/>
      <c r="B2073" s="73"/>
      <c r="C2073" s="73"/>
      <c r="D2073" s="95"/>
      <c r="E2073" s="73"/>
      <c r="F2073" s="73"/>
      <c r="G2073" s="73"/>
      <c r="H2073" s="73"/>
      <c r="I2073" s="95"/>
      <c r="J2073" s="73"/>
      <c r="K2073" s="95"/>
      <c r="L2073" s="95"/>
      <c r="M2073" s="22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</row>
    <row r="2074">
      <c r="A2074" s="26"/>
      <c r="B2074" s="73"/>
      <c r="C2074" s="73"/>
      <c r="D2074" s="95"/>
      <c r="E2074" s="73"/>
      <c r="F2074" s="73"/>
      <c r="G2074" s="73"/>
      <c r="H2074" s="73"/>
      <c r="I2074" s="95"/>
      <c r="J2074" s="73"/>
      <c r="K2074" s="95"/>
      <c r="L2074" s="95"/>
      <c r="M2074" s="22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</row>
    <row r="2075">
      <c r="A2075" s="26"/>
      <c r="B2075" s="73"/>
      <c r="C2075" s="73"/>
      <c r="D2075" s="95"/>
      <c r="E2075" s="73"/>
      <c r="F2075" s="73"/>
      <c r="G2075" s="73"/>
      <c r="H2075" s="73"/>
      <c r="I2075" s="95"/>
      <c r="J2075" s="73"/>
      <c r="K2075" s="95"/>
      <c r="L2075" s="95"/>
      <c r="M2075" s="22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</row>
    <row r="2076">
      <c r="A2076" s="26"/>
      <c r="B2076" s="73"/>
      <c r="C2076" s="73"/>
      <c r="D2076" s="95"/>
      <c r="E2076" s="73"/>
      <c r="F2076" s="73"/>
      <c r="G2076" s="73"/>
      <c r="H2076" s="73"/>
      <c r="I2076" s="95"/>
      <c r="J2076" s="73"/>
      <c r="K2076" s="95"/>
      <c r="L2076" s="95"/>
      <c r="M2076" s="22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</row>
    <row r="2077">
      <c r="A2077" s="26"/>
      <c r="B2077" s="73"/>
      <c r="C2077" s="73"/>
      <c r="D2077" s="95"/>
      <c r="E2077" s="73"/>
      <c r="F2077" s="73"/>
      <c r="G2077" s="73"/>
      <c r="H2077" s="73"/>
      <c r="I2077" s="95"/>
      <c r="J2077" s="73"/>
      <c r="K2077" s="95"/>
      <c r="L2077" s="95"/>
      <c r="M2077" s="22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</row>
    <row r="2078">
      <c r="A2078" s="26"/>
      <c r="B2078" s="73"/>
      <c r="C2078" s="73"/>
      <c r="D2078" s="95"/>
      <c r="E2078" s="73"/>
      <c r="F2078" s="73"/>
      <c r="G2078" s="73"/>
      <c r="H2078" s="73"/>
      <c r="I2078" s="95"/>
      <c r="J2078" s="73"/>
      <c r="K2078" s="95"/>
      <c r="L2078" s="95"/>
      <c r="M2078" s="22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</row>
    <row r="2079">
      <c r="A2079" s="26"/>
      <c r="B2079" s="73"/>
      <c r="C2079" s="73"/>
      <c r="D2079" s="95"/>
      <c r="E2079" s="73"/>
      <c r="F2079" s="73"/>
      <c r="G2079" s="73"/>
      <c r="H2079" s="73"/>
      <c r="I2079" s="95"/>
      <c r="J2079" s="73"/>
      <c r="K2079" s="95"/>
      <c r="L2079" s="95"/>
      <c r="M2079" s="22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</row>
    <row r="2080">
      <c r="A2080" s="26"/>
      <c r="B2080" s="73"/>
      <c r="C2080" s="73"/>
      <c r="D2080" s="95"/>
      <c r="E2080" s="73"/>
      <c r="F2080" s="73"/>
      <c r="G2080" s="73"/>
      <c r="H2080" s="73"/>
      <c r="I2080" s="95"/>
      <c r="J2080" s="73"/>
      <c r="K2080" s="95"/>
      <c r="L2080" s="95"/>
      <c r="M2080" s="22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</row>
    <row r="2081">
      <c r="A2081" s="26"/>
      <c r="B2081" s="73"/>
      <c r="C2081" s="73"/>
      <c r="D2081" s="95"/>
      <c r="E2081" s="73"/>
      <c r="F2081" s="73"/>
      <c r="G2081" s="73"/>
      <c r="H2081" s="73"/>
      <c r="I2081" s="95"/>
      <c r="J2081" s="73"/>
      <c r="K2081" s="95"/>
      <c r="L2081" s="95"/>
      <c r="M2081" s="22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</row>
    <row r="2082">
      <c r="A2082" s="26"/>
      <c r="B2082" s="73"/>
      <c r="C2082" s="73"/>
      <c r="D2082" s="95"/>
      <c r="E2082" s="73"/>
      <c r="F2082" s="73"/>
      <c r="G2082" s="73"/>
      <c r="H2082" s="73"/>
      <c r="I2082" s="95"/>
      <c r="J2082" s="73"/>
      <c r="K2082" s="95"/>
      <c r="L2082" s="95"/>
      <c r="M2082" s="22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</row>
    <row r="2083">
      <c r="A2083" s="26"/>
      <c r="B2083" s="73"/>
      <c r="C2083" s="73"/>
      <c r="D2083" s="95"/>
      <c r="E2083" s="73"/>
      <c r="F2083" s="73"/>
      <c r="G2083" s="73"/>
      <c r="H2083" s="73"/>
      <c r="I2083" s="95"/>
      <c r="J2083" s="73"/>
      <c r="K2083" s="95"/>
      <c r="L2083" s="95"/>
      <c r="M2083" s="22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</row>
    <row r="2084">
      <c r="A2084" s="26"/>
      <c r="B2084" s="73"/>
      <c r="C2084" s="73"/>
      <c r="D2084" s="95"/>
      <c r="E2084" s="73"/>
      <c r="F2084" s="73"/>
      <c r="G2084" s="73"/>
      <c r="H2084" s="73"/>
      <c r="I2084" s="95"/>
      <c r="J2084" s="73"/>
      <c r="K2084" s="95"/>
      <c r="L2084" s="95"/>
      <c r="M2084" s="22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</row>
    <row r="2085">
      <c r="A2085" s="26"/>
      <c r="B2085" s="73"/>
      <c r="C2085" s="73"/>
      <c r="D2085" s="95"/>
      <c r="E2085" s="73"/>
      <c r="F2085" s="73"/>
      <c r="G2085" s="73"/>
      <c r="H2085" s="73"/>
      <c r="I2085" s="95"/>
      <c r="J2085" s="73"/>
      <c r="K2085" s="95"/>
      <c r="L2085" s="95"/>
      <c r="M2085" s="22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</row>
    <row r="2086">
      <c r="A2086" s="26"/>
      <c r="B2086" s="73"/>
      <c r="C2086" s="73"/>
      <c r="D2086" s="95"/>
      <c r="E2086" s="73"/>
      <c r="F2086" s="73"/>
      <c r="G2086" s="73"/>
      <c r="H2086" s="73"/>
      <c r="I2086" s="95"/>
      <c r="J2086" s="73"/>
      <c r="K2086" s="95"/>
      <c r="L2086" s="95"/>
      <c r="M2086" s="22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</row>
    <row r="2087">
      <c r="A2087" s="26"/>
      <c r="B2087" s="73"/>
      <c r="C2087" s="73"/>
      <c r="D2087" s="95"/>
      <c r="E2087" s="73"/>
      <c r="F2087" s="73"/>
      <c r="G2087" s="73"/>
      <c r="H2087" s="73"/>
      <c r="I2087" s="95"/>
      <c r="J2087" s="73"/>
      <c r="K2087" s="95"/>
      <c r="L2087" s="95"/>
      <c r="M2087" s="22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</row>
    <row r="2088">
      <c r="A2088" s="26"/>
      <c r="B2088" s="73"/>
      <c r="C2088" s="73"/>
      <c r="D2088" s="95"/>
      <c r="E2088" s="73"/>
      <c r="F2088" s="73"/>
      <c r="G2088" s="73"/>
      <c r="H2088" s="73"/>
      <c r="I2088" s="95"/>
      <c r="J2088" s="73"/>
      <c r="K2088" s="95"/>
      <c r="L2088" s="95"/>
      <c r="M2088" s="22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</row>
    <row r="2089">
      <c r="A2089" s="26"/>
      <c r="B2089" s="73"/>
      <c r="C2089" s="73"/>
      <c r="D2089" s="95"/>
      <c r="E2089" s="73"/>
      <c r="F2089" s="73"/>
      <c r="G2089" s="73"/>
      <c r="H2089" s="73"/>
      <c r="I2089" s="95"/>
      <c r="J2089" s="73"/>
      <c r="K2089" s="95"/>
      <c r="L2089" s="95"/>
      <c r="M2089" s="22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</row>
    <row r="2090">
      <c r="A2090" s="26"/>
      <c r="B2090" s="73"/>
      <c r="C2090" s="73"/>
      <c r="D2090" s="95"/>
      <c r="E2090" s="73"/>
      <c r="F2090" s="73"/>
      <c r="G2090" s="73"/>
      <c r="H2090" s="73"/>
      <c r="I2090" s="95"/>
      <c r="J2090" s="73"/>
      <c r="K2090" s="95"/>
      <c r="L2090" s="95"/>
      <c r="M2090" s="22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</row>
    <row r="2091">
      <c r="A2091" s="26"/>
      <c r="B2091" s="73"/>
      <c r="C2091" s="73"/>
      <c r="D2091" s="95"/>
      <c r="E2091" s="73"/>
      <c r="F2091" s="73"/>
      <c r="G2091" s="73"/>
      <c r="H2091" s="73"/>
      <c r="I2091" s="95"/>
      <c r="J2091" s="73"/>
      <c r="K2091" s="95"/>
      <c r="L2091" s="95"/>
      <c r="M2091" s="22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</row>
    <row r="2092">
      <c r="A2092" s="26"/>
      <c r="B2092" s="73"/>
      <c r="C2092" s="73"/>
      <c r="D2092" s="95"/>
      <c r="E2092" s="73"/>
      <c r="F2092" s="73"/>
      <c r="G2092" s="73"/>
      <c r="H2092" s="73"/>
      <c r="I2092" s="95"/>
      <c r="J2092" s="73"/>
      <c r="K2092" s="95"/>
      <c r="L2092" s="95"/>
      <c r="M2092" s="22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</row>
    <row r="2093">
      <c r="A2093" s="26"/>
      <c r="B2093" s="73"/>
      <c r="C2093" s="73"/>
      <c r="D2093" s="95"/>
      <c r="E2093" s="73"/>
      <c r="F2093" s="73"/>
      <c r="G2093" s="73"/>
      <c r="H2093" s="73"/>
      <c r="I2093" s="95"/>
      <c r="J2093" s="73"/>
      <c r="K2093" s="95"/>
      <c r="L2093" s="95"/>
      <c r="M2093" s="22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</row>
    <row r="2094">
      <c r="A2094" s="26"/>
      <c r="B2094" s="73"/>
      <c r="C2094" s="73"/>
      <c r="D2094" s="95"/>
      <c r="E2094" s="73"/>
      <c r="F2094" s="73"/>
      <c r="G2094" s="73"/>
      <c r="H2094" s="73"/>
      <c r="I2094" s="95"/>
      <c r="J2094" s="73"/>
      <c r="K2094" s="95"/>
      <c r="L2094" s="95"/>
      <c r="M2094" s="22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</row>
    <row r="2095">
      <c r="A2095" s="26"/>
      <c r="B2095" s="73"/>
      <c r="C2095" s="73"/>
      <c r="D2095" s="95"/>
      <c r="E2095" s="73"/>
      <c r="F2095" s="73"/>
      <c r="G2095" s="73"/>
      <c r="H2095" s="73"/>
      <c r="I2095" s="95"/>
      <c r="J2095" s="73"/>
      <c r="K2095" s="95"/>
      <c r="L2095" s="95"/>
      <c r="M2095" s="22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</row>
    <row r="2096">
      <c r="A2096" s="26"/>
      <c r="B2096" s="73"/>
      <c r="C2096" s="73"/>
      <c r="D2096" s="95"/>
      <c r="E2096" s="73"/>
      <c r="F2096" s="73"/>
      <c r="G2096" s="73"/>
      <c r="H2096" s="73"/>
      <c r="I2096" s="95"/>
      <c r="J2096" s="73"/>
      <c r="K2096" s="95"/>
      <c r="L2096" s="95"/>
      <c r="M2096" s="22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</row>
    <row r="2097">
      <c r="A2097" s="26"/>
      <c r="B2097" s="73"/>
      <c r="C2097" s="73"/>
      <c r="D2097" s="95"/>
      <c r="E2097" s="73"/>
      <c r="F2097" s="73"/>
      <c r="G2097" s="73"/>
      <c r="H2097" s="73"/>
      <c r="I2097" s="95"/>
      <c r="J2097" s="73"/>
      <c r="K2097" s="95"/>
      <c r="L2097" s="95"/>
      <c r="M2097" s="22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</row>
    <row r="2098">
      <c r="A2098" s="26"/>
      <c r="B2098" s="73"/>
      <c r="C2098" s="73"/>
      <c r="D2098" s="95"/>
      <c r="E2098" s="73"/>
      <c r="F2098" s="73"/>
      <c r="G2098" s="73"/>
      <c r="H2098" s="73"/>
      <c r="I2098" s="95"/>
      <c r="J2098" s="73"/>
      <c r="K2098" s="95"/>
      <c r="L2098" s="95"/>
      <c r="M2098" s="22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</row>
    <row r="2099">
      <c r="A2099" s="26"/>
      <c r="B2099" s="73"/>
      <c r="C2099" s="73"/>
      <c r="D2099" s="95"/>
      <c r="E2099" s="73"/>
      <c r="F2099" s="73"/>
      <c r="G2099" s="73"/>
      <c r="H2099" s="73"/>
      <c r="I2099" s="95"/>
      <c r="J2099" s="73"/>
      <c r="K2099" s="95"/>
      <c r="L2099" s="95"/>
      <c r="M2099" s="22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</row>
    <row r="2100">
      <c r="A2100" s="26"/>
      <c r="B2100" s="73"/>
      <c r="C2100" s="73"/>
      <c r="D2100" s="95"/>
      <c r="E2100" s="73"/>
      <c r="F2100" s="73"/>
      <c r="G2100" s="73"/>
      <c r="H2100" s="73"/>
      <c r="I2100" s="95"/>
      <c r="J2100" s="73"/>
      <c r="K2100" s="95"/>
      <c r="L2100" s="95"/>
      <c r="M2100" s="22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</row>
    <row r="2101">
      <c r="A2101" s="26"/>
      <c r="B2101" s="73"/>
      <c r="C2101" s="73"/>
      <c r="D2101" s="95"/>
      <c r="E2101" s="73"/>
      <c r="F2101" s="73"/>
      <c r="G2101" s="73"/>
      <c r="H2101" s="73"/>
      <c r="I2101" s="95"/>
      <c r="J2101" s="73"/>
      <c r="K2101" s="95"/>
      <c r="L2101" s="95"/>
      <c r="M2101" s="22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</row>
    <row r="2102">
      <c r="A2102" s="26"/>
      <c r="B2102" s="73"/>
      <c r="C2102" s="73"/>
      <c r="D2102" s="95"/>
      <c r="E2102" s="73"/>
      <c r="F2102" s="73"/>
      <c r="G2102" s="73"/>
      <c r="H2102" s="73"/>
      <c r="I2102" s="95"/>
      <c r="J2102" s="73"/>
      <c r="K2102" s="95"/>
      <c r="L2102" s="95"/>
      <c r="M2102" s="22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</row>
    <row r="2103">
      <c r="A2103" s="26"/>
      <c r="B2103" s="73"/>
      <c r="C2103" s="73"/>
      <c r="D2103" s="95"/>
      <c r="E2103" s="73"/>
      <c r="F2103" s="73"/>
      <c r="G2103" s="73"/>
      <c r="H2103" s="73"/>
      <c r="I2103" s="95"/>
      <c r="J2103" s="73"/>
      <c r="K2103" s="95"/>
      <c r="L2103" s="95"/>
      <c r="M2103" s="22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</row>
    <row r="2104">
      <c r="A2104" s="26"/>
      <c r="B2104" s="73"/>
      <c r="C2104" s="73"/>
      <c r="D2104" s="95"/>
      <c r="E2104" s="73"/>
      <c r="F2104" s="73"/>
      <c r="G2104" s="73"/>
      <c r="H2104" s="73"/>
      <c r="I2104" s="95"/>
      <c r="J2104" s="73"/>
      <c r="K2104" s="95"/>
      <c r="L2104" s="95"/>
      <c r="M2104" s="22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</row>
    <row r="2105">
      <c r="A2105" s="26"/>
      <c r="B2105" s="73"/>
      <c r="C2105" s="73"/>
      <c r="D2105" s="95"/>
      <c r="E2105" s="73"/>
      <c r="F2105" s="73"/>
      <c r="G2105" s="73"/>
      <c r="H2105" s="73"/>
      <c r="I2105" s="95"/>
      <c r="J2105" s="73"/>
      <c r="K2105" s="95"/>
      <c r="L2105" s="95"/>
      <c r="M2105" s="22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</row>
    <row r="2106">
      <c r="A2106" s="26"/>
      <c r="B2106" s="73"/>
      <c r="C2106" s="73"/>
      <c r="D2106" s="95"/>
      <c r="E2106" s="73"/>
      <c r="F2106" s="73"/>
      <c r="G2106" s="73"/>
      <c r="H2106" s="73"/>
      <c r="I2106" s="95"/>
      <c r="J2106" s="73"/>
      <c r="K2106" s="95"/>
      <c r="L2106" s="95"/>
      <c r="M2106" s="22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</row>
    <row r="2107">
      <c r="A2107" s="26"/>
      <c r="B2107" s="73"/>
      <c r="C2107" s="73"/>
      <c r="D2107" s="95"/>
      <c r="E2107" s="73"/>
      <c r="F2107" s="73"/>
      <c r="G2107" s="73"/>
      <c r="H2107" s="73"/>
      <c r="I2107" s="95"/>
      <c r="J2107" s="73"/>
      <c r="K2107" s="95"/>
      <c r="L2107" s="95"/>
      <c r="M2107" s="22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</row>
    <row r="2108">
      <c r="A2108" s="26"/>
      <c r="B2108" s="73"/>
      <c r="C2108" s="73"/>
      <c r="D2108" s="95"/>
      <c r="E2108" s="73"/>
      <c r="F2108" s="73"/>
      <c r="G2108" s="73"/>
      <c r="H2108" s="73"/>
      <c r="I2108" s="95"/>
      <c r="J2108" s="73"/>
      <c r="K2108" s="95"/>
      <c r="L2108" s="95"/>
      <c r="M2108" s="22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</row>
    <row r="2109">
      <c r="A2109" s="26"/>
      <c r="B2109" s="73"/>
      <c r="C2109" s="73"/>
      <c r="D2109" s="95"/>
      <c r="E2109" s="73"/>
      <c r="F2109" s="73"/>
      <c r="G2109" s="73"/>
      <c r="H2109" s="73"/>
      <c r="I2109" s="95"/>
      <c r="J2109" s="73"/>
      <c r="K2109" s="95"/>
      <c r="L2109" s="95"/>
      <c r="M2109" s="22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</row>
    <row r="2110">
      <c r="A2110" s="26"/>
      <c r="B2110" s="73"/>
      <c r="C2110" s="73"/>
      <c r="D2110" s="95"/>
      <c r="E2110" s="73"/>
      <c r="F2110" s="73"/>
      <c r="G2110" s="73"/>
      <c r="H2110" s="73"/>
      <c r="I2110" s="95"/>
      <c r="J2110" s="73"/>
      <c r="K2110" s="95"/>
      <c r="L2110" s="95"/>
      <c r="M2110" s="22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</row>
    <row r="2111">
      <c r="A2111" s="26"/>
      <c r="B2111" s="73"/>
      <c r="C2111" s="73"/>
      <c r="D2111" s="95"/>
      <c r="E2111" s="73"/>
      <c r="F2111" s="73"/>
      <c r="G2111" s="73"/>
      <c r="H2111" s="73"/>
      <c r="I2111" s="95"/>
      <c r="J2111" s="73"/>
      <c r="K2111" s="95"/>
      <c r="L2111" s="95"/>
      <c r="M2111" s="22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</row>
    <row r="2112">
      <c r="A2112" s="26"/>
      <c r="B2112" s="73"/>
      <c r="C2112" s="73"/>
      <c r="D2112" s="95"/>
      <c r="E2112" s="73"/>
      <c r="F2112" s="73"/>
      <c r="G2112" s="73"/>
      <c r="H2112" s="73"/>
      <c r="I2112" s="95"/>
      <c r="J2112" s="73"/>
      <c r="K2112" s="95"/>
      <c r="L2112" s="95"/>
      <c r="M2112" s="22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</row>
    <row r="2113">
      <c r="A2113" s="26"/>
      <c r="B2113" s="73"/>
      <c r="C2113" s="73"/>
      <c r="D2113" s="95"/>
      <c r="E2113" s="73"/>
      <c r="F2113" s="73"/>
      <c r="G2113" s="73"/>
      <c r="H2113" s="73"/>
      <c r="I2113" s="95"/>
      <c r="J2113" s="73"/>
      <c r="K2113" s="95"/>
      <c r="L2113" s="95"/>
      <c r="M2113" s="22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</row>
    <row r="2114">
      <c r="A2114" s="26"/>
      <c r="B2114" s="73"/>
      <c r="C2114" s="73"/>
      <c r="D2114" s="95"/>
      <c r="E2114" s="73"/>
      <c r="F2114" s="73"/>
      <c r="G2114" s="73"/>
      <c r="H2114" s="73"/>
      <c r="I2114" s="95"/>
      <c r="J2114" s="73"/>
      <c r="K2114" s="95"/>
      <c r="L2114" s="95"/>
      <c r="M2114" s="22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</row>
    <row r="2115">
      <c r="A2115" s="26"/>
      <c r="B2115" s="73"/>
      <c r="C2115" s="73"/>
      <c r="D2115" s="95"/>
      <c r="E2115" s="73"/>
      <c r="F2115" s="73"/>
      <c r="G2115" s="73"/>
      <c r="H2115" s="73"/>
      <c r="I2115" s="95"/>
      <c r="J2115" s="73"/>
      <c r="K2115" s="95"/>
      <c r="L2115" s="95"/>
      <c r="M2115" s="22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</row>
    <row r="2116">
      <c r="A2116" s="26"/>
      <c r="B2116" s="73"/>
      <c r="C2116" s="73"/>
      <c r="D2116" s="95"/>
      <c r="E2116" s="73"/>
      <c r="F2116" s="73"/>
      <c r="G2116" s="73"/>
      <c r="H2116" s="73"/>
      <c r="I2116" s="95"/>
      <c r="J2116" s="73"/>
      <c r="K2116" s="95"/>
      <c r="L2116" s="95"/>
      <c r="M2116" s="22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</row>
    <row r="2117">
      <c r="A2117" s="26"/>
      <c r="B2117" s="73"/>
      <c r="C2117" s="73"/>
      <c r="D2117" s="95"/>
      <c r="E2117" s="73"/>
      <c r="F2117" s="73"/>
      <c r="G2117" s="73"/>
      <c r="H2117" s="73"/>
      <c r="I2117" s="95"/>
      <c r="J2117" s="73"/>
      <c r="K2117" s="95"/>
      <c r="L2117" s="95"/>
      <c r="M2117" s="22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</row>
    <row r="2118">
      <c r="A2118" s="26"/>
      <c r="B2118" s="73"/>
      <c r="C2118" s="73"/>
      <c r="D2118" s="95"/>
      <c r="E2118" s="73"/>
      <c r="F2118" s="73"/>
      <c r="G2118" s="73"/>
      <c r="H2118" s="73"/>
      <c r="I2118" s="95"/>
      <c r="J2118" s="73"/>
      <c r="K2118" s="95"/>
      <c r="L2118" s="95"/>
      <c r="M2118" s="22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</row>
    <row r="2119">
      <c r="A2119" s="26"/>
      <c r="B2119" s="73"/>
      <c r="C2119" s="73"/>
      <c r="D2119" s="95"/>
      <c r="E2119" s="73"/>
      <c r="F2119" s="73"/>
      <c r="G2119" s="73"/>
      <c r="H2119" s="73"/>
      <c r="I2119" s="95"/>
      <c r="J2119" s="73"/>
      <c r="K2119" s="95"/>
      <c r="L2119" s="95"/>
      <c r="M2119" s="22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</row>
    <row r="2120">
      <c r="A2120" s="26"/>
      <c r="B2120" s="73"/>
      <c r="C2120" s="73"/>
      <c r="D2120" s="95"/>
      <c r="E2120" s="73"/>
      <c r="F2120" s="73"/>
      <c r="G2120" s="73"/>
      <c r="H2120" s="73"/>
      <c r="I2120" s="95"/>
      <c r="J2120" s="73"/>
      <c r="K2120" s="95"/>
      <c r="L2120" s="95"/>
      <c r="M2120" s="22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</row>
    <row r="2121">
      <c r="A2121" s="26"/>
      <c r="B2121" s="73"/>
      <c r="C2121" s="73"/>
      <c r="D2121" s="95"/>
      <c r="E2121" s="73"/>
      <c r="F2121" s="73"/>
      <c r="G2121" s="73"/>
      <c r="H2121" s="73"/>
      <c r="I2121" s="95"/>
      <c r="J2121" s="73"/>
      <c r="K2121" s="95"/>
      <c r="L2121" s="95"/>
      <c r="M2121" s="22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</row>
    <row r="2122">
      <c r="A2122" s="26"/>
      <c r="B2122" s="73"/>
      <c r="C2122" s="73"/>
      <c r="D2122" s="95"/>
      <c r="E2122" s="73"/>
      <c r="F2122" s="73"/>
      <c r="G2122" s="73"/>
      <c r="H2122" s="73"/>
      <c r="I2122" s="95"/>
      <c r="J2122" s="73"/>
      <c r="K2122" s="95"/>
      <c r="L2122" s="95"/>
      <c r="M2122" s="22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</row>
    <row r="2123">
      <c r="A2123" s="26"/>
      <c r="B2123" s="73"/>
      <c r="C2123" s="73"/>
      <c r="D2123" s="95"/>
      <c r="E2123" s="73"/>
      <c r="F2123" s="73"/>
      <c r="G2123" s="73"/>
      <c r="H2123" s="73"/>
      <c r="I2123" s="95"/>
      <c r="J2123" s="73"/>
      <c r="K2123" s="95"/>
      <c r="L2123" s="95"/>
      <c r="M2123" s="22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</row>
    <row r="2124">
      <c r="A2124" s="26"/>
      <c r="B2124" s="73"/>
      <c r="C2124" s="73"/>
      <c r="D2124" s="95"/>
      <c r="E2124" s="73"/>
      <c r="F2124" s="73"/>
      <c r="G2124" s="73"/>
      <c r="H2124" s="73"/>
      <c r="I2124" s="95"/>
      <c r="J2124" s="73"/>
      <c r="K2124" s="95"/>
      <c r="L2124" s="95"/>
      <c r="M2124" s="22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</row>
    <row r="2125">
      <c r="A2125" s="26"/>
      <c r="B2125" s="73"/>
      <c r="C2125" s="73"/>
      <c r="D2125" s="95"/>
      <c r="E2125" s="73"/>
      <c r="F2125" s="73"/>
      <c r="G2125" s="73"/>
      <c r="H2125" s="73"/>
      <c r="I2125" s="95"/>
      <c r="J2125" s="73"/>
      <c r="K2125" s="95"/>
      <c r="L2125" s="95"/>
      <c r="M2125" s="22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</row>
    <row r="2126">
      <c r="A2126" s="26"/>
      <c r="B2126" s="73"/>
      <c r="C2126" s="73"/>
      <c r="D2126" s="95"/>
      <c r="E2126" s="73"/>
      <c r="F2126" s="73"/>
      <c r="G2126" s="73"/>
      <c r="H2126" s="73"/>
      <c r="I2126" s="95"/>
      <c r="J2126" s="73"/>
      <c r="K2126" s="95"/>
      <c r="L2126" s="95"/>
      <c r="M2126" s="22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</row>
    <row r="2127">
      <c r="A2127" s="26"/>
      <c r="B2127" s="73"/>
      <c r="C2127" s="73"/>
      <c r="D2127" s="95"/>
      <c r="E2127" s="73"/>
      <c r="F2127" s="73"/>
      <c r="G2127" s="73"/>
      <c r="H2127" s="73"/>
      <c r="I2127" s="95"/>
      <c r="J2127" s="73"/>
      <c r="K2127" s="95"/>
      <c r="L2127" s="95"/>
      <c r="M2127" s="22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</row>
    <row r="2128">
      <c r="A2128" s="26"/>
      <c r="B2128" s="73"/>
      <c r="C2128" s="73"/>
      <c r="D2128" s="95"/>
      <c r="E2128" s="73"/>
      <c r="F2128" s="73"/>
      <c r="G2128" s="73"/>
      <c r="H2128" s="73"/>
      <c r="I2128" s="95"/>
      <c r="J2128" s="73"/>
      <c r="K2128" s="95"/>
      <c r="L2128" s="95"/>
      <c r="M2128" s="22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</row>
    <row r="2129">
      <c r="A2129" s="26"/>
      <c r="B2129" s="73"/>
      <c r="C2129" s="73"/>
      <c r="D2129" s="95"/>
      <c r="E2129" s="73"/>
      <c r="F2129" s="73"/>
      <c r="G2129" s="73"/>
      <c r="H2129" s="73"/>
      <c r="I2129" s="95"/>
      <c r="J2129" s="73"/>
      <c r="K2129" s="95"/>
      <c r="L2129" s="95"/>
      <c r="M2129" s="22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</row>
    <row r="2130">
      <c r="A2130" s="26"/>
      <c r="B2130" s="73"/>
      <c r="C2130" s="73"/>
      <c r="D2130" s="95"/>
      <c r="E2130" s="73"/>
      <c r="F2130" s="73"/>
      <c r="G2130" s="73"/>
      <c r="H2130" s="73"/>
      <c r="I2130" s="95"/>
      <c r="J2130" s="73"/>
      <c r="K2130" s="95"/>
      <c r="L2130" s="95"/>
      <c r="M2130" s="22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</row>
    <row r="2131">
      <c r="A2131" s="26"/>
      <c r="B2131" s="73"/>
      <c r="C2131" s="73"/>
      <c r="D2131" s="95"/>
      <c r="E2131" s="73"/>
      <c r="F2131" s="73"/>
      <c r="G2131" s="73"/>
      <c r="H2131" s="73"/>
      <c r="I2131" s="95"/>
      <c r="J2131" s="73"/>
      <c r="K2131" s="95"/>
      <c r="L2131" s="95"/>
      <c r="M2131" s="22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</row>
    <row r="2132">
      <c r="A2132" s="26"/>
      <c r="B2132" s="73"/>
      <c r="C2132" s="73"/>
      <c r="D2132" s="95"/>
      <c r="E2132" s="73"/>
      <c r="F2132" s="73"/>
      <c r="G2132" s="73"/>
      <c r="H2132" s="73"/>
      <c r="I2132" s="95"/>
      <c r="J2132" s="73"/>
      <c r="K2132" s="95"/>
      <c r="L2132" s="95"/>
      <c r="M2132" s="22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</row>
    <row r="2133">
      <c r="A2133" s="26"/>
      <c r="B2133" s="73"/>
      <c r="C2133" s="73"/>
      <c r="D2133" s="95"/>
      <c r="E2133" s="73"/>
      <c r="F2133" s="73"/>
      <c r="G2133" s="73"/>
      <c r="H2133" s="73"/>
      <c r="I2133" s="95"/>
      <c r="J2133" s="73"/>
      <c r="K2133" s="95"/>
      <c r="L2133" s="95"/>
      <c r="M2133" s="22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</row>
    <row r="2134">
      <c r="A2134" s="26"/>
      <c r="B2134" s="73"/>
      <c r="C2134" s="73"/>
      <c r="D2134" s="95"/>
      <c r="E2134" s="73"/>
      <c r="F2134" s="73"/>
      <c r="G2134" s="73"/>
      <c r="H2134" s="73"/>
      <c r="I2134" s="95"/>
      <c r="J2134" s="73"/>
      <c r="K2134" s="95"/>
      <c r="L2134" s="95"/>
      <c r="M2134" s="22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</row>
    <row r="2135">
      <c r="A2135" s="26"/>
      <c r="B2135" s="73"/>
      <c r="C2135" s="73"/>
      <c r="D2135" s="95"/>
      <c r="E2135" s="73"/>
      <c r="F2135" s="73"/>
      <c r="G2135" s="73"/>
      <c r="H2135" s="73"/>
      <c r="I2135" s="95"/>
      <c r="J2135" s="73"/>
      <c r="K2135" s="95"/>
      <c r="L2135" s="95"/>
      <c r="M2135" s="22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</row>
    <row r="2136">
      <c r="A2136" s="26"/>
      <c r="B2136" s="73"/>
      <c r="C2136" s="73"/>
      <c r="D2136" s="95"/>
      <c r="E2136" s="73"/>
      <c r="F2136" s="73"/>
      <c r="G2136" s="73"/>
      <c r="H2136" s="73"/>
      <c r="I2136" s="95"/>
      <c r="J2136" s="73"/>
      <c r="K2136" s="95"/>
      <c r="L2136" s="95"/>
      <c r="M2136" s="22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</row>
    <row r="2137">
      <c r="A2137" s="26"/>
      <c r="B2137" s="73"/>
      <c r="C2137" s="73"/>
      <c r="D2137" s="95"/>
      <c r="E2137" s="73"/>
      <c r="F2137" s="73"/>
      <c r="G2137" s="73"/>
      <c r="H2137" s="73"/>
      <c r="I2137" s="95"/>
      <c r="J2137" s="73"/>
      <c r="K2137" s="95"/>
      <c r="L2137" s="95"/>
      <c r="M2137" s="22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</row>
    <row r="2138">
      <c r="A2138" s="26"/>
      <c r="B2138" s="73"/>
      <c r="C2138" s="73"/>
      <c r="D2138" s="95"/>
      <c r="E2138" s="73"/>
      <c r="F2138" s="73"/>
      <c r="G2138" s="73"/>
      <c r="H2138" s="73"/>
      <c r="I2138" s="95"/>
      <c r="J2138" s="73"/>
      <c r="K2138" s="95"/>
      <c r="L2138" s="95"/>
      <c r="M2138" s="22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</row>
    <row r="2139">
      <c r="A2139" s="26"/>
      <c r="B2139" s="73"/>
      <c r="C2139" s="73"/>
      <c r="D2139" s="95"/>
      <c r="E2139" s="73"/>
      <c r="F2139" s="73"/>
      <c r="G2139" s="73"/>
      <c r="H2139" s="73"/>
      <c r="I2139" s="95"/>
      <c r="J2139" s="73"/>
      <c r="K2139" s="95"/>
      <c r="L2139" s="95"/>
      <c r="M2139" s="22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</row>
    <row r="2140">
      <c r="A2140" s="26"/>
      <c r="B2140" s="73"/>
      <c r="C2140" s="73"/>
      <c r="D2140" s="95"/>
      <c r="E2140" s="73"/>
      <c r="F2140" s="73"/>
      <c r="G2140" s="73"/>
      <c r="H2140" s="73"/>
      <c r="I2140" s="95"/>
      <c r="J2140" s="73"/>
      <c r="K2140" s="95"/>
      <c r="L2140" s="95"/>
      <c r="M2140" s="22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</row>
    <row r="2141">
      <c r="A2141" s="26"/>
      <c r="B2141" s="73"/>
      <c r="C2141" s="73"/>
      <c r="D2141" s="95"/>
      <c r="E2141" s="73"/>
      <c r="F2141" s="73"/>
      <c r="G2141" s="73"/>
      <c r="H2141" s="73"/>
      <c r="I2141" s="95"/>
      <c r="J2141" s="73"/>
      <c r="K2141" s="95"/>
      <c r="L2141" s="95"/>
      <c r="M2141" s="22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</row>
    <row r="2142">
      <c r="A2142" s="26"/>
      <c r="B2142" s="73"/>
      <c r="C2142" s="73"/>
      <c r="D2142" s="95"/>
      <c r="E2142" s="73"/>
      <c r="F2142" s="73"/>
      <c r="G2142" s="73"/>
      <c r="H2142" s="73"/>
      <c r="I2142" s="95"/>
      <c r="J2142" s="73"/>
      <c r="K2142" s="95"/>
      <c r="L2142" s="95"/>
      <c r="M2142" s="22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</row>
    <row r="2143">
      <c r="A2143" s="26"/>
      <c r="B2143" s="73"/>
      <c r="C2143" s="73"/>
      <c r="D2143" s="95"/>
      <c r="E2143" s="73"/>
      <c r="F2143" s="73"/>
      <c r="G2143" s="73"/>
      <c r="H2143" s="73"/>
      <c r="I2143" s="95"/>
      <c r="J2143" s="73"/>
      <c r="K2143" s="95"/>
      <c r="L2143" s="95"/>
      <c r="M2143" s="22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</row>
    <row r="2144">
      <c r="A2144" s="26"/>
      <c r="B2144" s="73"/>
      <c r="C2144" s="73"/>
      <c r="D2144" s="95"/>
      <c r="E2144" s="73"/>
      <c r="F2144" s="73"/>
      <c r="G2144" s="73"/>
      <c r="H2144" s="73"/>
      <c r="I2144" s="95"/>
      <c r="J2144" s="73"/>
      <c r="K2144" s="95"/>
      <c r="L2144" s="95"/>
      <c r="M2144" s="22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</row>
    <row r="2145">
      <c r="A2145" s="26"/>
      <c r="B2145" s="73"/>
      <c r="C2145" s="73"/>
      <c r="D2145" s="95"/>
      <c r="E2145" s="73"/>
      <c r="F2145" s="73"/>
      <c r="G2145" s="73"/>
      <c r="H2145" s="73"/>
      <c r="I2145" s="95"/>
      <c r="J2145" s="73"/>
      <c r="K2145" s="95"/>
      <c r="L2145" s="95"/>
      <c r="M2145" s="22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</row>
    <row r="2146">
      <c r="A2146" s="26"/>
      <c r="B2146" s="73"/>
      <c r="C2146" s="73"/>
      <c r="D2146" s="95"/>
      <c r="E2146" s="73"/>
      <c r="F2146" s="73"/>
      <c r="G2146" s="73"/>
      <c r="H2146" s="73"/>
      <c r="I2146" s="95"/>
      <c r="J2146" s="73"/>
      <c r="K2146" s="95"/>
      <c r="L2146" s="95"/>
      <c r="M2146" s="22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</row>
    <row r="2147">
      <c r="A2147" s="26"/>
      <c r="B2147" s="73"/>
      <c r="C2147" s="73"/>
      <c r="D2147" s="95"/>
      <c r="E2147" s="73"/>
      <c r="F2147" s="73"/>
      <c r="G2147" s="73"/>
      <c r="H2147" s="73"/>
      <c r="I2147" s="95"/>
      <c r="J2147" s="73"/>
      <c r="K2147" s="95"/>
      <c r="L2147" s="95"/>
      <c r="M2147" s="22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</row>
    <row r="2148">
      <c r="A2148" s="26"/>
      <c r="B2148" s="73"/>
      <c r="C2148" s="73"/>
      <c r="D2148" s="95"/>
      <c r="E2148" s="73"/>
      <c r="F2148" s="73"/>
      <c r="G2148" s="73"/>
      <c r="H2148" s="73"/>
      <c r="I2148" s="95"/>
      <c r="J2148" s="73"/>
      <c r="K2148" s="95"/>
      <c r="L2148" s="95"/>
      <c r="M2148" s="22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</row>
    <row r="2149">
      <c r="A2149" s="26"/>
      <c r="B2149" s="73"/>
      <c r="C2149" s="73"/>
      <c r="D2149" s="95"/>
      <c r="E2149" s="73"/>
      <c r="F2149" s="73"/>
      <c r="G2149" s="73"/>
      <c r="H2149" s="73"/>
      <c r="I2149" s="95"/>
      <c r="J2149" s="73"/>
      <c r="K2149" s="95"/>
      <c r="L2149" s="95"/>
      <c r="M2149" s="22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</row>
    <row r="2150">
      <c r="A2150" s="26"/>
      <c r="B2150" s="73"/>
      <c r="C2150" s="73"/>
      <c r="D2150" s="95"/>
      <c r="E2150" s="73"/>
      <c r="F2150" s="73"/>
      <c r="G2150" s="73"/>
      <c r="H2150" s="73"/>
      <c r="I2150" s="95"/>
      <c r="J2150" s="73"/>
      <c r="K2150" s="95"/>
      <c r="L2150" s="95"/>
      <c r="M2150" s="22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</row>
    <row r="2151">
      <c r="A2151" s="26"/>
      <c r="B2151" s="73"/>
      <c r="C2151" s="73"/>
      <c r="D2151" s="95"/>
      <c r="E2151" s="73"/>
      <c r="F2151" s="73"/>
      <c r="G2151" s="73"/>
      <c r="H2151" s="73"/>
      <c r="I2151" s="95"/>
      <c r="J2151" s="73"/>
      <c r="K2151" s="95"/>
      <c r="L2151" s="95"/>
      <c r="M2151" s="22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</row>
    <row r="2152">
      <c r="A2152" s="26"/>
      <c r="B2152" s="73"/>
      <c r="C2152" s="73"/>
      <c r="D2152" s="95"/>
      <c r="E2152" s="73"/>
      <c r="F2152" s="73"/>
      <c r="G2152" s="73"/>
      <c r="H2152" s="73"/>
      <c r="I2152" s="95"/>
      <c r="J2152" s="73"/>
      <c r="K2152" s="95"/>
      <c r="L2152" s="95"/>
      <c r="M2152" s="22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</row>
    <row r="2153">
      <c r="A2153" s="26"/>
      <c r="B2153" s="73"/>
      <c r="C2153" s="73"/>
      <c r="D2153" s="95"/>
      <c r="E2153" s="73"/>
      <c r="F2153" s="73"/>
      <c r="G2153" s="73"/>
      <c r="H2153" s="73"/>
      <c r="I2153" s="95"/>
      <c r="J2153" s="73"/>
      <c r="K2153" s="95"/>
      <c r="L2153" s="95"/>
      <c r="M2153" s="22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</row>
    <row r="2154">
      <c r="A2154" s="26"/>
      <c r="B2154" s="73"/>
      <c r="C2154" s="73"/>
      <c r="D2154" s="95"/>
      <c r="E2154" s="73"/>
      <c r="F2154" s="73"/>
      <c r="G2154" s="73"/>
      <c r="H2154" s="73"/>
      <c r="I2154" s="95"/>
      <c r="J2154" s="73"/>
      <c r="K2154" s="95"/>
      <c r="L2154" s="95"/>
      <c r="M2154" s="22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</row>
    <row r="2155">
      <c r="A2155" s="26"/>
      <c r="B2155" s="73"/>
      <c r="C2155" s="73"/>
      <c r="D2155" s="95"/>
      <c r="E2155" s="73"/>
      <c r="F2155" s="73"/>
      <c r="G2155" s="73"/>
      <c r="H2155" s="73"/>
      <c r="I2155" s="95"/>
      <c r="J2155" s="73"/>
      <c r="K2155" s="95"/>
      <c r="L2155" s="95"/>
      <c r="M2155" s="22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</row>
    <row r="2156">
      <c r="A2156" s="26"/>
      <c r="B2156" s="73"/>
      <c r="C2156" s="73"/>
      <c r="D2156" s="95"/>
      <c r="E2156" s="73"/>
      <c r="F2156" s="73"/>
      <c r="G2156" s="73"/>
      <c r="H2156" s="73"/>
      <c r="I2156" s="95"/>
      <c r="J2156" s="73"/>
      <c r="K2156" s="95"/>
      <c r="L2156" s="95"/>
      <c r="M2156" s="22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</row>
    <row r="2157">
      <c r="A2157" s="26"/>
      <c r="B2157" s="73"/>
      <c r="C2157" s="73"/>
      <c r="D2157" s="95"/>
      <c r="E2157" s="73"/>
      <c r="F2157" s="73"/>
      <c r="G2157" s="73"/>
      <c r="H2157" s="73"/>
      <c r="I2157" s="95"/>
      <c r="J2157" s="73"/>
      <c r="K2157" s="95"/>
      <c r="L2157" s="95"/>
      <c r="M2157" s="22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</row>
    <row r="2158">
      <c r="A2158" s="26"/>
      <c r="B2158" s="73"/>
      <c r="C2158" s="73"/>
      <c r="D2158" s="95"/>
      <c r="E2158" s="73"/>
      <c r="F2158" s="73"/>
      <c r="G2158" s="73"/>
      <c r="H2158" s="73"/>
      <c r="I2158" s="95"/>
      <c r="J2158" s="73"/>
      <c r="K2158" s="95"/>
      <c r="L2158" s="95"/>
      <c r="M2158" s="22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</row>
    <row r="2159">
      <c r="A2159" s="26"/>
      <c r="B2159" s="73"/>
      <c r="C2159" s="73"/>
      <c r="D2159" s="95"/>
      <c r="E2159" s="73"/>
      <c r="F2159" s="73"/>
      <c r="G2159" s="73"/>
      <c r="H2159" s="73"/>
      <c r="I2159" s="95"/>
      <c r="J2159" s="73"/>
      <c r="K2159" s="95"/>
      <c r="L2159" s="95"/>
      <c r="M2159" s="22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</row>
    <row r="2160">
      <c r="A2160" s="26"/>
      <c r="B2160" s="73"/>
      <c r="C2160" s="73"/>
      <c r="D2160" s="95"/>
      <c r="E2160" s="73"/>
      <c r="F2160" s="73"/>
      <c r="G2160" s="73"/>
      <c r="H2160" s="73"/>
      <c r="I2160" s="95"/>
      <c r="J2160" s="73"/>
      <c r="K2160" s="95"/>
      <c r="L2160" s="95"/>
      <c r="M2160" s="22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</row>
    <row r="2161">
      <c r="A2161" s="26"/>
      <c r="B2161" s="73"/>
      <c r="C2161" s="73"/>
      <c r="D2161" s="95"/>
      <c r="E2161" s="73"/>
      <c r="F2161" s="73"/>
      <c r="G2161" s="73"/>
      <c r="H2161" s="73"/>
      <c r="I2161" s="95"/>
      <c r="J2161" s="73"/>
      <c r="K2161" s="95"/>
      <c r="L2161" s="95"/>
      <c r="M2161" s="22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</row>
    <row r="2162">
      <c r="A2162" s="26"/>
      <c r="B2162" s="73"/>
      <c r="C2162" s="73"/>
      <c r="D2162" s="95"/>
      <c r="E2162" s="73"/>
      <c r="F2162" s="73"/>
      <c r="G2162" s="73"/>
      <c r="H2162" s="73"/>
      <c r="I2162" s="95"/>
      <c r="J2162" s="73"/>
      <c r="K2162" s="95"/>
      <c r="L2162" s="95"/>
      <c r="M2162" s="22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</row>
    <row r="2163">
      <c r="A2163" s="26"/>
      <c r="B2163" s="73"/>
      <c r="C2163" s="73"/>
      <c r="D2163" s="95"/>
      <c r="E2163" s="73"/>
      <c r="F2163" s="73"/>
      <c r="G2163" s="73"/>
      <c r="H2163" s="73"/>
      <c r="I2163" s="95"/>
      <c r="J2163" s="73"/>
      <c r="K2163" s="95"/>
      <c r="L2163" s="95"/>
      <c r="M2163" s="22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</row>
    <row r="2164">
      <c r="A2164" s="26"/>
      <c r="B2164" s="73"/>
      <c r="C2164" s="73"/>
      <c r="D2164" s="95"/>
      <c r="E2164" s="73"/>
      <c r="F2164" s="73"/>
      <c r="G2164" s="73"/>
      <c r="H2164" s="73"/>
      <c r="I2164" s="95"/>
      <c r="J2164" s="73"/>
      <c r="K2164" s="95"/>
      <c r="L2164" s="95"/>
      <c r="M2164" s="22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</row>
    <row r="2165">
      <c r="A2165" s="26"/>
      <c r="B2165" s="73"/>
      <c r="C2165" s="73"/>
      <c r="D2165" s="95"/>
      <c r="E2165" s="73"/>
      <c r="F2165" s="73"/>
      <c r="G2165" s="73"/>
      <c r="H2165" s="73"/>
      <c r="I2165" s="95"/>
      <c r="J2165" s="73"/>
      <c r="K2165" s="95"/>
      <c r="L2165" s="95"/>
      <c r="M2165" s="22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</row>
    <row r="2166">
      <c r="A2166" s="26"/>
      <c r="B2166" s="73"/>
      <c r="C2166" s="73"/>
      <c r="D2166" s="95"/>
      <c r="E2166" s="73"/>
      <c r="F2166" s="73"/>
      <c r="G2166" s="73"/>
      <c r="H2166" s="73"/>
      <c r="I2166" s="95"/>
      <c r="J2166" s="73"/>
      <c r="K2166" s="95"/>
      <c r="L2166" s="95"/>
      <c r="M2166" s="22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</row>
    <row r="2167">
      <c r="A2167" s="26"/>
      <c r="B2167" s="73"/>
      <c r="C2167" s="73"/>
      <c r="D2167" s="95"/>
      <c r="E2167" s="73"/>
      <c r="F2167" s="73"/>
      <c r="G2167" s="73"/>
      <c r="H2167" s="73"/>
      <c r="I2167" s="95"/>
      <c r="J2167" s="73"/>
      <c r="K2167" s="95"/>
      <c r="L2167" s="95"/>
      <c r="M2167" s="22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</row>
    <row r="2168">
      <c r="A2168" s="26"/>
      <c r="B2168" s="73"/>
      <c r="C2168" s="73"/>
      <c r="D2168" s="95"/>
      <c r="E2168" s="73"/>
      <c r="F2168" s="73"/>
      <c r="G2168" s="73"/>
      <c r="H2168" s="73"/>
      <c r="I2168" s="95"/>
      <c r="J2168" s="73"/>
      <c r="K2168" s="95"/>
      <c r="L2168" s="95"/>
      <c r="M2168" s="22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</row>
    <row r="2169">
      <c r="A2169" s="26"/>
      <c r="B2169" s="73"/>
      <c r="C2169" s="73"/>
      <c r="D2169" s="95"/>
      <c r="E2169" s="73"/>
      <c r="F2169" s="73"/>
      <c r="G2169" s="73"/>
      <c r="H2169" s="73"/>
      <c r="I2169" s="95"/>
      <c r="J2169" s="73"/>
      <c r="K2169" s="95"/>
      <c r="L2169" s="95"/>
      <c r="M2169" s="22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</row>
    <row r="2170">
      <c r="A2170" s="26"/>
      <c r="B2170" s="73"/>
      <c r="C2170" s="73"/>
      <c r="D2170" s="95"/>
      <c r="E2170" s="73"/>
      <c r="F2170" s="73"/>
      <c r="G2170" s="73"/>
      <c r="H2170" s="73"/>
      <c r="I2170" s="95"/>
      <c r="J2170" s="73"/>
      <c r="K2170" s="95"/>
      <c r="L2170" s="95"/>
      <c r="M2170" s="22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</row>
    <row r="2171">
      <c r="A2171" s="26"/>
      <c r="B2171" s="73"/>
      <c r="C2171" s="73"/>
      <c r="D2171" s="95"/>
      <c r="E2171" s="73"/>
      <c r="F2171" s="73"/>
      <c r="G2171" s="73"/>
      <c r="H2171" s="73"/>
      <c r="I2171" s="95"/>
      <c r="J2171" s="73"/>
      <c r="K2171" s="95"/>
      <c r="L2171" s="95"/>
      <c r="M2171" s="22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</row>
    <row r="2172">
      <c r="A2172" s="26"/>
      <c r="B2172" s="73"/>
      <c r="C2172" s="73"/>
      <c r="D2172" s="95"/>
      <c r="E2172" s="73"/>
      <c r="F2172" s="73"/>
      <c r="G2172" s="73"/>
      <c r="H2172" s="73"/>
      <c r="I2172" s="95"/>
      <c r="J2172" s="73"/>
      <c r="K2172" s="95"/>
      <c r="L2172" s="95"/>
      <c r="M2172" s="22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</row>
    <row r="2173">
      <c r="A2173" s="26"/>
      <c r="B2173" s="73"/>
      <c r="C2173" s="73"/>
      <c r="D2173" s="95"/>
      <c r="E2173" s="73"/>
      <c r="F2173" s="73"/>
      <c r="G2173" s="73"/>
      <c r="H2173" s="73"/>
      <c r="I2173" s="95"/>
      <c r="J2173" s="73"/>
      <c r="K2173" s="95"/>
      <c r="L2173" s="95"/>
      <c r="M2173" s="22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</row>
    <row r="2174">
      <c r="A2174" s="26"/>
      <c r="B2174" s="73"/>
      <c r="C2174" s="73"/>
      <c r="D2174" s="95"/>
      <c r="E2174" s="73"/>
      <c r="F2174" s="73"/>
      <c r="G2174" s="73"/>
      <c r="H2174" s="73"/>
      <c r="I2174" s="95"/>
      <c r="J2174" s="73"/>
      <c r="K2174" s="95"/>
      <c r="L2174" s="95"/>
      <c r="M2174" s="22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</row>
    <row r="2175">
      <c r="A2175" s="26"/>
      <c r="B2175" s="73"/>
      <c r="C2175" s="73"/>
      <c r="D2175" s="95"/>
      <c r="E2175" s="73"/>
      <c r="F2175" s="73"/>
      <c r="G2175" s="73"/>
      <c r="H2175" s="73"/>
      <c r="I2175" s="95"/>
      <c r="J2175" s="73"/>
      <c r="K2175" s="95"/>
      <c r="L2175" s="95"/>
      <c r="M2175" s="22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</row>
    <row r="2176">
      <c r="A2176" s="26"/>
      <c r="B2176" s="73"/>
      <c r="C2176" s="73"/>
      <c r="D2176" s="95"/>
      <c r="E2176" s="73"/>
      <c r="F2176" s="73"/>
      <c r="G2176" s="73"/>
      <c r="H2176" s="73"/>
      <c r="I2176" s="95"/>
      <c r="J2176" s="73"/>
      <c r="K2176" s="95"/>
      <c r="L2176" s="95"/>
      <c r="M2176" s="22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</row>
    <row r="2177">
      <c r="A2177" s="26"/>
      <c r="B2177" s="73"/>
      <c r="C2177" s="73"/>
      <c r="D2177" s="95"/>
      <c r="E2177" s="73"/>
      <c r="F2177" s="73"/>
      <c r="G2177" s="73"/>
      <c r="H2177" s="73"/>
      <c r="I2177" s="95"/>
      <c r="J2177" s="73"/>
      <c r="K2177" s="95"/>
      <c r="L2177" s="95"/>
      <c r="M2177" s="22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</row>
    <row r="2178">
      <c r="A2178" s="26"/>
      <c r="B2178" s="73"/>
      <c r="C2178" s="73"/>
      <c r="D2178" s="95"/>
      <c r="E2178" s="73"/>
      <c r="F2178" s="73"/>
      <c r="G2178" s="73"/>
      <c r="H2178" s="73"/>
      <c r="I2178" s="95"/>
      <c r="J2178" s="73"/>
      <c r="K2178" s="95"/>
      <c r="L2178" s="95"/>
      <c r="M2178" s="22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</row>
    <row r="2179">
      <c r="A2179" s="26"/>
      <c r="B2179" s="73"/>
      <c r="C2179" s="73"/>
      <c r="D2179" s="95"/>
      <c r="E2179" s="73"/>
      <c r="F2179" s="73"/>
      <c r="G2179" s="73"/>
      <c r="H2179" s="73"/>
      <c r="I2179" s="95"/>
      <c r="J2179" s="73"/>
      <c r="K2179" s="95"/>
      <c r="L2179" s="95"/>
      <c r="M2179" s="22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</row>
    <row r="2180">
      <c r="A2180" s="26"/>
      <c r="B2180" s="73"/>
      <c r="C2180" s="73"/>
      <c r="D2180" s="95"/>
      <c r="E2180" s="73"/>
      <c r="F2180" s="73"/>
      <c r="G2180" s="73"/>
      <c r="H2180" s="73"/>
      <c r="I2180" s="95"/>
      <c r="J2180" s="73"/>
      <c r="K2180" s="95"/>
      <c r="L2180" s="95"/>
      <c r="M2180" s="22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</row>
    <row r="2181">
      <c r="A2181" s="26"/>
      <c r="B2181" s="73"/>
      <c r="C2181" s="73"/>
      <c r="D2181" s="95"/>
      <c r="E2181" s="73"/>
      <c r="F2181" s="73"/>
      <c r="G2181" s="73"/>
      <c r="H2181" s="73"/>
      <c r="I2181" s="95"/>
      <c r="J2181" s="73"/>
      <c r="K2181" s="95"/>
      <c r="L2181" s="95"/>
      <c r="M2181" s="22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</row>
    <row r="2182">
      <c r="A2182" s="26"/>
      <c r="B2182" s="73"/>
      <c r="C2182" s="73"/>
      <c r="D2182" s="95"/>
      <c r="E2182" s="73"/>
      <c r="F2182" s="73"/>
      <c r="G2182" s="73"/>
      <c r="H2182" s="73"/>
      <c r="I2182" s="95"/>
      <c r="J2182" s="73"/>
      <c r="K2182" s="95"/>
      <c r="L2182" s="95"/>
      <c r="M2182" s="22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</row>
    <row r="2183">
      <c r="A2183" s="26"/>
      <c r="B2183" s="73"/>
      <c r="C2183" s="73"/>
      <c r="D2183" s="95"/>
      <c r="E2183" s="73"/>
      <c r="F2183" s="73"/>
      <c r="G2183" s="73"/>
      <c r="H2183" s="73"/>
      <c r="I2183" s="95"/>
      <c r="J2183" s="73"/>
      <c r="K2183" s="95"/>
      <c r="L2183" s="95"/>
      <c r="M2183" s="22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</row>
    <row r="2184">
      <c r="A2184" s="26"/>
      <c r="B2184" s="73"/>
      <c r="C2184" s="73"/>
      <c r="D2184" s="95"/>
      <c r="E2184" s="73"/>
      <c r="F2184" s="73"/>
      <c r="G2184" s="73"/>
      <c r="H2184" s="73"/>
      <c r="I2184" s="95"/>
      <c r="J2184" s="73"/>
      <c r="K2184" s="95"/>
      <c r="L2184" s="95"/>
      <c r="M2184" s="22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</row>
    <row r="2185">
      <c r="A2185" s="26"/>
      <c r="B2185" s="73"/>
      <c r="C2185" s="73"/>
      <c r="D2185" s="95"/>
      <c r="E2185" s="73"/>
      <c r="F2185" s="73"/>
      <c r="G2185" s="73"/>
      <c r="H2185" s="73"/>
      <c r="I2185" s="95"/>
      <c r="J2185" s="73"/>
      <c r="K2185" s="95"/>
      <c r="L2185" s="95"/>
      <c r="M2185" s="22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</row>
    <row r="2186">
      <c r="A2186" s="26"/>
      <c r="B2186" s="73"/>
      <c r="C2186" s="73"/>
      <c r="D2186" s="95"/>
      <c r="E2186" s="73"/>
      <c r="F2186" s="73"/>
      <c r="G2186" s="73"/>
      <c r="H2186" s="73"/>
      <c r="I2186" s="95"/>
      <c r="J2186" s="73"/>
      <c r="K2186" s="95"/>
      <c r="L2186" s="95"/>
      <c r="M2186" s="22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</row>
    <row r="2187">
      <c r="A2187" s="26"/>
      <c r="B2187" s="73"/>
      <c r="C2187" s="73"/>
      <c r="D2187" s="95"/>
      <c r="E2187" s="73"/>
      <c r="F2187" s="73"/>
      <c r="G2187" s="73"/>
      <c r="H2187" s="73"/>
      <c r="I2187" s="95"/>
      <c r="J2187" s="73"/>
      <c r="K2187" s="95"/>
      <c r="L2187" s="95"/>
      <c r="M2187" s="22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</row>
    <row r="2188">
      <c r="A2188" s="26"/>
      <c r="B2188" s="73"/>
      <c r="C2188" s="73"/>
      <c r="D2188" s="95"/>
      <c r="E2188" s="73"/>
      <c r="F2188" s="73"/>
      <c r="G2188" s="73"/>
      <c r="H2188" s="73"/>
      <c r="I2188" s="95"/>
      <c r="J2188" s="73"/>
      <c r="K2188" s="95"/>
      <c r="L2188" s="95"/>
      <c r="M2188" s="22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</row>
    <row r="2189">
      <c r="A2189" s="26"/>
      <c r="B2189" s="73"/>
      <c r="C2189" s="73"/>
      <c r="D2189" s="95"/>
      <c r="E2189" s="73"/>
      <c r="F2189" s="73"/>
      <c r="G2189" s="73"/>
      <c r="H2189" s="73"/>
      <c r="I2189" s="95"/>
      <c r="J2189" s="73"/>
      <c r="K2189" s="95"/>
      <c r="L2189" s="95"/>
      <c r="M2189" s="22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</row>
    <row r="2190">
      <c r="A2190" s="26"/>
      <c r="B2190" s="73"/>
      <c r="C2190" s="73"/>
      <c r="D2190" s="95"/>
      <c r="E2190" s="73"/>
      <c r="F2190" s="73"/>
      <c r="G2190" s="73"/>
      <c r="H2190" s="73"/>
      <c r="I2190" s="95"/>
      <c r="J2190" s="73"/>
      <c r="K2190" s="95"/>
      <c r="L2190" s="95"/>
      <c r="M2190" s="22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</row>
    <row r="2191">
      <c r="A2191" s="26"/>
      <c r="B2191" s="73"/>
      <c r="C2191" s="73"/>
      <c r="D2191" s="95"/>
      <c r="E2191" s="73"/>
      <c r="F2191" s="73"/>
      <c r="G2191" s="73"/>
      <c r="H2191" s="73"/>
      <c r="I2191" s="95"/>
      <c r="J2191" s="73"/>
      <c r="K2191" s="95"/>
      <c r="L2191" s="95"/>
      <c r="M2191" s="22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</row>
    <row r="2192">
      <c r="A2192" s="26"/>
      <c r="B2192" s="73"/>
      <c r="C2192" s="73"/>
      <c r="D2192" s="95"/>
      <c r="E2192" s="73"/>
      <c r="F2192" s="73"/>
      <c r="G2192" s="73"/>
      <c r="H2192" s="73"/>
      <c r="I2192" s="95"/>
      <c r="J2192" s="73"/>
      <c r="K2192" s="95"/>
      <c r="L2192" s="95"/>
      <c r="M2192" s="22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</row>
    <row r="2193">
      <c r="A2193" s="26"/>
      <c r="B2193" s="73"/>
      <c r="C2193" s="73"/>
      <c r="D2193" s="95"/>
      <c r="E2193" s="73"/>
      <c r="F2193" s="73"/>
      <c r="G2193" s="73"/>
      <c r="H2193" s="73"/>
      <c r="I2193" s="95"/>
      <c r="J2193" s="73"/>
      <c r="K2193" s="95"/>
      <c r="L2193" s="95"/>
      <c r="M2193" s="22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</row>
    <row r="2194">
      <c r="A2194" s="26"/>
      <c r="B2194" s="73"/>
      <c r="C2194" s="73"/>
      <c r="D2194" s="95"/>
      <c r="E2194" s="73"/>
      <c r="F2194" s="73"/>
      <c r="G2194" s="73"/>
      <c r="H2194" s="73"/>
      <c r="I2194" s="95"/>
      <c r="J2194" s="73"/>
      <c r="K2194" s="95"/>
      <c r="L2194" s="95"/>
      <c r="M2194" s="22"/>
      <c r="N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</row>
    <row r="2195">
      <c r="A2195" s="26"/>
      <c r="B2195" s="73"/>
      <c r="C2195" s="73"/>
      <c r="D2195" s="95"/>
      <c r="E2195" s="73"/>
      <c r="F2195" s="73"/>
      <c r="G2195" s="73"/>
      <c r="H2195" s="73"/>
      <c r="I2195" s="95"/>
      <c r="J2195" s="73"/>
      <c r="K2195" s="95"/>
      <c r="L2195" s="95"/>
      <c r="M2195" s="22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</row>
    <row r="2196">
      <c r="A2196" s="26"/>
      <c r="B2196" s="73"/>
      <c r="C2196" s="73"/>
      <c r="D2196" s="95"/>
      <c r="E2196" s="73"/>
      <c r="F2196" s="73"/>
      <c r="G2196" s="73"/>
      <c r="H2196" s="73"/>
      <c r="I2196" s="95"/>
      <c r="J2196" s="73"/>
      <c r="K2196" s="95"/>
      <c r="L2196" s="95"/>
      <c r="M2196" s="22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</row>
    <row r="2197">
      <c r="A2197" s="26"/>
      <c r="B2197" s="73"/>
      <c r="C2197" s="73"/>
      <c r="D2197" s="95"/>
      <c r="E2197" s="73"/>
      <c r="F2197" s="73"/>
      <c r="G2197" s="73"/>
      <c r="H2197" s="73"/>
      <c r="I2197" s="95"/>
      <c r="J2197" s="73"/>
      <c r="K2197" s="95"/>
      <c r="L2197" s="95"/>
      <c r="M2197" s="22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</row>
    <row r="2198">
      <c r="A2198" s="26"/>
      <c r="B2198" s="73"/>
      <c r="C2198" s="73"/>
      <c r="D2198" s="95"/>
      <c r="E2198" s="73"/>
      <c r="F2198" s="73"/>
      <c r="G2198" s="73"/>
      <c r="H2198" s="73"/>
      <c r="I2198" s="95"/>
      <c r="J2198" s="73"/>
      <c r="K2198" s="95"/>
      <c r="L2198" s="95"/>
      <c r="M2198" s="22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</row>
    <row r="2199">
      <c r="A2199" s="26"/>
      <c r="B2199" s="73"/>
      <c r="C2199" s="73"/>
      <c r="D2199" s="95"/>
      <c r="E2199" s="73"/>
      <c r="F2199" s="73"/>
      <c r="G2199" s="73"/>
      <c r="H2199" s="73"/>
      <c r="I2199" s="95"/>
      <c r="J2199" s="73"/>
      <c r="K2199" s="95"/>
      <c r="L2199" s="95"/>
      <c r="M2199" s="22"/>
      <c r="N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</row>
    <row r="2200">
      <c r="A2200" s="26"/>
      <c r="B2200" s="73"/>
      <c r="C2200" s="73"/>
      <c r="D2200" s="95"/>
      <c r="E2200" s="73"/>
      <c r="F2200" s="73"/>
      <c r="G2200" s="73"/>
      <c r="H2200" s="73"/>
      <c r="I2200" s="95"/>
      <c r="J2200" s="73"/>
      <c r="K2200" s="95"/>
      <c r="L2200" s="95"/>
      <c r="M2200" s="22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</row>
    <row r="2201">
      <c r="A2201" s="26"/>
      <c r="B2201" s="73"/>
      <c r="C2201" s="73"/>
      <c r="D2201" s="95"/>
      <c r="E2201" s="73"/>
      <c r="F2201" s="73"/>
      <c r="G2201" s="73"/>
      <c r="H2201" s="73"/>
      <c r="I2201" s="95"/>
      <c r="J2201" s="73"/>
      <c r="K2201" s="95"/>
      <c r="L2201" s="95"/>
      <c r="M2201" s="22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</row>
    <row r="2202">
      <c r="A2202" s="26"/>
      <c r="B2202" s="73"/>
      <c r="C2202" s="73"/>
      <c r="D2202" s="95"/>
      <c r="E2202" s="73"/>
      <c r="F2202" s="73"/>
      <c r="G2202" s="73"/>
      <c r="H2202" s="73"/>
      <c r="I2202" s="95"/>
      <c r="J2202" s="73"/>
      <c r="K2202" s="95"/>
      <c r="L2202" s="95"/>
      <c r="M2202" s="22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</row>
    <row r="2203">
      <c r="A2203" s="26"/>
      <c r="B2203" s="73"/>
      <c r="C2203" s="73"/>
      <c r="D2203" s="95"/>
      <c r="E2203" s="73"/>
      <c r="F2203" s="73"/>
      <c r="G2203" s="73"/>
      <c r="H2203" s="73"/>
      <c r="I2203" s="95"/>
      <c r="J2203" s="73"/>
      <c r="K2203" s="95"/>
      <c r="L2203" s="95"/>
      <c r="M2203" s="22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</row>
    <row r="2204">
      <c r="A2204" s="26"/>
      <c r="B2204" s="73"/>
      <c r="C2204" s="73"/>
      <c r="D2204" s="95"/>
      <c r="E2204" s="73"/>
      <c r="F2204" s="73"/>
      <c r="G2204" s="73"/>
      <c r="H2204" s="73"/>
      <c r="I2204" s="95"/>
      <c r="J2204" s="73"/>
      <c r="K2204" s="95"/>
      <c r="L2204" s="95"/>
      <c r="M2204" s="22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</row>
    <row r="2205">
      <c r="A2205" s="26"/>
      <c r="B2205" s="73"/>
      <c r="C2205" s="73"/>
      <c r="D2205" s="95"/>
      <c r="E2205" s="73"/>
      <c r="F2205" s="73"/>
      <c r="G2205" s="73"/>
      <c r="H2205" s="73"/>
      <c r="I2205" s="95"/>
      <c r="J2205" s="73"/>
      <c r="K2205" s="95"/>
      <c r="L2205" s="95"/>
      <c r="M2205" s="22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</row>
    <row r="2206">
      <c r="A2206" s="26"/>
      <c r="B2206" s="73"/>
      <c r="C2206" s="73"/>
      <c r="D2206" s="95"/>
      <c r="E2206" s="73"/>
      <c r="F2206" s="73"/>
      <c r="G2206" s="73"/>
      <c r="H2206" s="73"/>
      <c r="I2206" s="95"/>
      <c r="J2206" s="73"/>
      <c r="K2206" s="95"/>
      <c r="L2206" s="95"/>
      <c r="M2206" s="22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</row>
    <row r="2207">
      <c r="A2207" s="26"/>
      <c r="B2207" s="73"/>
      <c r="C2207" s="73"/>
      <c r="D2207" s="95"/>
      <c r="E2207" s="73"/>
      <c r="F2207" s="73"/>
      <c r="G2207" s="73"/>
      <c r="H2207" s="73"/>
      <c r="I2207" s="95"/>
      <c r="J2207" s="73"/>
      <c r="K2207" s="95"/>
      <c r="L2207" s="95"/>
      <c r="M2207" s="22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</row>
    <row r="2208">
      <c r="A2208" s="26"/>
      <c r="B2208" s="73"/>
      <c r="C2208" s="73"/>
      <c r="D2208" s="95"/>
      <c r="E2208" s="73"/>
      <c r="F2208" s="73"/>
      <c r="G2208" s="73"/>
      <c r="H2208" s="73"/>
      <c r="I2208" s="95"/>
      <c r="J2208" s="73"/>
      <c r="K2208" s="95"/>
      <c r="L2208" s="95"/>
      <c r="M2208" s="22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</row>
    <row r="2209">
      <c r="A2209" s="26"/>
      <c r="B2209" s="73"/>
      <c r="C2209" s="73"/>
      <c r="D2209" s="95"/>
      <c r="E2209" s="73"/>
      <c r="F2209" s="73"/>
      <c r="G2209" s="73"/>
      <c r="H2209" s="73"/>
      <c r="I2209" s="95"/>
      <c r="J2209" s="73"/>
      <c r="K2209" s="95"/>
      <c r="L2209" s="95"/>
      <c r="M2209" s="22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</row>
    <row r="2210">
      <c r="A2210" s="26"/>
      <c r="B2210" s="73"/>
      <c r="C2210" s="73"/>
      <c r="D2210" s="95"/>
      <c r="E2210" s="73"/>
      <c r="F2210" s="73"/>
      <c r="G2210" s="73"/>
      <c r="H2210" s="73"/>
      <c r="I2210" s="95"/>
      <c r="J2210" s="73"/>
      <c r="K2210" s="95"/>
      <c r="L2210" s="95"/>
      <c r="M2210" s="22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</row>
    <row r="2211">
      <c r="A2211" s="26"/>
      <c r="B2211" s="73"/>
      <c r="C2211" s="73"/>
      <c r="D2211" s="95"/>
      <c r="E2211" s="73"/>
      <c r="F2211" s="73"/>
      <c r="G2211" s="73"/>
      <c r="H2211" s="73"/>
      <c r="I2211" s="95"/>
      <c r="J2211" s="73"/>
      <c r="K2211" s="95"/>
      <c r="L2211" s="95"/>
      <c r="M2211" s="22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</row>
    <row r="2212">
      <c r="A2212" s="26"/>
      <c r="B2212" s="73"/>
      <c r="C2212" s="73"/>
      <c r="D2212" s="95"/>
      <c r="E2212" s="73"/>
      <c r="F2212" s="73"/>
      <c r="G2212" s="73"/>
      <c r="H2212" s="73"/>
      <c r="I2212" s="95"/>
      <c r="J2212" s="73"/>
      <c r="K2212" s="95"/>
      <c r="L2212" s="95"/>
      <c r="M2212" s="22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</row>
    <row r="2213">
      <c r="A2213" s="26"/>
      <c r="B2213" s="73"/>
      <c r="C2213" s="73"/>
      <c r="D2213" s="95"/>
      <c r="E2213" s="73"/>
      <c r="F2213" s="73"/>
      <c r="G2213" s="73"/>
      <c r="H2213" s="73"/>
      <c r="I2213" s="95"/>
      <c r="J2213" s="73"/>
      <c r="K2213" s="95"/>
      <c r="L2213" s="95"/>
      <c r="M2213" s="22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</row>
    <row r="2214">
      <c r="A2214" s="26"/>
      <c r="B2214" s="73"/>
      <c r="C2214" s="73"/>
      <c r="D2214" s="95"/>
      <c r="E2214" s="73"/>
      <c r="F2214" s="73"/>
      <c r="G2214" s="73"/>
      <c r="H2214" s="73"/>
      <c r="I2214" s="95"/>
      <c r="J2214" s="73"/>
      <c r="K2214" s="95"/>
      <c r="L2214" s="95"/>
      <c r="M2214" s="22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</row>
    <row r="2215">
      <c r="A2215" s="26"/>
      <c r="B2215" s="73"/>
      <c r="C2215" s="73"/>
      <c r="D2215" s="95"/>
      <c r="E2215" s="73"/>
      <c r="F2215" s="73"/>
      <c r="G2215" s="73"/>
      <c r="H2215" s="73"/>
      <c r="I2215" s="95"/>
      <c r="J2215" s="73"/>
      <c r="K2215" s="95"/>
      <c r="L2215" s="95"/>
      <c r="M2215" s="22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</row>
    <row r="2216">
      <c r="A2216" s="26"/>
      <c r="B2216" s="73"/>
      <c r="C2216" s="73"/>
      <c r="D2216" s="95"/>
      <c r="E2216" s="73"/>
      <c r="F2216" s="73"/>
      <c r="G2216" s="73"/>
      <c r="H2216" s="73"/>
      <c r="I2216" s="95"/>
      <c r="J2216" s="73"/>
      <c r="K2216" s="95"/>
      <c r="L2216" s="95"/>
      <c r="M2216" s="22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</row>
    <row r="2217">
      <c r="A2217" s="26"/>
      <c r="B2217" s="73"/>
      <c r="C2217" s="73"/>
      <c r="D2217" s="95"/>
      <c r="E2217" s="73"/>
      <c r="F2217" s="73"/>
      <c r="G2217" s="73"/>
      <c r="H2217" s="73"/>
      <c r="I2217" s="95"/>
      <c r="J2217" s="73"/>
      <c r="K2217" s="95"/>
      <c r="L2217" s="95"/>
      <c r="M2217" s="22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</row>
    <row r="2218">
      <c r="A2218" s="26"/>
      <c r="B2218" s="73"/>
      <c r="C2218" s="73"/>
      <c r="D2218" s="95"/>
      <c r="E2218" s="73"/>
      <c r="F2218" s="73"/>
      <c r="G2218" s="73"/>
      <c r="H2218" s="73"/>
      <c r="I2218" s="95"/>
      <c r="J2218" s="73"/>
      <c r="K2218" s="95"/>
      <c r="L2218" s="95"/>
      <c r="M2218" s="22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</row>
    <row r="2219">
      <c r="A2219" s="26"/>
      <c r="B2219" s="73"/>
      <c r="C2219" s="73"/>
      <c r="D2219" s="95"/>
      <c r="E2219" s="73"/>
      <c r="F2219" s="73"/>
      <c r="G2219" s="73"/>
      <c r="H2219" s="73"/>
      <c r="I2219" s="95"/>
      <c r="J2219" s="73"/>
      <c r="K2219" s="95"/>
      <c r="L2219" s="95"/>
      <c r="M2219" s="22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</row>
    <row r="2220">
      <c r="A2220" s="26"/>
      <c r="B2220" s="73"/>
      <c r="C2220" s="73"/>
      <c r="D2220" s="95"/>
      <c r="E2220" s="73"/>
      <c r="F2220" s="73"/>
      <c r="G2220" s="73"/>
      <c r="H2220" s="73"/>
      <c r="I2220" s="95"/>
      <c r="J2220" s="73"/>
      <c r="K2220" s="95"/>
      <c r="L2220" s="95"/>
      <c r="M2220" s="22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</row>
    <row r="2221">
      <c r="A2221" s="26"/>
      <c r="B2221" s="73"/>
      <c r="C2221" s="73"/>
      <c r="D2221" s="95"/>
      <c r="E2221" s="73"/>
      <c r="F2221" s="73"/>
      <c r="G2221" s="73"/>
      <c r="H2221" s="73"/>
      <c r="I2221" s="95"/>
      <c r="J2221" s="73"/>
      <c r="K2221" s="95"/>
      <c r="L2221" s="95"/>
      <c r="M2221" s="22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</row>
    <row r="2222">
      <c r="A2222" s="26"/>
      <c r="B2222" s="73"/>
      <c r="C2222" s="73"/>
      <c r="D2222" s="95"/>
      <c r="E2222" s="73"/>
      <c r="F2222" s="73"/>
      <c r="G2222" s="73"/>
      <c r="H2222" s="73"/>
      <c r="I2222" s="95"/>
      <c r="J2222" s="73"/>
      <c r="K2222" s="95"/>
      <c r="L2222" s="95"/>
      <c r="M2222" s="22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</row>
    <row r="2223">
      <c r="A2223" s="26"/>
      <c r="B2223" s="73"/>
      <c r="C2223" s="73"/>
      <c r="D2223" s="95"/>
      <c r="E2223" s="73"/>
      <c r="F2223" s="73"/>
      <c r="G2223" s="73"/>
      <c r="H2223" s="73"/>
      <c r="I2223" s="95"/>
      <c r="J2223" s="73"/>
      <c r="K2223" s="95"/>
      <c r="L2223" s="95"/>
      <c r="M2223" s="22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</row>
    <row r="2224">
      <c r="A2224" s="26"/>
      <c r="B2224" s="73"/>
      <c r="C2224" s="73"/>
      <c r="D2224" s="95"/>
      <c r="E2224" s="73"/>
      <c r="F2224" s="73"/>
      <c r="G2224" s="73"/>
      <c r="H2224" s="73"/>
      <c r="I2224" s="95"/>
      <c r="J2224" s="73"/>
      <c r="K2224" s="95"/>
      <c r="L2224" s="95"/>
      <c r="M2224" s="22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</row>
    <row r="2225">
      <c r="A2225" s="26"/>
      <c r="B2225" s="73"/>
      <c r="C2225" s="73"/>
      <c r="D2225" s="95"/>
      <c r="E2225" s="73"/>
      <c r="F2225" s="73"/>
      <c r="G2225" s="73"/>
      <c r="H2225" s="73"/>
      <c r="I2225" s="95"/>
      <c r="J2225" s="73"/>
      <c r="K2225" s="95"/>
      <c r="L2225" s="95"/>
      <c r="M2225" s="22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</row>
    <row r="2226">
      <c r="A2226" s="26"/>
      <c r="B2226" s="73"/>
      <c r="C2226" s="73"/>
      <c r="D2226" s="95"/>
      <c r="E2226" s="73"/>
      <c r="F2226" s="73"/>
      <c r="G2226" s="73"/>
      <c r="H2226" s="73"/>
      <c r="I2226" s="95"/>
      <c r="J2226" s="73"/>
      <c r="K2226" s="95"/>
      <c r="L2226" s="95"/>
      <c r="M2226" s="22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</row>
    <row r="2227">
      <c r="A2227" s="26"/>
      <c r="B2227" s="73"/>
      <c r="C2227" s="73"/>
      <c r="D2227" s="95"/>
      <c r="E2227" s="73"/>
      <c r="F2227" s="73"/>
      <c r="G2227" s="73"/>
      <c r="H2227" s="73"/>
      <c r="I2227" s="95"/>
      <c r="J2227" s="73"/>
      <c r="K2227" s="95"/>
      <c r="L2227" s="95"/>
      <c r="M2227" s="22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</row>
    <row r="2228">
      <c r="A2228" s="26"/>
      <c r="B2228" s="73"/>
      <c r="C2228" s="73"/>
      <c r="D2228" s="95"/>
      <c r="E2228" s="73"/>
      <c r="F2228" s="73"/>
      <c r="G2228" s="73"/>
      <c r="H2228" s="73"/>
      <c r="I2228" s="95"/>
      <c r="J2228" s="73"/>
      <c r="K2228" s="95"/>
      <c r="L2228" s="95"/>
      <c r="M2228" s="22"/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</row>
    <row r="2229">
      <c r="A2229" s="26"/>
      <c r="B2229" s="73"/>
      <c r="C2229" s="73"/>
      <c r="D2229" s="95"/>
      <c r="E2229" s="73"/>
      <c r="F2229" s="73"/>
      <c r="G2229" s="73"/>
      <c r="H2229" s="73"/>
      <c r="I2229" s="95"/>
      <c r="J2229" s="73"/>
      <c r="K2229" s="95"/>
      <c r="L2229" s="95"/>
      <c r="M2229" s="22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</row>
    <row r="2230">
      <c r="A2230" s="26"/>
      <c r="B2230" s="73"/>
      <c r="C2230" s="73"/>
      <c r="D2230" s="95"/>
      <c r="E2230" s="73"/>
      <c r="F2230" s="73"/>
      <c r="G2230" s="73"/>
      <c r="H2230" s="73"/>
      <c r="I2230" s="95"/>
      <c r="J2230" s="73"/>
      <c r="K2230" s="95"/>
      <c r="L2230" s="95"/>
      <c r="M2230" s="22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</row>
    <row r="2231">
      <c r="A2231" s="26"/>
      <c r="B2231" s="73"/>
      <c r="C2231" s="73"/>
      <c r="D2231" s="95"/>
      <c r="E2231" s="73"/>
      <c r="F2231" s="73"/>
      <c r="G2231" s="73"/>
      <c r="H2231" s="73"/>
      <c r="I2231" s="95"/>
      <c r="J2231" s="73"/>
      <c r="K2231" s="95"/>
      <c r="L2231" s="95"/>
      <c r="M2231" s="22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</row>
    <row r="2232">
      <c r="A2232" s="26"/>
      <c r="B2232" s="73"/>
      <c r="C2232" s="73"/>
      <c r="D2232" s="95"/>
      <c r="E2232" s="73"/>
      <c r="F2232" s="73"/>
      <c r="G2232" s="73"/>
      <c r="H2232" s="73"/>
      <c r="I2232" s="95"/>
      <c r="J2232" s="73"/>
      <c r="K2232" s="95"/>
      <c r="L2232" s="95"/>
      <c r="M2232" s="22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</row>
    <row r="2233">
      <c r="A2233" s="26"/>
      <c r="B2233" s="73"/>
      <c r="C2233" s="73"/>
      <c r="D2233" s="95"/>
      <c r="E2233" s="73"/>
      <c r="F2233" s="73"/>
      <c r="G2233" s="73"/>
      <c r="H2233" s="73"/>
      <c r="I2233" s="95"/>
      <c r="J2233" s="73"/>
      <c r="K2233" s="95"/>
      <c r="L2233" s="95"/>
      <c r="M2233" s="22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</row>
    <row r="2234">
      <c r="A2234" s="26"/>
      <c r="B2234" s="73"/>
      <c r="C2234" s="73"/>
      <c r="D2234" s="95"/>
      <c r="E2234" s="73"/>
      <c r="F2234" s="73"/>
      <c r="G2234" s="73"/>
      <c r="H2234" s="73"/>
      <c r="I2234" s="95"/>
      <c r="J2234" s="73"/>
      <c r="K2234" s="95"/>
      <c r="L2234" s="95"/>
      <c r="M2234" s="22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</row>
    <row r="2235">
      <c r="A2235" s="26"/>
      <c r="B2235" s="73"/>
      <c r="C2235" s="73"/>
      <c r="D2235" s="95"/>
      <c r="E2235" s="73"/>
      <c r="F2235" s="73"/>
      <c r="G2235" s="73"/>
      <c r="H2235" s="73"/>
      <c r="I2235" s="95"/>
      <c r="J2235" s="73"/>
      <c r="K2235" s="95"/>
      <c r="L2235" s="95"/>
      <c r="M2235" s="22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</row>
    <row r="2236">
      <c r="A2236" s="26"/>
      <c r="B2236" s="73"/>
      <c r="C2236" s="73"/>
      <c r="D2236" s="95"/>
      <c r="E2236" s="73"/>
      <c r="F2236" s="73"/>
      <c r="G2236" s="73"/>
      <c r="H2236" s="73"/>
      <c r="I2236" s="95"/>
      <c r="J2236" s="73"/>
      <c r="K2236" s="95"/>
      <c r="L2236" s="95"/>
      <c r="M2236" s="22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</row>
    <row r="2237">
      <c r="A2237" s="26"/>
      <c r="B2237" s="73"/>
      <c r="C2237" s="73"/>
      <c r="D2237" s="95"/>
      <c r="E2237" s="73"/>
      <c r="F2237" s="73"/>
      <c r="G2237" s="73"/>
      <c r="H2237" s="73"/>
      <c r="I2237" s="95"/>
      <c r="J2237" s="73"/>
      <c r="K2237" s="95"/>
      <c r="L2237" s="95"/>
      <c r="M2237" s="22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</row>
    <row r="2238">
      <c r="A2238" s="26"/>
      <c r="B2238" s="73"/>
      <c r="C2238" s="73"/>
      <c r="D2238" s="95"/>
      <c r="E2238" s="73"/>
      <c r="F2238" s="73"/>
      <c r="G2238" s="73"/>
      <c r="H2238" s="73"/>
      <c r="I2238" s="95"/>
      <c r="J2238" s="73"/>
      <c r="K2238" s="95"/>
      <c r="L2238" s="95"/>
      <c r="M2238" s="22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</row>
    <row r="2239">
      <c r="A2239" s="26"/>
      <c r="B2239" s="73"/>
      <c r="C2239" s="73"/>
      <c r="D2239" s="95"/>
      <c r="E2239" s="73"/>
      <c r="F2239" s="73"/>
      <c r="G2239" s="73"/>
      <c r="H2239" s="73"/>
      <c r="I2239" s="95"/>
      <c r="J2239" s="73"/>
      <c r="K2239" s="95"/>
      <c r="L2239" s="95"/>
      <c r="M2239" s="22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</row>
    <row r="2240">
      <c r="A2240" s="26"/>
      <c r="B2240" s="73"/>
      <c r="C2240" s="73"/>
      <c r="D2240" s="95"/>
      <c r="E2240" s="73"/>
      <c r="F2240" s="73"/>
      <c r="G2240" s="73"/>
      <c r="H2240" s="73"/>
      <c r="I2240" s="95"/>
      <c r="J2240" s="73"/>
      <c r="K2240" s="95"/>
      <c r="L2240" s="95"/>
      <c r="M2240" s="22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</row>
    <row r="2241">
      <c r="A2241" s="26"/>
      <c r="B2241" s="73"/>
      <c r="C2241" s="73"/>
      <c r="D2241" s="95"/>
      <c r="E2241" s="73"/>
      <c r="F2241" s="73"/>
      <c r="G2241" s="73"/>
      <c r="H2241" s="73"/>
      <c r="I2241" s="95"/>
      <c r="J2241" s="73"/>
      <c r="K2241" s="95"/>
      <c r="L2241" s="95"/>
      <c r="M2241" s="22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</row>
    <row r="2242">
      <c r="A2242" s="26"/>
      <c r="B2242" s="73"/>
      <c r="C2242" s="73"/>
      <c r="D2242" s="95"/>
      <c r="E2242" s="73"/>
      <c r="F2242" s="73"/>
      <c r="G2242" s="73"/>
      <c r="H2242" s="73"/>
      <c r="I2242" s="95"/>
      <c r="J2242" s="73"/>
      <c r="K2242" s="95"/>
      <c r="L2242" s="95"/>
      <c r="M2242" s="22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</row>
    <row r="2243">
      <c r="A2243" s="26"/>
      <c r="B2243" s="73"/>
      <c r="C2243" s="73"/>
      <c r="D2243" s="95"/>
      <c r="E2243" s="73"/>
      <c r="F2243" s="73"/>
      <c r="G2243" s="73"/>
      <c r="H2243" s="73"/>
      <c r="I2243" s="95"/>
      <c r="J2243" s="73"/>
      <c r="K2243" s="95"/>
      <c r="L2243" s="95"/>
      <c r="M2243" s="22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</row>
    <row r="2244">
      <c r="A2244" s="26"/>
      <c r="B2244" s="73"/>
      <c r="C2244" s="73"/>
      <c r="D2244" s="95"/>
      <c r="E2244" s="73"/>
      <c r="F2244" s="73"/>
      <c r="G2244" s="73"/>
      <c r="H2244" s="73"/>
      <c r="I2244" s="95"/>
      <c r="J2244" s="73"/>
      <c r="K2244" s="95"/>
      <c r="L2244" s="95"/>
      <c r="M2244" s="22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</row>
    <row r="2245">
      <c r="A2245" s="26"/>
      <c r="B2245" s="73"/>
      <c r="C2245" s="73"/>
      <c r="D2245" s="95"/>
      <c r="E2245" s="73"/>
      <c r="F2245" s="73"/>
      <c r="G2245" s="73"/>
      <c r="H2245" s="73"/>
      <c r="I2245" s="95"/>
      <c r="J2245" s="73"/>
      <c r="K2245" s="95"/>
      <c r="L2245" s="95"/>
      <c r="M2245" s="22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</row>
    <row r="2246">
      <c r="A2246" s="26"/>
      <c r="B2246" s="73"/>
      <c r="C2246" s="73"/>
      <c r="D2246" s="95"/>
      <c r="E2246" s="73"/>
      <c r="F2246" s="73"/>
      <c r="G2246" s="73"/>
      <c r="H2246" s="73"/>
      <c r="I2246" s="95"/>
      <c r="J2246" s="73"/>
      <c r="K2246" s="95"/>
      <c r="L2246" s="95"/>
      <c r="M2246" s="22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</row>
    <row r="2247">
      <c r="A2247" s="26"/>
      <c r="B2247" s="73"/>
      <c r="C2247" s="73"/>
      <c r="D2247" s="95"/>
      <c r="E2247" s="73"/>
      <c r="F2247" s="73"/>
      <c r="G2247" s="73"/>
      <c r="H2247" s="73"/>
      <c r="I2247" s="95"/>
      <c r="J2247" s="73"/>
      <c r="K2247" s="95"/>
      <c r="L2247" s="95"/>
      <c r="M2247" s="22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</row>
    <row r="2248">
      <c r="A2248" s="26"/>
      <c r="B2248" s="73"/>
      <c r="C2248" s="73"/>
      <c r="D2248" s="95"/>
      <c r="E2248" s="73"/>
      <c r="F2248" s="73"/>
      <c r="G2248" s="73"/>
      <c r="H2248" s="73"/>
      <c r="I2248" s="95"/>
      <c r="J2248" s="73"/>
      <c r="K2248" s="95"/>
      <c r="L2248" s="95"/>
      <c r="M2248" s="22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</row>
    <row r="2249">
      <c r="A2249" s="26"/>
      <c r="B2249" s="73"/>
      <c r="C2249" s="73"/>
      <c r="D2249" s="95"/>
      <c r="E2249" s="73"/>
      <c r="F2249" s="73"/>
      <c r="G2249" s="73"/>
      <c r="H2249" s="73"/>
      <c r="I2249" s="95"/>
      <c r="J2249" s="73"/>
      <c r="K2249" s="95"/>
      <c r="L2249" s="95"/>
      <c r="M2249" s="22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</row>
    <row r="2250">
      <c r="A2250" s="26"/>
      <c r="B2250" s="73"/>
      <c r="C2250" s="73"/>
      <c r="D2250" s="95"/>
      <c r="E2250" s="73"/>
      <c r="F2250" s="73"/>
      <c r="G2250" s="73"/>
      <c r="H2250" s="73"/>
      <c r="I2250" s="95"/>
      <c r="J2250" s="73"/>
      <c r="K2250" s="95"/>
      <c r="L2250" s="95"/>
      <c r="M2250" s="22"/>
      <c r="N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</row>
    <row r="2251">
      <c r="A2251" s="26"/>
      <c r="B2251" s="73"/>
      <c r="C2251" s="73"/>
      <c r="D2251" s="95"/>
      <c r="E2251" s="73"/>
      <c r="F2251" s="73"/>
      <c r="G2251" s="73"/>
      <c r="H2251" s="73"/>
      <c r="I2251" s="95"/>
      <c r="J2251" s="73"/>
      <c r="K2251" s="95"/>
      <c r="L2251" s="95"/>
      <c r="M2251" s="22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</row>
    <row r="2252">
      <c r="A2252" s="26"/>
      <c r="B2252" s="73"/>
      <c r="C2252" s="73"/>
      <c r="D2252" s="95"/>
      <c r="E2252" s="73"/>
      <c r="F2252" s="73"/>
      <c r="G2252" s="73"/>
      <c r="H2252" s="73"/>
      <c r="I2252" s="95"/>
      <c r="J2252" s="73"/>
      <c r="K2252" s="95"/>
      <c r="L2252" s="95"/>
      <c r="M2252" s="22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</row>
    <row r="2253">
      <c r="A2253" s="26"/>
      <c r="B2253" s="73"/>
      <c r="C2253" s="73"/>
      <c r="D2253" s="95"/>
      <c r="E2253" s="73"/>
      <c r="F2253" s="73"/>
      <c r="G2253" s="73"/>
      <c r="H2253" s="73"/>
      <c r="I2253" s="95"/>
      <c r="J2253" s="73"/>
      <c r="K2253" s="95"/>
      <c r="L2253" s="95"/>
      <c r="M2253" s="22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</row>
    <row r="2254">
      <c r="A2254" s="26"/>
      <c r="B2254" s="73"/>
      <c r="C2254" s="73"/>
      <c r="D2254" s="95"/>
      <c r="E2254" s="73"/>
      <c r="F2254" s="73"/>
      <c r="G2254" s="73"/>
      <c r="H2254" s="73"/>
      <c r="I2254" s="95"/>
      <c r="J2254" s="73"/>
      <c r="K2254" s="95"/>
      <c r="L2254" s="95"/>
      <c r="M2254" s="22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</row>
    <row r="2255">
      <c r="A2255" s="26"/>
      <c r="B2255" s="73"/>
      <c r="C2255" s="73"/>
      <c r="D2255" s="95"/>
      <c r="E2255" s="73"/>
      <c r="F2255" s="73"/>
      <c r="G2255" s="73"/>
      <c r="H2255" s="73"/>
      <c r="I2255" s="95"/>
      <c r="J2255" s="73"/>
      <c r="K2255" s="95"/>
      <c r="L2255" s="95"/>
      <c r="M2255" s="22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</row>
    <row r="2256">
      <c r="A2256" s="26"/>
      <c r="B2256" s="73"/>
      <c r="C2256" s="73"/>
      <c r="D2256" s="95"/>
      <c r="E2256" s="73"/>
      <c r="F2256" s="73"/>
      <c r="G2256" s="73"/>
      <c r="H2256" s="73"/>
      <c r="I2256" s="95"/>
      <c r="J2256" s="73"/>
      <c r="K2256" s="95"/>
      <c r="L2256" s="95"/>
      <c r="M2256" s="22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</row>
    <row r="2257">
      <c r="A2257" s="26"/>
      <c r="B2257" s="73"/>
      <c r="C2257" s="73"/>
      <c r="D2257" s="95"/>
      <c r="E2257" s="73"/>
      <c r="F2257" s="73"/>
      <c r="G2257" s="73"/>
      <c r="H2257" s="73"/>
      <c r="I2257" s="95"/>
      <c r="J2257" s="73"/>
      <c r="K2257" s="95"/>
      <c r="L2257" s="95"/>
      <c r="M2257" s="22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</row>
    <row r="2258">
      <c r="A2258" s="26"/>
      <c r="B2258" s="73"/>
      <c r="C2258" s="73"/>
      <c r="D2258" s="95"/>
      <c r="E2258" s="73"/>
      <c r="F2258" s="73"/>
      <c r="G2258" s="73"/>
      <c r="H2258" s="73"/>
      <c r="I2258" s="95"/>
      <c r="J2258" s="73"/>
      <c r="K2258" s="95"/>
      <c r="L2258" s="95"/>
      <c r="M2258" s="22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</row>
    <row r="2259">
      <c r="A2259" s="26"/>
      <c r="B2259" s="73"/>
      <c r="C2259" s="73"/>
      <c r="D2259" s="95"/>
      <c r="E2259" s="73"/>
      <c r="F2259" s="73"/>
      <c r="G2259" s="73"/>
      <c r="H2259" s="73"/>
      <c r="I2259" s="95"/>
      <c r="J2259" s="73"/>
      <c r="K2259" s="95"/>
      <c r="L2259" s="95"/>
      <c r="M2259" s="22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</row>
    <row r="2260">
      <c r="A2260" s="26"/>
      <c r="B2260" s="73"/>
      <c r="C2260" s="73"/>
      <c r="D2260" s="95"/>
      <c r="E2260" s="73"/>
      <c r="F2260" s="73"/>
      <c r="G2260" s="73"/>
      <c r="H2260" s="73"/>
      <c r="I2260" s="95"/>
      <c r="J2260" s="73"/>
      <c r="K2260" s="95"/>
      <c r="L2260" s="95"/>
      <c r="M2260" s="22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</row>
    <row r="2261">
      <c r="A2261" s="26"/>
      <c r="B2261" s="73"/>
      <c r="C2261" s="73"/>
      <c r="D2261" s="95"/>
      <c r="E2261" s="73"/>
      <c r="F2261" s="73"/>
      <c r="G2261" s="73"/>
      <c r="H2261" s="73"/>
      <c r="I2261" s="95"/>
      <c r="J2261" s="73"/>
      <c r="K2261" s="95"/>
      <c r="L2261" s="95"/>
      <c r="M2261" s="22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</row>
    <row r="2262">
      <c r="A2262" s="26"/>
      <c r="B2262" s="73"/>
      <c r="C2262" s="73"/>
      <c r="D2262" s="95"/>
      <c r="E2262" s="73"/>
      <c r="F2262" s="73"/>
      <c r="G2262" s="73"/>
      <c r="H2262" s="73"/>
      <c r="I2262" s="95"/>
      <c r="J2262" s="73"/>
      <c r="K2262" s="95"/>
      <c r="L2262" s="95"/>
      <c r="M2262" s="22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</row>
    <row r="2263">
      <c r="A2263" s="26"/>
      <c r="B2263" s="73"/>
      <c r="C2263" s="73"/>
      <c r="D2263" s="95"/>
      <c r="E2263" s="73"/>
      <c r="F2263" s="73"/>
      <c r="G2263" s="73"/>
      <c r="H2263" s="73"/>
      <c r="I2263" s="95"/>
      <c r="J2263" s="73"/>
      <c r="K2263" s="95"/>
      <c r="L2263" s="95"/>
      <c r="M2263" s="22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</row>
    <row r="2264">
      <c r="A2264" s="26"/>
      <c r="B2264" s="73"/>
      <c r="C2264" s="73"/>
      <c r="D2264" s="95"/>
      <c r="E2264" s="73"/>
      <c r="F2264" s="73"/>
      <c r="G2264" s="73"/>
      <c r="H2264" s="73"/>
      <c r="I2264" s="95"/>
      <c r="J2264" s="73"/>
      <c r="K2264" s="95"/>
      <c r="L2264" s="95"/>
      <c r="M2264" s="22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</row>
    <row r="2265">
      <c r="A2265" s="26"/>
      <c r="B2265" s="73"/>
      <c r="C2265" s="73"/>
      <c r="D2265" s="95"/>
      <c r="E2265" s="73"/>
      <c r="F2265" s="73"/>
      <c r="G2265" s="73"/>
      <c r="H2265" s="73"/>
      <c r="I2265" s="95"/>
      <c r="J2265" s="73"/>
      <c r="K2265" s="95"/>
      <c r="L2265" s="95"/>
      <c r="M2265" s="22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</row>
    <row r="2266">
      <c r="A2266" s="26"/>
      <c r="B2266" s="73"/>
      <c r="C2266" s="73"/>
      <c r="D2266" s="95"/>
      <c r="E2266" s="73"/>
      <c r="F2266" s="73"/>
      <c r="G2266" s="73"/>
      <c r="H2266" s="73"/>
      <c r="I2266" s="95"/>
      <c r="J2266" s="73"/>
      <c r="K2266" s="95"/>
      <c r="L2266" s="95"/>
      <c r="M2266" s="22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</row>
    <row r="2267">
      <c r="A2267" s="26"/>
      <c r="B2267" s="73"/>
      <c r="C2267" s="73"/>
      <c r="D2267" s="95"/>
      <c r="E2267" s="73"/>
      <c r="F2267" s="73"/>
      <c r="G2267" s="73"/>
      <c r="H2267" s="73"/>
      <c r="I2267" s="95"/>
      <c r="J2267" s="73"/>
      <c r="K2267" s="95"/>
      <c r="L2267" s="95"/>
      <c r="M2267" s="22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</row>
    <row r="2268">
      <c r="A2268" s="26"/>
      <c r="B2268" s="73"/>
      <c r="C2268" s="73"/>
      <c r="D2268" s="95"/>
      <c r="E2268" s="73"/>
      <c r="F2268" s="73"/>
      <c r="G2268" s="73"/>
      <c r="H2268" s="73"/>
      <c r="I2268" s="95"/>
      <c r="J2268" s="73"/>
      <c r="K2268" s="95"/>
      <c r="L2268" s="95"/>
      <c r="M2268" s="22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</row>
    <row r="2269">
      <c r="A2269" s="26"/>
      <c r="B2269" s="73"/>
      <c r="C2269" s="73"/>
      <c r="D2269" s="95"/>
      <c r="E2269" s="73"/>
      <c r="F2269" s="73"/>
      <c r="G2269" s="73"/>
      <c r="H2269" s="73"/>
      <c r="I2269" s="95"/>
      <c r="J2269" s="73"/>
      <c r="K2269" s="95"/>
      <c r="L2269" s="95"/>
      <c r="M2269" s="22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</row>
    <row r="2270">
      <c r="A2270" s="26"/>
      <c r="B2270" s="73"/>
      <c r="C2270" s="73"/>
      <c r="D2270" s="95"/>
      <c r="E2270" s="73"/>
      <c r="F2270" s="73"/>
      <c r="G2270" s="73"/>
      <c r="H2270" s="73"/>
      <c r="I2270" s="95"/>
      <c r="J2270" s="73"/>
      <c r="K2270" s="95"/>
      <c r="L2270" s="95"/>
      <c r="M2270" s="22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</row>
    <row r="2271">
      <c r="A2271" s="26"/>
      <c r="B2271" s="73"/>
      <c r="C2271" s="73"/>
      <c r="D2271" s="95"/>
      <c r="E2271" s="73"/>
      <c r="F2271" s="73"/>
      <c r="G2271" s="73"/>
      <c r="H2271" s="73"/>
      <c r="I2271" s="95"/>
      <c r="J2271" s="73"/>
      <c r="K2271" s="95"/>
      <c r="L2271" s="95"/>
      <c r="M2271" s="22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</row>
    <row r="2272">
      <c r="A2272" s="26"/>
      <c r="B2272" s="73"/>
      <c r="C2272" s="73"/>
      <c r="D2272" s="95"/>
      <c r="E2272" s="73"/>
      <c r="F2272" s="73"/>
      <c r="G2272" s="73"/>
      <c r="H2272" s="73"/>
      <c r="I2272" s="95"/>
      <c r="J2272" s="73"/>
      <c r="K2272" s="95"/>
      <c r="L2272" s="95"/>
      <c r="M2272" s="22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</row>
    <row r="2273">
      <c r="A2273" s="26"/>
      <c r="B2273" s="73"/>
      <c r="C2273" s="73"/>
      <c r="D2273" s="95"/>
      <c r="E2273" s="73"/>
      <c r="F2273" s="73"/>
      <c r="G2273" s="73"/>
      <c r="H2273" s="73"/>
      <c r="I2273" s="95"/>
      <c r="J2273" s="73"/>
      <c r="K2273" s="95"/>
      <c r="L2273" s="95"/>
      <c r="M2273" s="22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</row>
    <row r="2274">
      <c r="A2274" s="26"/>
      <c r="B2274" s="73"/>
      <c r="C2274" s="73"/>
      <c r="D2274" s="95"/>
      <c r="E2274" s="73"/>
      <c r="F2274" s="73"/>
      <c r="G2274" s="73"/>
      <c r="H2274" s="73"/>
      <c r="I2274" s="95"/>
      <c r="J2274" s="73"/>
      <c r="K2274" s="95"/>
      <c r="L2274" s="95"/>
      <c r="M2274" s="22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</row>
    <row r="2275">
      <c r="A2275" s="26"/>
      <c r="B2275" s="73"/>
      <c r="C2275" s="73"/>
      <c r="D2275" s="95"/>
      <c r="E2275" s="73"/>
      <c r="F2275" s="73"/>
      <c r="G2275" s="73"/>
      <c r="H2275" s="73"/>
      <c r="I2275" s="95"/>
      <c r="J2275" s="73"/>
      <c r="K2275" s="95"/>
      <c r="L2275" s="95"/>
      <c r="M2275" s="22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</row>
    <row r="2276">
      <c r="A2276" s="26"/>
      <c r="B2276" s="73"/>
      <c r="C2276" s="73"/>
      <c r="D2276" s="95"/>
      <c r="E2276" s="73"/>
      <c r="F2276" s="73"/>
      <c r="G2276" s="73"/>
      <c r="H2276" s="73"/>
      <c r="I2276" s="95"/>
      <c r="J2276" s="73"/>
      <c r="K2276" s="95"/>
      <c r="L2276" s="95"/>
      <c r="M2276" s="22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</row>
    <row r="2277">
      <c r="A2277" s="26"/>
      <c r="B2277" s="73"/>
      <c r="C2277" s="73"/>
      <c r="D2277" s="95"/>
      <c r="E2277" s="73"/>
      <c r="F2277" s="73"/>
      <c r="G2277" s="73"/>
      <c r="H2277" s="73"/>
      <c r="I2277" s="95"/>
      <c r="J2277" s="73"/>
      <c r="K2277" s="95"/>
      <c r="L2277" s="95"/>
      <c r="M2277" s="22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</row>
    <row r="2278">
      <c r="A2278" s="26"/>
      <c r="B2278" s="73"/>
      <c r="C2278" s="73"/>
      <c r="D2278" s="95"/>
      <c r="E2278" s="73"/>
      <c r="F2278" s="73"/>
      <c r="G2278" s="73"/>
      <c r="H2278" s="73"/>
      <c r="I2278" s="95"/>
      <c r="J2278" s="73"/>
      <c r="K2278" s="95"/>
      <c r="L2278" s="95"/>
      <c r="M2278" s="22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</row>
    <row r="2279">
      <c r="A2279" s="26"/>
      <c r="B2279" s="73"/>
      <c r="C2279" s="73"/>
      <c r="D2279" s="95"/>
      <c r="E2279" s="73"/>
      <c r="F2279" s="73"/>
      <c r="G2279" s="73"/>
      <c r="H2279" s="73"/>
      <c r="I2279" s="95"/>
      <c r="J2279" s="73"/>
      <c r="K2279" s="95"/>
      <c r="L2279" s="95"/>
      <c r="M2279" s="22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</row>
    <row r="2280">
      <c r="A2280" s="26"/>
      <c r="B2280" s="73"/>
      <c r="C2280" s="73"/>
      <c r="D2280" s="95"/>
      <c r="E2280" s="73"/>
      <c r="F2280" s="73"/>
      <c r="G2280" s="73"/>
      <c r="H2280" s="73"/>
      <c r="I2280" s="95"/>
      <c r="J2280" s="73"/>
      <c r="K2280" s="95"/>
      <c r="L2280" s="95"/>
      <c r="M2280" s="22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</row>
    <row r="2281">
      <c r="A2281" s="26"/>
      <c r="B2281" s="73"/>
      <c r="C2281" s="73"/>
      <c r="D2281" s="95"/>
      <c r="E2281" s="73"/>
      <c r="F2281" s="73"/>
      <c r="G2281" s="73"/>
      <c r="H2281" s="73"/>
      <c r="I2281" s="95"/>
      <c r="J2281" s="73"/>
      <c r="K2281" s="95"/>
      <c r="L2281" s="95"/>
      <c r="M2281" s="22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</row>
    <row r="2282">
      <c r="A2282" s="26"/>
      <c r="B2282" s="73"/>
      <c r="C2282" s="73"/>
      <c r="D2282" s="95"/>
      <c r="E2282" s="73"/>
      <c r="F2282" s="73"/>
      <c r="G2282" s="73"/>
      <c r="H2282" s="73"/>
      <c r="I2282" s="95"/>
      <c r="J2282" s="73"/>
      <c r="K2282" s="95"/>
      <c r="L2282" s="95"/>
      <c r="M2282" s="22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</row>
    <row r="2283">
      <c r="A2283" s="26"/>
      <c r="B2283" s="73"/>
      <c r="C2283" s="73"/>
      <c r="D2283" s="95"/>
      <c r="E2283" s="73"/>
      <c r="F2283" s="73"/>
      <c r="G2283" s="73"/>
      <c r="H2283" s="73"/>
      <c r="I2283" s="95"/>
      <c r="J2283" s="73"/>
      <c r="K2283" s="95"/>
      <c r="L2283" s="95"/>
      <c r="M2283" s="22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</row>
    <row r="2284">
      <c r="A2284" s="26"/>
      <c r="B2284" s="73"/>
      <c r="C2284" s="73"/>
      <c r="D2284" s="95"/>
      <c r="E2284" s="73"/>
      <c r="F2284" s="73"/>
      <c r="G2284" s="73"/>
      <c r="H2284" s="73"/>
      <c r="I2284" s="95"/>
      <c r="J2284" s="73"/>
      <c r="K2284" s="95"/>
      <c r="L2284" s="95"/>
      <c r="M2284" s="22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</row>
    <row r="2285">
      <c r="A2285" s="26"/>
      <c r="B2285" s="73"/>
      <c r="C2285" s="73"/>
      <c r="D2285" s="95"/>
      <c r="E2285" s="73"/>
      <c r="F2285" s="73"/>
      <c r="G2285" s="73"/>
      <c r="H2285" s="73"/>
      <c r="I2285" s="95"/>
      <c r="J2285" s="73"/>
      <c r="K2285" s="95"/>
      <c r="L2285" s="95"/>
      <c r="M2285" s="22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</row>
    <row r="2286">
      <c r="A2286" s="26"/>
      <c r="B2286" s="73"/>
      <c r="C2286" s="73"/>
      <c r="D2286" s="95"/>
      <c r="E2286" s="73"/>
      <c r="F2286" s="73"/>
      <c r="G2286" s="73"/>
      <c r="H2286" s="73"/>
      <c r="I2286" s="95"/>
      <c r="J2286" s="73"/>
      <c r="K2286" s="95"/>
      <c r="L2286" s="95"/>
      <c r="M2286" s="22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</row>
    <row r="2287">
      <c r="A2287" s="26"/>
      <c r="B2287" s="73"/>
      <c r="C2287" s="73"/>
      <c r="D2287" s="95"/>
      <c r="E2287" s="73"/>
      <c r="F2287" s="73"/>
      <c r="G2287" s="73"/>
      <c r="H2287" s="73"/>
      <c r="I2287" s="95"/>
      <c r="J2287" s="73"/>
      <c r="K2287" s="95"/>
      <c r="L2287" s="95"/>
      <c r="M2287" s="22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</row>
    <row r="2288">
      <c r="A2288" s="26"/>
      <c r="B2288" s="73"/>
      <c r="C2288" s="73"/>
      <c r="D2288" s="95"/>
      <c r="E2288" s="73"/>
      <c r="F2288" s="73"/>
      <c r="G2288" s="73"/>
      <c r="H2288" s="73"/>
      <c r="I2288" s="95"/>
      <c r="J2288" s="73"/>
      <c r="K2288" s="95"/>
      <c r="L2288" s="95"/>
      <c r="M2288" s="22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</row>
    <row r="2289">
      <c r="A2289" s="26"/>
      <c r="B2289" s="73"/>
      <c r="C2289" s="73"/>
      <c r="D2289" s="95"/>
      <c r="E2289" s="73"/>
      <c r="F2289" s="73"/>
      <c r="G2289" s="73"/>
      <c r="H2289" s="73"/>
      <c r="I2289" s="95"/>
      <c r="J2289" s="73"/>
      <c r="K2289" s="95"/>
      <c r="L2289" s="95"/>
      <c r="M2289" s="22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</row>
    <row r="2290">
      <c r="A2290" s="26"/>
      <c r="B2290" s="73"/>
      <c r="C2290" s="73"/>
      <c r="D2290" s="95"/>
      <c r="E2290" s="73"/>
      <c r="F2290" s="73"/>
      <c r="G2290" s="73"/>
      <c r="H2290" s="73"/>
      <c r="I2290" s="95"/>
      <c r="J2290" s="73"/>
      <c r="K2290" s="95"/>
      <c r="L2290" s="95"/>
      <c r="M2290" s="22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</row>
    <row r="2291">
      <c r="A2291" s="26"/>
      <c r="B2291" s="73"/>
      <c r="C2291" s="73"/>
      <c r="D2291" s="95"/>
      <c r="E2291" s="73"/>
      <c r="F2291" s="73"/>
      <c r="G2291" s="73"/>
      <c r="H2291" s="73"/>
      <c r="I2291" s="95"/>
      <c r="J2291" s="73"/>
      <c r="K2291" s="95"/>
      <c r="L2291" s="95"/>
      <c r="M2291" s="22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</row>
    <row r="2292">
      <c r="A2292" s="26"/>
      <c r="B2292" s="73"/>
      <c r="C2292" s="73"/>
      <c r="D2292" s="95"/>
      <c r="E2292" s="73"/>
      <c r="F2292" s="73"/>
      <c r="G2292" s="73"/>
      <c r="H2292" s="73"/>
      <c r="I2292" s="95"/>
      <c r="J2292" s="73"/>
      <c r="K2292" s="95"/>
      <c r="L2292" s="95"/>
      <c r="M2292" s="22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</row>
    <row r="2293">
      <c r="A2293" s="26"/>
      <c r="B2293" s="73"/>
      <c r="C2293" s="73"/>
      <c r="D2293" s="95"/>
      <c r="E2293" s="73"/>
      <c r="F2293" s="73"/>
      <c r="G2293" s="73"/>
      <c r="H2293" s="73"/>
      <c r="I2293" s="95"/>
      <c r="J2293" s="73"/>
      <c r="K2293" s="95"/>
      <c r="L2293" s="95"/>
      <c r="M2293" s="22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</row>
    <row r="2294">
      <c r="A2294" s="26"/>
      <c r="B2294" s="73"/>
      <c r="C2294" s="73"/>
      <c r="D2294" s="95"/>
      <c r="E2294" s="73"/>
      <c r="F2294" s="73"/>
      <c r="G2294" s="73"/>
      <c r="H2294" s="73"/>
      <c r="I2294" s="95"/>
      <c r="J2294" s="73"/>
      <c r="K2294" s="95"/>
      <c r="L2294" s="95"/>
      <c r="M2294" s="22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</row>
    <row r="2295">
      <c r="A2295" s="26"/>
      <c r="B2295" s="73"/>
      <c r="C2295" s="73"/>
      <c r="D2295" s="95"/>
      <c r="E2295" s="73"/>
      <c r="F2295" s="73"/>
      <c r="G2295" s="73"/>
      <c r="H2295" s="73"/>
      <c r="I2295" s="95"/>
      <c r="J2295" s="73"/>
      <c r="K2295" s="95"/>
      <c r="L2295" s="95"/>
      <c r="M2295" s="22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</row>
    <row r="2296">
      <c r="A2296" s="26"/>
      <c r="B2296" s="73"/>
      <c r="C2296" s="73"/>
      <c r="D2296" s="95"/>
      <c r="E2296" s="73"/>
      <c r="F2296" s="73"/>
      <c r="G2296" s="73"/>
      <c r="H2296" s="73"/>
      <c r="I2296" s="95"/>
      <c r="J2296" s="73"/>
      <c r="K2296" s="95"/>
      <c r="L2296" s="95"/>
      <c r="M2296" s="22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</row>
    <row r="2297">
      <c r="A2297" s="26"/>
      <c r="B2297" s="73"/>
      <c r="C2297" s="73"/>
      <c r="D2297" s="95"/>
      <c r="E2297" s="73"/>
      <c r="F2297" s="73"/>
      <c r="G2297" s="73"/>
      <c r="H2297" s="73"/>
      <c r="I2297" s="95"/>
      <c r="J2297" s="73"/>
      <c r="K2297" s="95"/>
      <c r="L2297" s="95"/>
      <c r="M2297" s="22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</row>
    <row r="2298">
      <c r="A2298" s="26"/>
      <c r="B2298" s="73"/>
      <c r="C2298" s="73"/>
      <c r="D2298" s="95"/>
      <c r="E2298" s="73"/>
      <c r="F2298" s="73"/>
      <c r="G2298" s="73"/>
      <c r="H2298" s="73"/>
      <c r="I2298" s="95"/>
      <c r="J2298" s="73"/>
      <c r="K2298" s="95"/>
      <c r="L2298" s="95"/>
      <c r="M2298" s="22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</row>
    <row r="2299">
      <c r="A2299" s="26"/>
      <c r="B2299" s="73"/>
      <c r="C2299" s="73"/>
      <c r="D2299" s="95"/>
      <c r="E2299" s="73"/>
      <c r="F2299" s="73"/>
      <c r="G2299" s="73"/>
      <c r="H2299" s="73"/>
      <c r="I2299" s="95"/>
      <c r="J2299" s="73"/>
      <c r="K2299" s="95"/>
      <c r="L2299" s="95"/>
      <c r="M2299" s="22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</row>
    <row r="2300">
      <c r="A2300" s="26"/>
      <c r="B2300" s="73"/>
      <c r="C2300" s="73"/>
      <c r="D2300" s="95"/>
      <c r="E2300" s="73"/>
      <c r="F2300" s="73"/>
      <c r="G2300" s="73"/>
      <c r="H2300" s="73"/>
      <c r="I2300" s="95"/>
      <c r="J2300" s="73"/>
      <c r="K2300" s="95"/>
      <c r="L2300" s="95"/>
      <c r="M2300" s="22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</row>
    <row r="2301">
      <c r="A2301" s="26"/>
      <c r="B2301" s="73"/>
      <c r="C2301" s="73"/>
      <c r="D2301" s="95"/>
      <c r="E2301" s="73"/>
      <c r="F2301" s="73"/>
      <c r="G2301" s="73"/>
      <c r="H2301" s="73"/>
      <c r="I2301" s="95"/>
      <c r="J2301" s="73"/>
      <c r="K2301" s="95"/>
      <c r="L2301" s="95"/>
      <c r="M2301" s="22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</row>
    <row r="2302">
      <c r="A2302" s="26"/>
      <c r="B2302" s="73"/>
      <c r="C2302" s="73"/>
      <c r="D2302" s="95"/>
      <c r="E2302" s="73"/>
      <c r="F2302" s="73"/>
      <c r="G2302" s="73"/>
      <c r="H2302" s="73"/>
      <c r="I2302" s="95"/>
      <c r="J2302" s="73"/>
      <c r="K2302" s="95"/>
      <c r="L2302" s="95"/>
      <c r="M2302" s="22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</row>
    <row r="2303">
      <c r="A2303" s="26"/>
      <c r="B2303" s="73"/>
      <c r="C2303" s="73"/>
      <c r="D2303" s="95"/>
      <c r="E2303" s="73"/>
      <c r="F2303" s="73"/>
      <c r="G2303" s="73"/>
      <c r="H2303" s="73"/>
      <c r="I2303" s="95"/>
      <c r="J2303" s="73"/>
      <c r="K2303" s="95"/>
      <c r="L2303" s="95"/>
      <c r="M2303" s="22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</row>
    <row r="2304">
      <c r="A2304" s="26"/>
      <c r="B2304" s="73"/>
      <c r="C2304" s="73"/>
      <c r="D2304" s="95"/>
      <c r="E2304" s="73"/>
      <c r="F2304" s="73"/>
      <c r="G2304" s="73"/>
      <c r="H2304" s="73"/>
      <c r="I2304" s="95"/>
      <c r="J2304" s="73"/>
      <c r="K2304" s="95"/>
      <c r="L2304" s="95"/>
      <c r="M2304" s="22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</row>
    <row r="2305">
      <c r="A2305" s="26"/>
      <c r="B2305" s="73"/>
      <c r="C2305" s="73"/>
      <c r="D2305" s="95"/>
      <c r="E2305" s="73"/>
      <c r="F2305" s="73"/>
      <c r="G2305" s="73"/>
      <c r="H2305" s="73"/>
      <c r="I2305" s="95"/>
      <c r="J2305" s="73"/>
      <c r="K2305" s="95"/>
      <c r="L2305" s="95"/>
      <c r="M2305" s="22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</row>
    <row r="2306">
      <c r="A2306" s="26"/>
      <c r="B2306" s="73"/>
      <c r="C2306" s="73"/>
      <c r="D2306" s="95"/>
      <c r="E2306" s="73"/>
      <c r="F2306" s="73"/>
      <c r="G2306" s="73"/>
      <c r="H2306" s="73"/>
      <c r="I2306" s="95"/>
      <c r="J2306" s="73"/>
      <c r="K2306" s="95"/>
      <c r="L2306" s="95"/>
      <c r="M2306" s="22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</row>
    <row r="2307">
      <c r="A2307" s="26"/>
      <c r="B2307" s="73"/>
      <c r="C2307" s="73"/>
      <c r="D2307" s="95"/>
      <c r="E2307" s="73"/>
      <c r="F2307" s="73"/>
      <c r="G2307" s="73"/>
      <c r="H2307" s="73"/>
      <c r="I2307" s="95"/>
      <c r="J2307" s="73"/>
      <c r="K2307" s="95"/>
      <c r="L2307" s="95"/>
      <c r="M2307" s="22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</row>
    <row r="2308">
      <c r="A2308" s="26"/>
      <c r="B2308" s="73"/>
      <c r="C2308" s="73"/>
      <c r="D2308" s="95"/>
      <c r="E2308" s="73"/>
      <c r="F2308" s="73"/>
      <c r="G2308" s="73"/>
      <c r="H2308" s="73"/>
      <c r="I2308" s="95"/>
      <c r="J2308" s="73"/>
      <c r="K2308" s="95"/>
      <c r="L2308" s="95"/>
      <c r="M2308" s="22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</row>
    <row r="2309">
      <c r="A2309" s="26"/>
      <c r="B2309" s="73"/>
      <c r="C2309" s="73"/>
      <c r="D2309" s="95"/>
      <c r="E2309" s="73"/>
      <c r="F2309" s="73"/>
      <c r="G2309" s="73"/>
      <c r="H2309" s="73"/>
      <c r="I2309" s="95"/>
      <c r="J2309" s="73"/>
      <c r="K2309" s="95"/>
      <c r="L2309" s="95"/>
      <c r="M2309" s="22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</row>
    <row r="2310">
      <c r="A2310" s="26"/>
      <c r="B2310" s="73"/>
      <c r="C2310" s="73"/>
      <c r="D2310" s="95"/>
      <c r="E2310" s="73"/>
      <c r="F2310" s="73"/>
      <c r="G2310" s="73"/>
      <c r="H2310" s="73"/>
      <c r="I2310" s="95"/>
      <c r="J2310" s="73"/>
      <c r="K2310" s="95"/>
      <c r="L2310" s="95"/>
      <c r="M2310" s="22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</row>
    <row r="2311">
      <c r="A2311" s="26"/>
      <c r="B2311" s="73"/>
      <c r="C2311" s="73"/>
      <c r="D2311" s="95"/>
      <c r="E2311" s="73"/>
      <c r="F2311" s="73"/>
      <c r="G2311" s="73"/>
      <c r="H2311" s="73"/>
      <c r="I2311" s="95"/>
      <c r="J2311" s="73"/>
      <c r="K2311" s="95"/>
      <c r="L2311" s="95"/>
      <c r="M2311" s="22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</row>
    <row r="2312">
      <c r="A2312" s="26"/>
      <c r="B2312" s="73"/>
      <c r="C2312" s="73"/>
      <c r="D2312" s="95"/>
      <c r="E2312" s="73"/>
      <c r="F2312" s="73"/>
      <c r="G2312" s="73"/>
      <c r="H2312" s="73"/>
      <c r="I2312" s="95"/>
      <c r="J2312" s="73"/>
      <c r="K2312" s="95"/>
      <c r="L2312" s="95"/>
      <c r="M2312" s="22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</row>
    <row r="2313">
      <c r="A2313" s="26"/>
      <c r="B2313" s="73"/>
      <c r="C2313" s="73"/>
      <c r="D2313" s="95"/>
      <c r="E2313" s="73"/>
      <c r="F2313" s="73"/>
      <c r="G2313" s="73"/>
      <c r="H2313" s="73"/>
      <c r="I2313" s="95"/>
      <c r="J2313" s="73"/>
      <c r="K2313" s="95"/>
      <c r="L2313" s="95"/>
      <c r="M2313" s="22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</row>
    <row r="2314">
      <c r="A2314" s="26"/>
      <c r="B2314" s="73"/>
      <c r="C2314" s="73"/>
      <c r="D2314" s="95"/>
      <c r="E2314" s="73"/>
      <c r="F2314" s="73"/>
      <c r="G2314" s="73"/>
      <c r="H2314" s="73"/>
      <c r="I2314" s="95"/>
      <c r="J2314" s="73"/>
      <c r="K2314" s="95"/>
      <c r="L2314" s="95"/>
      <c r="M2314" s="22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</row>
    <row r="2315">
      <c r="A2315" s="26"/>
      <c r="B2315" s="73"/>
      <c r="C2315" s="73"/>
      <c r="D2315" s="95"/>
      <c r="E2315" s="73"/>
      <c r="F2315" s="73"/>
      <c r="G2315" s="73"/>
      <c r="H2315" s="73"/>
      <c r="I2315" s="95"/>
      <c r="J2315" s="73"/>
      <c r="K2315" s="95"/>
      <c r="L2315" s="95"/>
      <c r="M2315" s="22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</row>
    <row r="2316">
      <c r="A2316" s="26"/>
      <c r="B2316" s="73"/>
      <c r="C2316" s="73"/>
      <c r="D2316" s="95"/>
      <c r="E2316" s="73"/>
      <c r="F2316" s="73"/>
      <c r="G2316" s="73"/>
      <c r="H2316" s="73"/>
      <c r="I2316" s="95"/>
      <c r="J2316" s="73"/>
      <c r="K2316" s="95"/>
      <c r="L2316" s="95"/>
      <c r="M2316" s="22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</row>
    <row r="2317">
      <c r="A2317" s="26"/>
      <c r="B2317" s="73"/>
      <c r="C2317" s="73"/>
      <c r="D2317" s="95"/>
      <c r="E2317" s="73"/>
      <c r="F2317" s="73"/>
      <c r="G2317" s="73"/>
      <c r="H2317" s="73"/>
      <c r="I2317" s="95"/>
      <c r="J2317" s="73"/>
      <c r="K2317" s="95"/>
      <c r="L2317" s="95"/>
      <c r="M2317" s="22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</row>
    <row r="2318">
      <c r="A2318" s="26"/>
      <c r="B2318" s="73"/>
      <c r="C2318" s="73"/>
      <c r="D2318" s="95"/>
      <c r="E2318" s="73"/>
      <c r="F2318" s="73"/>
      <c r="G2318" s="73"/>
      <c r="H2318" s="73"/>
      <c r="I2318" s="95"/>
      <c r="J2318" s="73"/>
      <c r="K2318" s="95"/>
      <c r="L2318" s="95"/>
      <c r="M2318" s="22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</row>
    <row r="2319">
      <c r="A2319" s="26"/>
      <c r="B2319" s="73"/>
      <c r="C2319" s="73"/>
      <c r="D2319" s="95"/>
      <c r="E2319" s="73"/>
      <c r="F2319" s="73"/>
      <c r="G2319" s="73"/>
      <c r="H2319" s="73"/>
      <c r="I2319" s="95"/>
      <c r="J2319" s="73"/>
      <c r="K2319" s="95"/>
      <c r="L2319" s="95"/>
      <c r="M2319" s="22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</row>
    <row r="2320">
      <c r="A2320" s="26"/>
      <c r="B2320" s="73"/>
      <c r="C2320" s="73"/>
      <c r="D2320" s="95"/>
      <c r="E2320" s="73"/>
      <c r="F2320" s="73"/>
      <c r="G2320" s="73"/>
      <c r="H2320" s="73"/>
      <c r="I2320" s="95"/>
      <c r="J2320" s="73"/>
      <c r="K2320" s="95"/>
      <c r="L2320" s="95"/>
      <c r="M2320" s="22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</row>
    <row r="2321">
      <c r="A2321" s="26"/>
      <c r="B2321" s="73"/>
      <c r="C2321" s="73"/>
      <c r="D2321" s="95"/>
      <c r="E2321" s="73"/>
      <c r="F2321" s="73"/>
      <c r="G2321" s="73"/>
      <c r="H2321" s="73"/>
      <c r="I2321" s="95"/>
      <c r="J2321" s="73"/>
      <c r="K2321" s="95"/>
      <c r="L2321" s="95"/>
      <c r="M2321" s="22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</row>
    <row r="2322">
      <c r="A2322" s="26"/>
      <c r="B2322" s="73"/>
      <c r="C2322" s="73"/>
      <c r="D2322" s="95"/>
      <c r="E2322" s="73"/>
      <c r="F2322" s="73"/>
      <c r="G2322" s="73"/>
      <c r="H2322" s="73"/>
      <c r="I2322" s="95"/>
      <c r="J2322" s="73"/>
      <c r="K2322" s="95"/>
      <c r="L2322" s="95"/>
      <c r="M2322" s="22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</row>
    <row r="2323">
      <c r="A2323" s="26"/>
      <c r="B2323" s="73"/>
      <c r="C2323" s="73"/>
      <c r="D2323" s="95"/>
      <c r="E2323" s="73"/>
      <c r="F2323" s="73"/>
      <c r="G2323" s="73"/>
      <c r="H2323" s="73"/>
      <c r="I2323" s="95"/>
      <c r="J2323" s="73"/>
      <c r="K2323" s="95"/>
      <c r="L2323" s="95"/>
      <c r="M2323" s="22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</row>
    <row r="2324">
      <c r="A2324" s="26"/>
      <c r="B2324" s="73"/>
      <c r="C2324" s="73"/>
      <c r="D2324" s="95"/>
      <c r="E2324" s="73"/>
      <c r="F2324" s="73"/>
      <c r="G2324" s="73"/>
      <c r="H2324" s="73"/>
      <c r="I2324" s="95"/>
      <c r="J2324" s="73"/>
      <c r="K2324" s="95"/>
      <c r="L2324" s="95"/>
      <c r="M2324" s="22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</row>
    <row r="2325">
      <c r="A2325" s="26"/>
      <c r="B2325" s="73"/>
      <c r="C2325" s="73"/>
      <c r="D2325" s="95"/>
      <c r="E2325" s="73"/>
      <c r="F2325" s="73"/>
      <c r="G2325" s="73"/>
      <c r="H2325" s="73"/>
      <c r="I2325" s="95"/>
      <c r="J2325" s="73"/>
      <c r="K2325" s="95"/>
      <c r="L2325" s="95"/>
      <c r="M2325" s="22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</row>
    <row r="2326">
      <c r="A2326" s="26"/>
      <c r="B2326" s="73"/>
      <c r="C2326" s="73"/>
      <c r="D2326" s="95"/>
      <c r="E2326" s="73"/>
      <c r="F2326" s="73"/>
      <c r="G2326" s="73"/>
      <c r="H2326" s="73"/>
      <c r="I2326" s="95"/>
      <c r="J2326" s="73"/>
      <c r="K2326" s="95"/>
      <c r="L2326" s="95"/>
      <c r="M2326" s="22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</row>
    <row r="2327">
      <c r="A2327" s="26"/>
      <c r="B2327" s="73"/>
      <c r="C2327" s="73"/>
      <c r="D2327" s="95"/>
      <c r="E2327" s="73"/>
      <c r="F2327" s="73"/>
      <c r="G2327" s="73"/>
      <c r="H2327" s="73"/>
      <c r="I2327" s="95"/>
      <c r="J2327" s="73"/>
      <c r="K2327" s="95"/>
      <c r="L2327" s="95"/>
      <c r="M2327" s="22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</row>
    <row r="2328">
      <c r="A2328" s="26"/>
      <c r="B2328" s="73"/>
      <c r="C2328" s="73"/>
      <c r="D2328" s="95"/>
      <c r="E2328" s="73"/>
      <c r="F2328" s="73"/>
      <c r="G2328" s="73"/>
      <c r="H2328" s="73"/>
      <c r="I2328" s="95"/>
      <c r="J2328" s="73"/>
      <c r="K2328" s="95"/>
      <c r="L2328" s="95"/>
      <c r="M2328" s="22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</row>
    <row r="2329">
      <c r="A2329" s="26"/>
      <c r="B2329" s="73"/>
      <c r="C2329" s="73"/>
      <c r="D2329" s="95"/>
      <c r="E2329" s="73"/>
      <c r="F2329" s="73"/>
      <c r="G2329" s="73"/>
      <c r="H2329" s="73"/>
      <c r="I2329" s="95"/>
      <c r="J2329" s="73"/>
      <c r="K2329" s="95"/>
      <c r="L2329" s="95"/>
      <c r="M2329" s="22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</row>
    <row r="2330">
      <c r="A2330" s="26"/>
      <c r="B2330" s="73"/>
      <c r="C2330" s="73"/>
      <c r="D2330" s="95"/>
      <c r="E2330" s="73"/>
      <c r="F2330" s="73"/>
      <c r="G2330" s="73"/>
      <c r="H2330" s="73"/>
      <c r="I2330" s="95"/>
      <c r="J2330" s="73"/>
      <c r="K2330" s="95"/>
      <c r="L2330" s="95"/>
      <c r="M2330" s="22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</row>
    <row r="2331">
      <c r="A2331" s="26"/>
      <c r="B2331" s="73"/>
      <c r="C2331" s="73"/>
      <c r="D2331" s="95"/>
      <c r="E2331" s="73"/>
      <c r="F2331" s="73"/>
      <c r="G2331" s="73"/>
      <c r="H2331" s="73"/>
      <c r="I2331" s="95"/>
      <c r="J2331" s="73"/>
      <c r="K2331" s="95"/>
      <c r="L2331" s="95"/>
      <c r="M2331" s="22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</row>
    <row r="2332">
      <c r="A2332" s="26"/>
      <c r="B2332" s="73"/>
      <c r="C2332" s="73"/>
      <c r="D2332" s="95"/>
      <c r="E2332" s="73"/>
      <c r="F2332" s="73"/>
      <c r="G2332" s="73"/>
      <c r="H2332" s="73"/>
      <c r="I2332" s="95"/>
      <c r="J2332" s="73"/>
      <c r="K2332" s="95"/>
      <c r="L2332" s="95"/>
      <c r="M2332" s="22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</row>
    <row r="2333">
      <c r="A2333" s="26"/>
      <c r="B2333" s="73"/>
      <c r="C2333" s="73"/>
      <c r="D2333" s="95"/>
      <c r="E2333" s="73"/>
      <c r="F2333" s="73"/>
      <c r="G2333" s="73"/>
      <c r="H2333" s="73"/>
      <c r="I2333" s="95"/>
      <c r="J2333" s="73"/>
      <c r="K2333" s="95"/>
      <c r="L2333" s="95"/>
      <c r="M2333" s="22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</row>
    <row r="2334">
      <c r="A2334" s="26"/>
      <c r="B2334" s="73"/>
      <c r="C2334" s="73"/>
      <c r="D2334" s="95"/>
      <c r="E2334" s="73"/>
      <c r="F2334" s="73"/>
      <c r="G2334" s="73"/>
      <c r="H2334" s="73"/>
      <c r="I2334" s="95"/>
      <c r="J2334" s="73"/>
      <c r="K2334" s="95"/>
      <c r="L2334" s="95"/>
      <c r="M2334" s="22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</row>
    <row r="2335">
      <c r="A2335" s="26"/>
      <c r="B2335" s="73"/>
      <c r="C2335" s="73"/>
      <c r="D2335" s="95"/>
      <c r="E2335" s="73"/>
      <c r="F2335" s="73"/>
      <c r="G2335" s="73"/>
      <c r="H2335" s="73"/>
      <c r="I2335" s="95"/>
      <c r="J2335" s="73"/>
      <c r="K2335" s="95"/>
      <c r="L2335" s="95"/>
      <c r="M2335" s="22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</row>
    <row r="2336">
      <c r="A2336" s="26"/>
      <c r="B2336" s="73"/>
      <c r="C2336" s="73"/>
      <c r="D2336" s="95"/>
      <c r="E2336" s="73"/>
      <c r="F2336" s="73"/>
      <c r="G2336" s="73"/>
      <c r="H2336" s="73"/>
      <c r="I2336" s="95"/>
      <c r="J2336" s="73"/>
      <c r="K2336" s="95"/>
      <c r="L2336" s="95"/>
      <c r="M2336" s="22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</row>
    <row r="2337">
      <c r="A2337" s="26"/>
      <c r="B2337" s="73"/>
      <c r="C2337" s="73"/>
      <c r="D2337" s="95"/>
      <c r="E2337" s="73"/>
      <c r="F2337" s="73"/>
      <c r="G2337" s="73"/>
      <c r="H2337" s="73"/>
      <c r="I2337" s="95"/>
      <c r="J2337" s="73"/>
      <c r="K2337" s="95"/>
      <c r="L2337" s="95"/>
      <c r="M2337" s="22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</row>
    <row r="2338">
      <c r="A2338" s="26"/>
      <c r="B2338" s="73"/>
      <c r="C2338" s="73"/>
      <c r="D2338" s="95"/>
      <c r="E2338" s="73"/>
      <c r="F2338" s="73"/>
      <c r="G2338" s="73"/>
      <c r="H2338" s="73"/>
      <c r="I2338" s="95"/>
      <c r="J2338" s="73"/>
      <c r="K2338" s="95"/>
      <c r="L2338" s="95"/>
      <c r="M2338" s="22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</row>
    <row r="2339">
      <c r="A2339" s="26"/>
      <c r="B2339" s="73"/>
      <c r="C2339" s="73"/>
      <c r="D2339" s="95"/>
      <c r="E2339" s="73"/>
      <c r="F2339" s="73"/>
      <c r="G2339" s="73"/>
      <c r="H2339" s="73"/>
      <c r="I2339" s="95"/>
      <c r="J2339" s="73"/>
      <c r="K2339" s="95"/>
      <c r="L2339" s="95"/>
      <c r="M2339" s="22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</row>
    <row r="2340">
      <c r="A2340" s="26"/>
      <c r="B2340" s="73"/>
      <c r="C2340" s="73"/>
      <c r="D2340" s="95"/>
      <c r="E2340" s="73"/>
      <c r="F2340" s="73"/>
      <c r="G2340" s="73"/>
      <c r="H2340" s="73"/>
      <c r="I2340" s="95"/>
      <c r="J2340" s="73"/>
      <c r="K2340" s="95"/>
      <c r="L2340" s="95"/>
      <c r="M2340" s="22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</row>
    <row r="2341">
      <c r="A2341" s="26"/>
      <c r="B2341" s="73"/>
      <c r="C2341" s="73"/>
      <c r="D2341" s="95"/>
      <c r="E2341" s="73"/>
      <c r="F2341" s="73"/>
      <c r="G2341" s="73"/>
      <c r="H2341" s="73"/>
      <c r="I2341" s="95"/>
      <c r="J2341" s="73"/>
      <c r="K2341" s="95"/>
      <c r="L2341" s="95"/>
      <c r="M2341" s="22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</row>
    <row r="2342">
      <c r="A2342" s="26"/>
      <c r="B2342" s="73"/>
      <c r="C2342" s="73"/>
      <c r="D2342" s="95"/>
      <c r="E2342" s="73"/>
      <c r="F2342" s="73"/>
      <c r="G2342" s="73"/>
      <c r="H2342" s="73"/>
      <c r="I2342" s="95"/>
      <c r="J2342" s="73"/>
      <c r="K2342" s="95"/>
      <c r="L2342" s="95"/>
      <c r="M2342" s="22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</row>
    <row r="2343">
      <c r="A2343" s="26"/>
      <c r="B2343" s="73"/>
      <c r="C2343" s="73"/>
      <c r="D2343" s="95"/>
      <c r="E2343" s="73"/>
      <c r="F2343" s="73"/>
      <c r="G2343" s="73"/>
      <c r="H2343" s="73"/>
      <c r="I2343" s="95"/>
      <c r="J2343" s="73"/>
      <c r="K2343" s="95"/>
      <c r="L2343" s="95"/>
      <c r="M2343" s="22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</row>
    <row r="2344">
      <c r="A2344" s="26"/>
      <c r="B2344" s="73"/>
      <c r="C2344" s="73"/>
      <c r="D2344" s="95"/>
      <c r="E2344" s="73"/>
      <c r="F2344" s="73"/>
      <c r="G2344" s="73"/>
      <c r="H2344" s="73"/>
      <c r="I2344" s="95"/>
      <c r="J2344" s="73"/>
      <c r="K2344" s="95"/>
      <c r="L2344" s="95"/>
      <c r="M2344" s="22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</row>
    <row r="2345">
      <c r="A2345" s="26"/>
      <c r="B2345" s="73"/>
      <c r="C2345" s="73"/>
      <c r="D2345" s="95"/>
      <c r="E2345" s="73"/>
      <c r="F2345" s="73"/>
      <c r="G2345" s="73"/>
      <c r="H2345" s="73"/>
      <c r="I2345" s="95"/>
      <c r="J2345" s="73"/>
      <c r="K2345" s="95"/>
      <c r="L2345" s="95"/>
      <c r="M2345" s="22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</row>
    <row r="2346">
      <c r="A2346" s="26"/>
      <c r="B2346" s="73"/>
      <c r="C2346" s="73"/>
      <c r="D2346" s="95"/>
      <c r="E2346" s="73"/>
      <c r="F2346" s="73"/>
      <c r="G2346" s="73"/>
      <c r="H2346" s="73"/>
      <c r="I2346" s="95"/>
      <c r="J2346" s="73"/>
      <c r="K2346" s="95"/>
      <c r="L2346" s="95"/>
      <c r="M2346" s="22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</row>
    <row r="2347">
      <c r="A2347" s="26"/>
      <c r="B2347" s="73"/>
      <c r="C2347" s="73"/>
      <c r="D2347" s="95"/>
      <c r="E2347" s="73"/>
      <c r="F2347" s="73"/>
      <c r="G2347" s="73"/>
      <c r="H2347" s="73"/>
      <c r="I2347" s="95"/>
      <c r="J2347" s="73"/>
      <c r="K2347" s="95"/>
      <c r="L2347" s="95"/>
      <c r="M2347" s="22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</row>
    <row r="2348">
      <c r="A2348" s="26"/>
      <c r="B2348" s="73"/>
      <c r="C2348" s="73"/>
      <c r="D2348" s="95"/>
      <c r="E2348" s="73"/>
      <c r="F2348" s="73"/>
      <c r="G2348" s="73"/>
      <c r="H2348" s="73"/>
      <c r="I2348" s="95"/>
      <c r="J2348" s="73"/>
      <c r="K2348" s="95"/>
      <c r="L2348" s="95"/>
      <c r="M2348" s="22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</row>
    <row r="2349">
      <c r="A2349" s="26"/>
      <c r="B2349" s="73"/>
      <c r="C2349" s="73"/>
      <c r="D2349" s="95"/>
      <c r="E2349" s="73"/>
      <c r="F2349" s="73"/>
      <c r="G2349" s="73"/>
      <c r="H2349" s="73"/>
      <c r="I2349" s="95"/>
      <c r="J2349" s="73"/>
      <c r="K2349" s="95"/>
      <c r="L2349" s="95"/>
      <c r="M2349" s="22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</row>
    <row r="2350">
      <c r="A2350" s="26"/>
      <c r="B2350" s="73"/>
      <c r="C2350" s="73"/>
      <c r="D2350" s="95"/>
      <c r="E2350" s="73"/>
      <c r="F2350" s="73"/>
      <c r="G2350" s="73"/>
      <c r="H2350" s="73"/>
      <c r="I2350" s="95"/>
      <c r="J2350" s="73"/>
      <c r="K2350" s="95"/>
      <c r="L2350" s="95"/>
      <c r="M2350" s="22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</row>
    <row r="2351">
      <c r="A2351" s="26"/>
      <c r="B2351" s="73"/>
      <c r="C2351" s="73"/>
      <c r="D2351" s="95"/>
      <c r="E2351" s="73"/>
      <c r="F2351" s="73"/>
      <c r="G2351" s="73"/>
      <c r="H2351" s="73"/>
      <c r="I2351" s="95"/>
      <c r="J2351" s="73"/>
      <c r="K2351" s="95"/>
      <c r="L2351" s="95"/>
      <c r="M2351" s="22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</row>
    <row r="2352">
      <c r="A2352" s="26"/>
      <c r="B2352" s="73"/>
      <c r="C2352" s="73"/>
      <c r="D2352" s="95"/>
      <c r="E2352" s="73"/>
      <c r="F2352" s="73"/>
      <c r="G2352" s="73"/>
      <c r="H2352" s="73"/>
      <c r="I2352" s="95"/>
      <c r="J2352" s="73"/>
      <c r="K2352" s="95"/>
      <c r="L2352" s="95"/>
      <c r="M2352" s="22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</row>
    <row r="2353">
      <c r="A2353" s="26"/>
      <c r="B2353" s="73"/>
      <c r="C2353" s="73"/>
      <c r="D2353" s="95"/>
      <c r="E2353" s="73"/>
      <c r="F2353" s="73"/>
      <c r="G2353" s="73"/>
      <c r="H2353" s="73"/>
      <c r="I2353" s="95"/>
      <c r="J2353" s="73"/>
      <c r="K2353" s="95"/>
      <c r="L2353" s="95"/>
      <c r="M2353" s="22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</row>
    <row r="2354">
      <c r="A2354" s="26"/>
      <c r="B2354" s="73"/>
      <c r="C2354" s="73"/>
      <c r="D2354" s="95"/>
      <c r="E2354" s="73"/>
      <c r="F2354" s="73"/>
      <c r="G2354" s="73"/>
      <c r="H2354" s="73"/>
      <c r="I2354" s="95"/>
      <c r="J2354" s="73"/>
      <c r="K2354" s="95"/>
      <c r="L2354" s="95"/>
      <c r="M2354" s="22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</row>
    <row r="2355">
      <c r="A2355" s="26"/>
      <c r="B2355" s="73"/>
      <c r="C2355" s="73"/>
      <c r="D2355" s="95"/>
      <c r="E2355" s="73"/>
      <c r="F2355" s="73"/>
      <c r="G2355" s="73"/>
      <c r="H2355" s="73"/>
      <c r="I2355" s="95"/>
      <c r="J2355" s="73"/>
      <c r="K2355" s="95"/>
      <c r="L2355" s="95"/>
      <c r="M2355" s="22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</row>
    <row r="2356">
      <c r="A2356" s="26"/>
      <c r="B2356" s="73"/>
      <c r="C2356" s="73"/>
      <c r="D2356" s="95"/>
      <c r="E2356" s="73"/>
      <c r="F2356" s="73"/>
      <c r="G2356" s="73"/>
      <c r="H2356" s="73"/>
      <c r="I2356" s="95"/>
      <c r="J2356" s="73"/>
      <c r="K2356" s="95"/>
      <c r="L2356" s="95"/>
      <c r="M2356" s="22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</row>
    <row r="2357">
      <c r="A2357" s="26"/>
      <c r="B2357" s="73"/>
      <c r="C2357" s="73"/>
      <c r="D2357" s="95"/>
      <c r="E2357" s="73"/>
      <c r="F2357" s="73"/>
      <c r="G2357" s="73"/>
      <c r="H2357" s="73"/>
      <c r="I2357" s="95"/>
      <c r="J2357" s="73"/>
      <c r="K2357" s="95"/>
      <c r="L2357" s="95"/>
      <c r="M2357" s="22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</row>
    <row r="2358">
      <c r="A2358" s="26"/>
      <c r="B2358" s="73"/>
      <c r="C2358" s="73"/>
      <c r="D2358" s="95"/>
      <c r="E2358" s="73"/>
      <c r="F2358" s="73"/>
      <c r="G2358" s="73"/>
      <c r="H2358" s="73"/>
      <c r="I2358" s="95"/>
      <c r="J2358" s="73"/>
      <c r="K2358" s="95"/>
      <c r="L2358" s="95"/>
      <c r="M2358" s="22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</row>
    <row r="2359">
      <c r="A2359" s="26"/>
      <c r="B2359" s="73"/>
      <c r="C2359" s="73"/>
      <c r="D2359" s="95"/>
      <c r="E2359" s="73"/>
      <c r="F2359" s="73"/>
      <c r="G2359" s="73"/>
      <c r="H2359" s="73"/>
      <c r="I2359" s="95"/>
      <c r="J2359" s="73"/>
      <c r="K2359" s="95"/>
      <c r="L2359" s="95"/>
      <c r="M2359" s="22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</row>
    <row r="2360">
      <c r="A2360" s="26"/>
      <c r="B2360" s="73"/>
      <c r="C2360" s="73"/>
      <c r="D2360" s="95"/>
      <c r="E2360" s="73"/>
      <c r="F2360" s="73"/>
      <c r="G2360" s="73"/>
      <c r="H2360" s="73"/>
      <c r="I2360" s="95"/>
      <c r="J2360" s="73"/>
      <c r="K2360" s="95"/>
      <c r="L2360" s="95"/>
      <c r="M2360" s="22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</row>
    <row r="2361">
      <c r="A2361" s="26"/>
      <c r="B2361" s="73"/>
      <c r="C2361" s="73"/>
      <c r="D2361" s="95"/>
      <c r="E2361" s="73"/>
      <c r="F2361" s="73"/>
      <c r="G2361" s="73"/>
      <c r="H2361" s="73"/>
      <c r="I2361" s="95"/>
      <c r="J2361" s="73"/>
      <c r="K2361" s="95"/>
      <c r="L2361" s="95"/>
      <c r="M2361" s="22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</row>
    <row r="2362">
      <c r="A2362" s="26"/>
      <c r="B2362" s="73"/>
      <c r="C2362" s="73"/>
      <c r="D2362" s="95"/>
      <c r="E2362" s="73"/>
      <c r="F2362" s="73"/>
      <c r="G2362" s="73"/>
      <c r="H2362" s="73"/>
      <c r="I2362" s="95"/>
      <c r="J2362" s="73"/>
      <c r="K2362" s="95"/>
      <c r="L2362" s="95"/>
      <c r="M2362" s="22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</row>
    <row r="2363">
      <c r="A2363" s="26"/>
      <c r="B2363" s="73"/>
      <c r="C2363" s="73"/>
      <c r="D2363" s="95"/>
      <c r="E2363" s="73"/>
      <c r="F2363" s="73"/>
      <c r="G2363" s="73"/>
      <c r="H2363" s="73"/>
      <c r="I2363" s="95"/>
      <c r="J2363" s="73"/>
      <c r="K2363" s="95"/>
      <c r="L2363" s="95"/>
      <c r="M2363" s="22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</row>
    <row r="2364">
      <c r="A2364" s="26"/>
      <c r="B2364" s="73"/>
      <c r="C2364" s="73"/>
      <c r="D2364" s="95"/>
      <c r="E2364" s="73"/>
      <c r="F2364" s="73"/>
      <c r="G2364" s="73"/>
      <c r="H2364" s="73"/>
      <c r="I2364" s="95"/>
      <c r="J2364" s="73"/>
      <c r="K2364" s="95"/>
      <c r="L2364" s="95"/>
      <c r="M2364" s="22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</row>
    <row r="2365">
      <c r="A2365" s="26"/>
      <c r="B2365" s="73"/>
      <c r="C2365" s="73"/>
      <c r="D2365" s="95"/>
      <c r="E2365" s="73"/>
      <c r="F2365" s="73"/>
      <c r="G2365" s="73"/>
      <c r="H2365" s="73"/>
      <c r="I2365" s="95"/>
      <c r="J2365" s="73"/>
      <c r="K2365" s="95"/>
      <c r="L2365" s="95"/>
      <c r="M2365" s="22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</row>
    <row r="2366">
      <c r="A2366" s="26"/>
      <c r="B2366" s="73"/>
      <c r="C2366" s="73"/>
      <c r="D2366" s="95"/>
      <c r="E2366" s="73"/>
      <c r="F2366" s="73"/>
      <c r="G2366" s="73"/>
      <c r="H2366" s="73"/>
      <c r="I2366" s="95"/>
      <c r="J2366" s="73"/>
      <c r="K2366" s="95"/>
      <c r="L2366" s="95"/>
      <c r="M2366" s="22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</row>
    <row r="2367">
      <c r="A2367" s="26"/>
      <c r="B2367" s="73"/>
      <c r="C2367" s="73"/>
      <c r="D2367" s="95"/>
      <c r="E2367" s="73"/>
      <c r="F2367" s="73"/>
      <c r="G2367" s="73"/>
      <c r="H2367" s="73"/>
      <c r="I2367" s="95"/>
      <c r="J2367" s="73"/>
      <c r="K2367" s="95"/>
      <c r="L2367" s="95"/>
      <c r="M2367" s="22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</row>
    <row r="2368">
      <c r="A2368" s="26"/>
      <c r="B2368" s="73"/>
      <c r="C2368" s="73"/>
      <c r="D2368" s="95"/>
      <c r="E2368" s="73"/>
      <c r="F2368" s="73"/>
      <c r="G2368" s="73"/>
      <c r="H2368" s="73"/>
      <c r="I2368" s="95"/>
      <c r="J2368" s="73"/>
      <c r="K2368" s="95"/>
      <c r="L2368" s="95"/>
      <c r="M2368" s="22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</row>
    <row r="2369">
      <c r="A2369" s="26"/>
      <c r="B2369" s="73"/>
      <c r="C2369" s="73"/>
      <c r="D2369" s="95"/>
      <c r="E2369" s="73"/>
      <c r="F2369" s="73"/>
      <c r="G2369" s="73"/>
      <c r="H2369" s="73"/>
      <c r="I2369" s="95"/>
      <c r="J2369" s="73"/>
      <c r="K2369" s="95"/>
      <c r="L2369" s="95"/>
      <c r="M2369" s="22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</row>
    <row r="2370">
      <c r="A2370" s="26"/>
      <c r="B2370" s="73"/>
      <c r="C2370" s="73"/>
      <c r="D2370" s="95"/>
      <c r="E2370" s="73"/>
      <c r="F2370" s="73"/>
      <c r="G2370" s="73"/>
      <c r="H2370" s="73"/>
      <c r="I2370" s="95"/>
      <c r="J2370" s="73"/>
      <c r="K2370" s="95"/>
      <c r="L2370" s="95"/>
      <c r="M2370" s="22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</row>
    <row r="2371">
      <c r="A2371" s="26"/>
      <c r="B2371" s="73"/>
      <c r="C2371" s="73"/>
      <c r="D2371" s="95"/>
      <c r="E2371" s="73"/>
      <c r="F2371" s="73"/>
      <c r="G2371" s="73"/>
      <c r="H2371" s="73"/>
      <c r="I2371" s="95"/>
      <c r="J2371" s="73"/>
      <c r="K2371" s="95"/>
      <c r="L2371" s="95"/>
      <c r="M2371" s="22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</row>
    <row r="2372">
      <c r="A2372" s="26"/>
      <c r="B2372" s="73"/>
      <c r="C2372" s="73"/>
      <c r="D2372" s="95"/>
      <c r="E2372" s="73"/>
      <c r="F2372" s="73"/>
      <c r="G2372" s="73"/>
      <c r="H2372" s="73"/>
      <c r="I2372" s="95"/>
      <c r="J2372" s="73"/>
      <c r="K2372" s="95"/>
      <c r="L2372" s="95"/>
      <c r="M2372" s="22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</row>
    <row r="2373">
      <c r="A2373" s="26"/>
      <c r="B2373" s="73"/>
      <c r="C2373" s="73"/>
      <c r="D2373" s="95"/>
      <c r="E2373" s="73"/>
      <c r="F2373" s="73"/>
      <c r="G2373" s="73"/>
      <c r="H2373" s="73"/>
      <c r="I2373" s="95"/>
      <c r="J2373" s="73"/>
      <c r="K2373" s="95"/>
      <c r="L2373" s="95"/>
      <c r="M2373" s="22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</row>
    <row r="2374">
      <c r="A2374" s="26"/>
      <c r="B2374" s="73"/>
      <c r="C2374" s="73"/>
      <c r="D2374" s="95"/>
      <c r="E2374" s="73"/>
      <c r="F2374" s="73"/>
      <c r="G2374" s="73"/>
      <c r="H2374" s="73"/>
      <c r="I2374" s="95"/>
      <c r="J2374" s="73"/>
      <c r="K2374" s="95"/>
      <c r="L2374" s="95"/>
      <c r="M2374" s="22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</row>
    <row r="2375">
      <c r="A2375" s="26"/>
      <c r="B2375" s="73"/>
      <c r="C2375" s="73"/>
      <c r="D2375" s="95"/>
      <c r="E2375" s="73"/>
      <c r="F2375" s="73"/>
      <c r="G2375" s="73"/>
      <c r="H2375" s="73"/>
      <c r="I2375" s="95"/>
      <c r="J2375" s="73"/>
      <c r="K2375" s="95"/>
      <c r="L2375" s="95"/>
      <c r="M2375" s="22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</row>
    <row r="2376">
      <c r="A2376" s="26"/>
      <c r="B2376" s="73"/>
      <c r="C2376" s="73"/>
      <c r="D2376" s="95"/>
      <c r="E2376" s="73"/>
      <c r="F2376" s="73"/>
      <c r="G2376" s="73"/>
      <c r="H2376" s="73"/>
      <c r="I2376" s="95"/>
      <c r="J2376" s="73"/>
      <c r="K2376" s="95"/>
      <c r="L2376" s="95"/>
      <c r="M2376" s="22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</row>
    <row r="2377">
      <c r="A2377" s="26"/>
      <c r="B2377" s="73"/>
      <c r="C2377" s="73"/>
      <c r="D2377" s="95"/>
      <c r="E2377" s="73"/>
      <c r="F2377" s="73"/>
      <c r="G2377" s="73"/>
      <c r="H2377" s="73"/>
      <c r="I2377" s="95"/>
      <c r="J2377" s="73"/>
      <c r="K2377" s="95"/>
      <c r="L2377" s="95"/>
      <c r="M2377" s="22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</row>
    <row r="2378">
      <c r="A2378" s="26"/>
      <c r="B2378" s="73"/>
      <c r="C2378" s="73"/>
      <c r="D2378" s="95"/>
      <c r="E2378" s="73"/>
      <c r="F2378" s="73"/>
      <c r="G2378" s="73"/>
      <c r="H2378" s="73"/>
      <c r="I2378" s="95"/>
      <c r="J2378" s="73"/>
      <c r="K2378" s="95"/>
      <c r="L2378" s="95"/>
      <c r="M2378" s="22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</row>
    <row r="2379">
      <c r="A2379" s="26"/>
      <c r="B2379" s="73"/>
      <c r="C2379" s="73"/>
      <c r="D2379" s="95"/>
      <c r="E2379" s="73"/>
      <c r="F2379" s="73"/>
      <c r="G2379" s="73"/>
      <c r="H2379" s="73"/>
      <c r="I2379" s="95"/>
      <c r="J2379" s="73"/>
      <c r="K2379" s="95"/>
      <c r="L2379" s="95"/>
      <c r="M2379" s="22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</row>
    <row r="2380">
      <c r="A2380" s="26"/>
      <c r="B2380" s="73"/>
      <c r="C2380" s="73"/>
      <c r="D2380" s="95"/>
      <c r="E2380" s="73"/>
      <c r="F2380" s="73"/>
      <c r="G2380" s="73"/>
      <c r="H2380" s="73"/>
      <c r="I2380" s="95"/>
      <c r="J2380" s="73"/>
      <c r="K2380" s="95"/>
      <c r="L2380" s="95"/>
      <c r="M2380" s="22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</row>
    <row r="2381">
      <c r="A2381" s="26"/>
      <c r="B2381" s="73"/>
      <c r="C2381" s="73"/>
      <c r="D2381" s="95"/>
      <c r="E2381" s="73"/>
      <c r="F2381" s="73"/>
      <c r="G2381" s="73"/>
      <c r="H2381" s="73"/>
      <c r="I2381" s="95"/>
      <c r="J2381" s="73"/>
      <c r="K2381" s="95"/>
      <c r="L2381" s="95"/>
      <c r="M2381" s="22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</row>
    <row r="2382">
      <c r="A2382" s="26"/>
      <c r="B2382" s="73"/>
      <c r="C2382" s="73"/>
      <c r="D2382" s="95"/>
      <c r="E2382" s="73"/>
      <c r="F2382" s="73"/>
      <c r="G2382" s="73"/>
      <c r="H2382" s="73"/>
      <c r="I2382" s="95"/>
      <c r="J2382" s="73"/>
      <c r="K2382" s="95"/>
      <c r="L2382" s="95"/>
      <c r="M2382" s="22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</row>
    <row r="2383">
      <c r="A2383" s="26"/>
      <c r="B2383" s="73"/>
      <c r="C2383" s="73"/>
      <c r="D2383" s="95"/>
      <c r="E2383" s="73"/>
      <c r="F2383" s="73"/>
      <c r="G2383" s="73"/>
      <c r="H2383" s="73"/>
      <c r="I2383" s="95"/>
      <c r="J2383" s="73"/>
      <c r="K2383" s="95"/>
      <c r="L2383" s="95"/>
      <c r="M2383" s="22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</row>
    <row r="2384">
      <c r="A2384" s="26"/>
      <c r="B2384" s="73"/>
      <c r="C2384" s="73"/>
      <c r="D2384" s="95"/>
      <c r="E2384" s="73"/>
      <c r="F2384" s="73"/>
      <c r="G2384" s="73"/>
      <c r="H2384" s="73"/>
      <c r="I2384" s="95"/>
      <c r="J2384" s="73"/>
      <c r="K2384" s="95"/>
      <c r="L2384" s="95"/>
      <c r="M2384" s="22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</row>
    <row r="2385">
      <c r="A2385" s="26"/>
      <c r="B2385" s="73"/>
      <c r="C2385" s="73"/>
      <c r="D2385" s="95"/>
      <c r="E2385" s="73"/>
      <c r="F2385" s="73"/>
      <c r="G2385" s="73"/>
      <c r="H2385" s="73"/>
      <c r="I2385" s="95"/>
      <c r="J2385" s="73"/>
      <c r="K2385" s="95"/>
      <c r="L2385" s="95"/>
      <c r="M2385" s="22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</row>
    <row r="2386">
      <c r="A2386" s="26"/>
      <c r="B2386" s="73"/>
      <c r="C2386" s="73"/>
      <c r="D2386" s="95"/>
      <c r="E2386" s="73"/>
      <c r="F2386" s="73"/>
      <c r="G2386" s="73"/>
      <c r="H2386" s="73"/>
      <c r="I2386" s="95"/>
      <c r="J2386" s="73"/>
      <c r="K2386" s="95"/>
      <c r="L2386" s="95"/>
      <c r="M2386" s="22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</row>
    <row r="2387">
      <c r="A2387" s="26"/>
      <c r="B2387" s="73"/>
      <c r="C2387" s="73"/>
      <c r="D2387" s="95"/>
      <c r="E2387" s="73"/>
      <c r="F2387" s="73"/>
      <c r="G2387" s="73"/>
      <c r="H2387" s="73"/>
      <c r="I2387" s="95"/>
      <c r="J2387" s="73"/>
      <c r="K2387" s="95"/>
      <c r="L2387" s="95"/>
      <c r="M2387" s="22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</row>
    <row r="2388">
      <c r="A2388" s="26"/>
      <c r="B2388" s="73"/>
      <c r="C2388" s="73"/>
      <c r="D2388" s="95"/>
      <c r="E2388" s="73"/>
      <c r="F2388" s="73"/>
      <c r="G2388" s="73"/>
      <c r="H2388" s="73"/>
      <c r="I2388" s="95"/>
      <c r="J2388" s="73"/>
      <c r="K2388" s="95"/>
      <c r="L2388" s="95"/>
      <c r="M2388" s="22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</row>
    <row r="2389">
      <c r="A2389" s="26"/>
      <c r="B2389" s="73"/>
      <c r="C2389" s="73"/>
      <c r="D2389" s="95"/>
      <c r="E2389" s="73"/>
      <c r="F2389" s="73"/>
      <c r="G2389" s="73"/>
      <c r="H2389" s="73"/>
      <c r="I2389" s="95"/>
      <c r="J2389" s="73"/>
      <c r="K2389" s="95"/>
      <c r="L2389" s="95"/>
      <c r="M2389" s="22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</row>
    <row r="2390">
      <c r="A2390" s="26"/>
      <c r="B2390" s="73"/>
      <c r="C2390" s="73"/>
      <c r="D2390" s="95"/>
      <c r="E2390" s="73"/>
      <c r="F2390" s="73"/>
      <c r="G2390" s="73"/>
      <c r="H2390" s="73"/>
      <c r="I2390" s="95"/>
      <c r="J2390" s="73"/>
      <c r="K2390" s="95"/>
      <c r="L2390" s="95"/>
      <c r="M2390" s="22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</row>
    <row r="2391">
      <c r="A2391" s="26"/>
      <c r="B2391" s="73"/>
      <c r="C2391" s="73"/>
      <c r="D2391" s="95"/>
      <c r="E2391" s="73"/>
      <c r="F2391" s="73"/>
      <c r="G2391" s="73"/>
      <c r="H2391" s="73"/>
      <c r="I2391" s="95"/>
      <c r="J2391" s="73"/>
      <c r="K2391" s="95"/>
      <c r="L2391" s="95"/>
      <c r="M2391" s="22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</row>
    <row r="2392">
      <c r="A2392" s="26"/>
      <c r="B2392" s="73"/>
      <c r="C2392" s="73"/>
      <c r="D2392" s="95"/>
      <c r="E2392" s="73"/>
      <c r="F2392" s="73"/>
      <c r="G2392" s="73"/>
      <c r="H2392" s="73"/>
      <c r="I2392" s="95"/>
      <c r="J2392" s="73"/>
      <c r="K2392" s="95"/>
      <c r="L2392" s="95"/>
      <c r="M2392" s="22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</row>
    <row r="2393">
      <c r="A2393" s="26"/>
      <c r="B2393" s="73"/>
      <c r="C2393" s="73"/>
      <c r="D2393" s="95"/>
      <c r="E2393" s="73"/>
      <c r="F2393" s="73"/>
      <c r="G2393" s="73"/>
      <c r="H2393" s="73"/>
      <c r="I2393" s="95"/>
      <c r="J2393" s="73"/>
      <c r="K2393" s="95"/>
      <c r="L2393" s="95"/>
      <c r="M2393" s="22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</row>
    <row r="2394">
      <c r="A2394" s="26"/>
      <c r="B2394" s="73"/>
      <c r="C2394" s="73"/>
      <c r="D2394" s="95"/>
      <c r="E2394" s="73"/>
      <c r="F2394" s="73"/>
      <c r="G2394" s="73"/>
      <c r="H2394" s="73"/>
      <c r="I2394" s="95"/>
      <c r="J2394" s="73"/>
      <c r="K2394" s="95"/>
      <c r="L2394" s="95"/>
      <c r="M2394" s="22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</row>
    <row r="2395">
      <c r="A2395" s="26"/>
      <c r="B2395" s="73"/>
      <c r="C2395" s="73"/>
      <c r="D2395" s="95"/>
      <c r="E2395" s="73"/>
      <c r="F2395" s="73"/>
      <c r="G2395" s="73"/>
      <c r="H2395" s="73"/>
      <c r="I2395" s="95"/>
      <c r="J2395" s="73"/>
      <c r="K2395" s="95"/>
      <c r="L2395" s="95"/>
      <c r="M2395" s="22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</row>
    <row r="2396">
      <c r="A2396" s="26"/>
      <c r="B2396" s="73"/>
      <c r="C2396" s="73"/>
      <c r="D2396" s="95"/>
      <c r="E2396" s="73"/>
      <c r="F2396" s="73"/>
      <c r="G2396" s="73"/>
      <c r="H2396" s="73"/>
      <c r="I2396" s="95"/>
      <c r="J2396" s="73"/>
      <c r="K2396" s="95"/>
      <c r="L2396" s="95"/>
      <c r="M2396" s="22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</row>
    <row r="2397">
      <c r="A2397" s="26"/>
      <c r="B2397" s="73"/>
      <c r="C2397" s="73"/>
      <c r="D2397" s="95"/>
      <c r="E2397" s="73"/>
      <c r="F2397" s="73"/>
      <c r="G2397" s="73"/>
      <c r="H2397" s="73"/>
      <c r="I2397" s="95"/>
      <c r="J2397" s="73"/>
      <c r="K2397" s="95"/>
      <c r="L2397" s="95"/>
      <c r="M2397" s="22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</row>
    <row r="2398">
      <c r="A2398" s="26"/>
      <c r="B2398" s="73"/>
      <c r="C2398" s="73"/>
      <c r="D2398" s="95"/>
      <c r="E2398" s="73"/>
      <c r="F2398" s="73"/>
      <c r="G2398" s="73"/>
      <c r="H2398" s="73"/>
      <c r="I2398" s="95"/>
      <c r="J2398" s="73"/>
      <c r="K2398" s="95"/>
      <c r="L2398" s="95"/>
      <c r="M2398" s="22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</row>
    <row r="2399">
      <c r="A2399" s="26"/>
      <c r="B2399" s="73"/>
      <c r="C2399" s="73"/>
      <c r="D2399" s="95"/>
      <c r="E2399" s="73"/>
      <c r="F2399" s="73"/>
      <c r="G2399" s="73"/>
      <c r="H2399" s="73"/>
      <c r="I2399" s="95"/>
      <c r="J2399" s="73"/>
      <c r="K2399" s="95"/>
      <c r="L2399" s="95"/>
      <c r="M2399" s="22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</row>
    <row r="2400">
      <c r="A2400" s="26"/>
      <c r="B2400" s="73"/>
      <c r="C2400" s="73"/>
      <c r="D2400" s="95"/>
      <c r="E2400" s="73"/>
      <c r="F2400" s="73"/>
      <c r="G2400" s="73"/>
      <c r="H2400" s="73"/>
      <c r="I2400" s="95"/>
      <c r="J2400" s="73"/>
      <c r="K2400" s="95"/>
      <c r="L2400" s="95"/>
      <c r="M2400" s="22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</row>
    <row r="2401">
      <c r="A2401" s="26"/>
      <c r="B2401" s="73"/>
      <c r="C2401" s="73"/>
      <c r="D2401" s="95"/>
      <c r="E2401" s="73"/>
      <c r="F2401" s="73"/>
      <c r="G2401" s="73"/>
      <c r="H2401" s="73"/>
      <c r="I2401" s="95"/>
      <c r="J2401" s="73"/>
      <c r="K2401" s="95"/>
      <c r="L2401" s="95"/>
      <c r="M2401" s="22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</row>
    <row r="2402">
      <c r="A2402" s="26"/>
      <c r="B2402" s="73"/>
      <c r="C2402" s="73"/>
      <c r="D2402" s="95"/>
      <c r="E2402" s="73"/>
      <c r="F2402" s="73"/>
      <c r="G2402" s="73"/>
      <c r="H2402" s="73"/>
      <c r="I2402" s="95"/>
      <c r="J2402" s="73"/>
      <c r="K2402" s="95"/>
      <c r="L2402" s="95"/>
      <c r="M2402" s="22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</row>
    <row r="2403">
      <c r="A2403" s="26"/>
      <c r="B2403" s="73"/>
      <c r="C2403" s="73"/>
      <c r="D2403" s="95"/>
      <c r="E2403" s="73"/>
      <c r="F2403" s="73"/>
      <c r="G2403" s="73"/>
      <c r="H2403" s="73"/>
      <c r="I2403" s="95"/>
      <c r="J2403" s="73"/>
      <c r="K2403" s="95"/>
      <c r="L2403" s="95"/>
      <c r="M2403" s="22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</row>
    <row r="2404">
      <c r="A2404" s="26"/>
      <c r="B2404" s="73"/>
      <c r="C2404" s="73"/>
      <c r="D2404" s="95"/>
      <c r="E2404" s="73"/>
      <c r="F2404" s="73"/>
      <c r="G2404" s="73"/>
      <c r="H2404" s="73"/>
      <c r="I2404" s="95"/>
      <c r="J2404" s="73"/>
      <c r="K2404" s="95"/>
      <c r="L2404" s="95"/>
      <c r="M2404" s="22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</row>
    <row r="2405">
      <c r="A2405" s="26"/>
      <c r="B2405" s="73"/>
      <c r="C2405" s="73"/>
      <c r="D2405" s="95"/>
      <c r="E2405" s="73"/>
      <c r="F2405" s="73"/>
      <c r="G2405" s="73"/>
      <c r="H2405" s="73"/>
      <c r="I2405" s="95"/>
      <c r="J2405" s="73"/>
      <c r="K2405" s="95"/>
      <c r="L2405" s="95"/>
      <c r="M2405" s="22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</row>
    <row r="2406">
      <c r="A2406" s="26"/>
      <c r="B2406" s="73"/>
      <c r="C2406" s="73"/>
      <c r="D2406" s="95"/>
      <c r="E2406" s="73"/>
      <c r="F2406" s="73"/>
      <c r="G2406" s="73"/>
      <c r="H2406" s="73"/>
      <c r="I2406" s="95"/>
      <c r="J2406" s="73"/>
      <c r="K2406" s="95"/>
      <c r="L2406" s="95"/>
      <c r="M2406" s="22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</row>
    <row r="2407">
      <c r="A2407" s="26"/>
      <c r="B2407" s="73"/>
      <c r="C2407" s="73"/>
      <c r="D2407" s="95"/>
      <c r="E2407" s="73"/>
      <c r="F2407" s="73"/>
      <c r="G2407" s="73"/>
      <c r="H2407" s="73"/>
      <c r="I2407" s="95"/>
      <c r="J2407" s="73"/>
      <c r="K2407" s="95"/>
      <c r="L2407" s="95"/>
      <c r="M2407" s="22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</row>
    <row r="2408">
      <c r="A2408" s="26"/>
      <c r="B2408" s="73"/>
      <c r="C2408" s="73"/>
      <c r="D2408" s="95"/>
      <c r="E2408" s="73"/>
      <c r="F2408" s="73"/>
      <c r="G2408" s="73"/>
      <c r="H2408" s="73"/>
      <c r="I2408" s="95"/>
      <c r="J2408" s="73"/>
      <c r="K2408" s="95"/>
      <c r="L2408" s="95"/>
      <c r="M2408" s="22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</row>
    <row r="2409">
      <c r="A2409" s="26"/>
      <c r="B2409" s="73"/>
      <c r="C2409" s="73"/>
      <c r="D2409" s="95"/>
      <c r="E2409" s="73"/>
      <c r="F2409" s="73"/>
      <c r="G2409" s="73"/>
      <c r="H2409" s="73"/>
      <c r="I2409" s="95"/>
      <c r="J2409" s="73"/>
      <c r="K2409" s="95"/>
      <c r="L2409" s="95"/>
      <c r="M2409" s="22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</row>
    <row r="2410">
      <c r="A2410" s="26"/>
      <c r="B2410" s="73"/>
      <c r="C2410" s="73"/>
      <c r="D2410" s="95"/>
      <c r="E2410" s="73"/>
      <c r="F2410" s="73"/>
      <c r="G2410" s="73"/>
      <c r="H2410" s="73"/>
      <c r="I2410" s="95"/>
      <c r="J2410" s="73"/>
      <c r="K2410" s="95"/>
      <c r="L2410" s="95"/>
      <c r="M2410" s="22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</row>
    <row r="2411">
      <c r="A2411" s="26"/>
      <c r="B2411" s="73"/>
      <c r="C2411" s="73"/>
      <c r="D2411" s="95"/>
      <c r="E2411" s="73"/>
      <c r="F2411" s="73"/>
      <c r="G2411" s="73"/>
      <c r="H2411" s="73"/>
      <c r="I2411" s="95"/>
      <c r="J2411" s="73"/>
      <c r="K2411" s="95"/>
      <c r="L2411" s="95"/>
      <c r="M2411" s="22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</row>
    <row r="2412">
      <c r="A2412" s="26"/>
      <c r="B2412" s="73"/>
      <c r="C2412" s="73"/>
      <c r="D2412" s="95"/>
      <c r="E2412" s="73"/>
      <c r="F2412" s="73"/>
      <c r="G2412" s="73"/>
      <c r="H2412" s="73"/>
      <c r="I2412" s="95"/>
      <c r="J2412" s="73"/>
      <c r="K2412" s="95"/>
      <c r="L2412" s="95"/>
      <c r="M2412" s="22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</row>
    <row r="2413">
      <c r="A2413" s="26"/>
      <c r="B2413" s="73"/>
      <c r="C2413" s="73"/>
      <c r="D2413" s="95"/>
      <c r="E2413" s="73"/>
      <c r="F2413" s="73"/>
      <c r="G2413" s="73"/>
      <c r="H2413" s="73"/>
      <c r="I2413" s="95"/>
      <c r="J2413" s="73"/>
      <c r="K2413" s="95"/>
      <c r="L2413" s="95"/>
      <c r="M2413" s="22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</row>
    <row r="2414">
      <c r="A2414" s="26"/>
      <c r="B2414" s="73"/>
      <c r="C2414" s="73"/>
      <c r="D2414" s="95"/>
      <c r="E2414" s="73"/>
      <c r="F2414" s="73"/>
      <c r="G2414" s="73"/>
      <c r="H2414" s="73"/>
      <c r="I2414" s="95"/>
      <c r="J2414" s="73"/>
      <c r="K2414" s="95"/>
      <c r="L2414" s="95"/>
      <c r="M2414" s="22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</row>
    <row r="2415">
      <c r="A2415" s="26"/>
      <c r="B2415" s="73"/>
      <c r="C2415" s="73"/>
      <c r="D2415" s="95"/>
      <c r="E2415" s="73"/>
      <c r="F2415" s="73"/>
      <c r="G2415" s="73"/>
      <c r="H2415" s="73"/>
      <c r="I2415" s="95"/>
      <c r="J2415" s="73"/>
      <c r="K2415" s="95"/>
      <c r="L2415" s="95"/>
      <c r="M2415" s="22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</row>
    <row r="2416">
      <c r="A2416" s="26"/>
      <c r="B2416" s="73"/>
      <c r="C2416" s="73"/>
      <c r="D2416" s="95"/>
      <c r="E2416" s="73"/>
      <c r="F2416" s="73"/>
      <c r="G2416" s="73"/>
      <c r="H2416" s="73"/>
      <c r="I2416" s="95"/>
      <c r="J2416" s="73"/>
      <c r="K2416" s="95"/>
      <c r="L2416" s="95"/>
      <c r="M2416" s="22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</row>
    <row r="2417">
      <c r="A2417" s="26"/>
      <c r="B2417" s="73"/>
      <c r="C2417" s="73"/>
      <c r="D2417" s="95"/>
      <c r="E2417" s="73"/>
      <c r="F2417" s="73"/>
      <c r="G2417" s="73"/>
      <c r="H2417" s="73"/>
      <c r="I2417" s="95"/>
      <c r="J2417" s="73"/>
      <c r="K2417" s="95"/>
      <c r="L2417" s="95"/>
      <c r="M2417" s="22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</row>
    <row r="2418">
      <c r="A2418" s="26"/>
      <c r="B2418" s="73"/>
      <c r="C2418" s="73"/>
      <c r="D2418" s="95"/>
      <c r="E2418" s="73"/>
      <c r="F2418" s="73"/>
      <c r="G2418" s="73"/>
      <c r="H2418" s="73"/>
      <c r="I2418" s="95"/>
      <c r="J2418" s="73"/>
      <c r="K2418" s="95"/>
      <c r="L2418" s="95"/>
      <c r="M2418" s="22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</row>
    <row r="2419">
      <c r="A2419" s="26"/>
      <c r="B2419" s="73"/>
      <c r="C2419" s="73"/>
      <c r="D2419" s="95"/>
      <c r="E2419" s="73"/>
      <c r="F2419" s="73"/>
      <c r="G2419" s="73"/>
      <c r="H2419" s="73"/>
      <c r="I2419" s="95"/>
      <c r="J2419" s="73"/>
      <c r="K2419" s="95"/>
      <c r="L2419" s="95"/>
      <c r="M2419" s="22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</row>
    <row r="2420">
      <c r="A2420" s="26"/>
      <c r="B2420" s="73"/>
      <c r="C2420" s="73"/>
      <c r="D2420" s="95"/>
      <c r="E2420" s="73"/>
      <c r="F2420" s="73"/>
      <c r="G2420" s="73"/>
      <c r="H2420" s="73"/>
      <c r="I2420" s="95"/>
      <c r="J2420" s="73"/>
      <c r="K2420" s="95"/>
      <c r="L2420" s="95"/>
      <c r="M2420" s="22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</row>
    <row r="2421">
      <c r="A2421" s="26"/>
      <c r="B2421" s="73"/>
      <c r="C2421" s="73"/>
      <c r="D2421" s="95"/>
      <c r="E2421" s="73"/>
      <c r="F2421" s="73"/>
      <c r="G2421" s="73"/>
      <c r="H2421" s="73"/>
      <c r="I2421" s="95"/>
      <c r="J2421" s="73"/>
      <c r="K2421" s="95"/>
      <c r="L2421" s="95"/>
      <c r="M2421" s="22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</row>
    <row r="2422">
      <c r="A2422" s="26"/>
      <c r="B2422" s="73"/>
      <c r="C2422" s="73"/>
      <c r="D2422" s="95"/>
      <c r="E2422" s="73"/>
      <c r="F2422" s="73"/>
      <c r="G2422" s="73"/>
      <c r="H2422" s="73"/>
      <c r="I2422" s="95"/>
      <c r="J2422" s="73"/>
      <c r="K2422" s="95"/>
      <c r="L2422" s="95"/>
      <c r="M2422" s="22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</row>
    <row r="2423">
      <c r="A2423" s="26"/>
      <c r="B2423" s="73"/>
      <c r="C2423" s="73"/>
      <c r="D2423" s="95"/>
      <c r="E2423" s="73"/>
      <c r="F2423" s="73"/>
      <c r="G2423" s="73"/>
      <c r="H2423" s="73"/>
      <c r="I2423" s="95"/>
      <c r="J2423" s="73"/>
      <c r="K2423" s="95"/>
      <c r="L2423" s="95"/>
      <c r="M2423" s="22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</row>
    <row r="2424">
      <c r="A2424" s="26"/>
      <c r="B2424" s="73"/>
      <c r="C2424" s="73"/>
      <c r="D2424" s="95"/>
      <c r="E2424" s="73"/>
      <c r="F2424" s="73"/>
      <c r="G2424" s="73"/>
      <c r="H2424" s="73"/>
      <c r="I2424" s="95"/>
      <c r="J2424" s="73"/>
      <c r="K2424" s="95"/>
      <c r="L2424" s="95"/>
      <c r="M2424" s="22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</row>
    <row r="2425">
      <c r="A2425" s="26"/>
      <c r="B2425" s="73"/>
      <c r="C2425" s="73"/>
      <c r="D2425" s="95"/>
      <c r="E2425" s="73"/>
      <c r="F2425" s="73"/>
      <c r="G2425" s="73"/>
      <c r="H2425" s="73"/>
      <c r="I2425" s="95"/>
      <c r="J2425" s="73"/>
      <c r="K2425" s="95"/>
      <c r="L2425" s="95"/>
      <c r="M2425" s="22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</row>
    <row r="2426">
      <c r="A2426" s="26"/>
      <c r="B2426" s="73"/>
      <c r="C2426" s="73"/>
      <c r="D2426" s="95"/>
      <c r="E2426" s="73"/>
      <c r="F2426" s="73"/>
      <c r="G2426" s="73"/>
      <c r="H2426" s="73"/>
      <c r="I2426" s="95"/>
      <c r="J2426" s="73"/>
      <c r="K2426" s="95"/>
      <c r="L2426" s="95"/>
      <c r="M2426" s="22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</row>
    <row r="2427">
      <c r="A2427" s="26"/>
      <c r="B2427" s="73"/>
      <c r="C2427" s="73"/>
      <c r="D2427" s="95"/>
      <c r="E2427" s="73"/>
      <c r="F2427" s="73"/>
      <c r="G2427" s="73"/>
      <c r="H2427" s="73"/>
      <c r="I2427" s="95"/>
      <c r="J2427" s="73"/>
      <c r="K2427" s="95"/>
      <c r="L2427" s="95"/>
      <c r="M2427" s="22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</row>
    <row r="2428">
      <c r="A2428" s="26"/>
      <c r="B2428" s="73"/>
      <c r="C2428" s="73"/>
      <c r="D2428" s="95"/>
      <c r="E2428" s="73"/>
      <c r="F2428" s="73"/>
      <c r="G2428" s="73"/>
      <c r="H2428" s="73"/>
      <c r="I2428" s="95"/>
      <c r="J2428" s="73"/>
      <c r="K2428" s="95"/>
      <c r="L2428" s="95"/>
      <c r="M2428" s="22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</row>
    <row r="2429">
      <c r="A2429" s="26"/>
      <c r="B2429" s="73"/>
      <c r="C2429" s="73"/>
      <c r="D2429" s="95"/>
      <c r="E2429" s="73"/>
      <c r="F2429" s="73"/>
      <c r="G2429" s="73"/>
      <c r="H2429" s="73"/>
      <c r="I2429" s="95"/>
      <c r="J2429" s="73"/>
      <c r="K2429" s="95"/>
      <c r="L2429" s="95"/>
      <c r="M2429" s="22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</row>
    <row r="2430">
      <c r="A2430" s="26"/>
      <c r="B2430" s="73"/>
      <c r="C2430" s="73"/>
      <c r="D2430" s="95"/>
      <c r="E2430" s="73"/>
      <c r="F2430" s="73"/>
      <c r="G2430" s="73"/>
      <c r="H2430" s="73"/>
      <c r="I2430" s="95"/>
      <c r="J2430" s="73"/>
      <c r="K2430" s="95"/>
      <c r="L2430" s="95"/>
      <c r="M2430" s="22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</row>
    <row r="2431">
      <c r="A2431" s="26"/>
      <c r="B2431" s="73"/>
      <c r="C2431" s="73"/>
      <c r="D2431" s="95"/>
      <c r="E2431" s="73"/>
      <c r="F2431" s="73"/>
      <c r="G2431" s="73"/>
      <c r="H2431" s="73"/>
      <c r="I2431" s="95"/>
      <c r="J2431" s="73"/>
      <c r="K2431" s="95"/>
      <c r="L2431" s="95"/>
      <c r="M2431" s="22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</row>
    <row r="2432">
      <c r="A2432" s="26"/>
      <c r="B2432" s="73"/>
      <c r="C2432" s="73"/>
      <c r="D2432" s="95"/>
      <c r="E2432" s="73"/>
      <c r="F2432" s="73"/>
      <c r="G2432" s="73"/>
      <c r="H2432" s="73"/>
      <c r="I2432" s="95"/>
      <c r="J2432" s="73"/>
      <c r="K2432" s="95"/>
      <c r="L2432" s="95"/>
      <c r="M2432" s="22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</row>
    <row r="2433">
      <c r="A2433" s="26"/>
      <c r="B2433" s="73"/>
      <c r="C2433" s="73"/>
      <c r="D2433" s="95"/>
      <c r="E2433" s="73"/>
      <c r="F2433" s="73"/>
      <c r="G2433" s="73"/>
      <c r="H2433" s="73"/>
      <c r="I2433" s="95"/>
      <c r="J2433" s="73"/>
      <c r="K2433" s="95"/>
      <c r="L2433" s="95"/>
      <c r="M2433" s="22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</row>
    <row r="2434">
      <c r="A2434" s="26"/>
      <c r="B2434" s="73"/>
      <c r="C2434" s="73"/>
      <c r="D2434" s="95"/>
      <c r="E2434" s="73"/>
      <c r="F2434" s="73"/>
      <c r="G2434" s="73"/>
      <c r="H2434" s="73"/>
      <c r="I2434" s="95"/>
      <c r="J2434" s="73"/>
      <c r="K2434" s="95"/>
      <c r="L2434" s="95"/>
      <c r="M2434" s="22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</row>
    <row r="2435">
      <c r="A2435" s="26"/>
      <c r="B2435" s="73"/>
      <c r="C2435" s="73"/>
      <c r="D2435" s="95"/>
      <c r="E2435" s="73"/>
      <c r="F2435" s="73"/>
      <c r="G2435" s="73"/>
      <c r="H2435" s="73"/>
      <c r="I2435" s="95"/>
      <c r="J2435" s="73"/>
      <c r="K2435" s="95"/>
      <c r="L2435" s="95"/>
      <c r="M2435" s="22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</row>
    <row r="2436">
      <c r="A2436" s="26"/>
      <c r="B2436" s="73"/>
      <c r="C2436" s="73"/>
      <c r="D2436" s="95"/>
      <c r="E2436" s="73"/>
      <c r="F2436" s="73"/>
      <c r="G2436" s="73"/>
      <c r="H2436" s="73"/>
      <c r="I2436" s="95"/>
      <c r="J2436" s="73"/>
      <c r="K2436" s="95"/>
      <c r="L2436" s="95"/>
      <c r="M2436" s="22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</row>
    <row r="2437">
      <c r="A2437" s="26"/>
      <c r="B2437" s="73"/>
      <c r="C2437" s="73"/>
      <c r="D2437" s="95"/>
      <c r="E2437" s="73"/>
      <c r="F2437" s="73"/>
      <c r="G2437" s="73"/>
      <c r="H2437" s="73"/>
      <c r="I2437" s="95"/>
      <c r="J2437" s="73"/>
      <c r="K2437" s="95"/>
      <c r="L2437" s="95"/>
      <c r="M2437" s="22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</row>
    <row r="2438">
      <c r="A2438" s="26"/>
      <c r="B2438" s="73"/>
      <c r="C2438" s="73"/>
      <c r="D2438" s="95"/>
      <c r="E2438" s="73"/>
      <c r="F2438" s="73"/>
      <c r="G2438" s="73"/>
      <c r="H2438" s="73"/>
      <c r="I2438" s="95"/>
      <c r="J2438" s="73"/>
      <c r="K2438" s="95"/>
      <c r="L2438" s="95"/>
      <c r="M2438" s="22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</row>
    <row r="2439">
      <c r="A2439" s="26"/>
      <c r="B2439" s="73"/>
      <c r="C2439" s="73"/>
      <c r="D2439" s="95"/>
      <c r="E2439" s="73"/>
      <c r="F2439" s="73"/>
      <c r="G2439" s="73"/>
      <c r="H2439" s="73"/>
      <c r="I2439" s="95"/>
      <c r="J2439" s="73"/>
      <c r="K2439" s="95"/>
      <c r="L2439" s="95"/>
      <c r="M2439" s="22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</row>
    <row r="2440">
      <c r="A2440" s="26"/>
      <c r="B2440" s="73"/>
      <c r="C2440" s="73"/>
      <c r="D2440" s="95"/>
      <c r="E2440" s="73"/>
      <c r="F2440" s="73"/>
      <c r="G2440" s="73"/>
      <c r="H2440" s="73"/>
      <c r="I2440" s="95"/>
      <c r="J2440" s="73"/>
      <c r="K2440" s="95"/>
      <c r="L2440" s="95"/>
      <c r="M2440" s="22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</row>
    <row r="2441">
      <c r="A2441" s="26"/>
      <c r="B2441" s="73"/>
      <c r="C2441" s="73"/>
      <c r="D2441" s="95"/>
      <c r="E2441" s="73"/>
      <c r="F2441" s="73"/>
      <c r="G2441" s="73"/>
      <c r="H2441" s="73"/>
      <c r="I2441" s="95"/>
      <c r="J2441" s="73"/>
      <c r="K2441" s="95"/>
      <c r="L2441" s="95"/>
      <c r="M2441" s="22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</row>
    <row r="2442">
      <c r="A2442" s="26"/>
      <c r="B2442" s="73"/>
      <c r="C2442" s="73"/>
      <c r="D2442" s="95"/>
      <c r="E2442" s="73"/>
      <c r="F2442" s="73"/>
      <c r="G2442" s="73"/>
      <c r="H2442" s="73"/>
      <c r="I2442" s="95"/>
      <c r="J2442" s="73"/>
      <c r="K2442" s="95"/>
      <c r="L2442" s="95"/>
      <c r="M2442" s="22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</row>
    <row r="2443">
      <c r="A2443" s="26"/>
      <c r="B2443" s="73"/>
      <c r="C2443" s="73"/>
      <c r="D2443" s="95"/>
      <c r="E2443" s="73"/>
      <c r="F2443" s="73"/>
      <c r="G2443" s="73"/>
      <c r="H2443" s="73"/>
      <c r="I2443" s="95"/>
      <c r="J2443" s="73"/>
      <c r="K2443" s="95"/>
      <c r="L2443" s="95"/>
      <c r="M2443" s="22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</row>
    <row r="2444">
      <c r="A2444" s="26"/>
      <c r="B2444" s="73"/>
      <c r="C2444" s="73"/>
      <c r="D2444" s="95"/>
      <c r="E2444" s="73"/>
      <c r="F2444" s="73"/>
      <c r="G2444" s="73"/>
      <c r="H2444" s="73"/>
      <c r="I2444" s="95"/>
      <c r="J2444" s="73"/>
      <c r="K2444" s="95"/>
      <c r="L2444" s="95"/>
      <c r="M2444" s="22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</row>
    <row r="2445">
      <c r="A2445" s="26"/>
      <c r="B2445" s="73"/>
      <c r="C2445" s="73"/>
      <c r="D2445" s="95"/>
      <c r="E2445" s="73"/>
      <c r="F2445" s="73"/>
      <c r="G2445" s="73"/>
      <c r="H2445" s="73"/>
      <c r="I2445" s="95"/>
      <c r="J2445" s="73"/>
      <c r="K2445" s="95"/>
      <c r="L2445" s="95"/>
      <c r="M2445" s="22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</row>
    <row r="2446">
      <c r="A2446" s="26"/>
      <c r="B2446" s="73"/>
      <c r="C2446" s="73"/>
      <c r="D2446" s="95"/>
      <c r="E2446" s="73"/>
      <c r="F2446" s="73"/>
      <c r="G2446" s="73"/>
      <c r="H2446" s="73"/>
      <c r="I2446" s="95"/>
      <c r="J2446" s="73"/>
      <c r="K2446" s="95"/>
      <c r="L2446" s="95"/>
      <c r="M2446" s="22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</row>
    <row r="2447">
      <c r="A2447" s="26"/>
      <c r="B2447" s="73"/>
      <c r="C2447" s="73"/>
      <c r="D2447" s="95"/>
      <c r="E2447" s="73"/>
      <c r="F2447" s="73"/>
      <c r="G2447" s="73"/>
      <c r="H2447" s="73"/>
      <c r="I2447" s="95"/>
      <c r="J2447" s="73"/>
      <c r="K2447" s="95"/>
      <c r="L2447" s="95"/>
      <c r="M2447" s="22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</row>
    <row r="2448">
      <c r="A2448" s="26"/>
      <c r="B2448" s="73"/>
      <c r="C2448" s="73"/>
      <c r="D2448" s="95"/>
      <c r="E2448" s="73"/>
      <c r="F2448" s="73"/>
      <c r="G2448" s="73"/>
      <c r="H2448" s="73"/>
      <c r="I2448" s="95"/>
      <c r="J2448" s="73"/>
      <c r="K2448" s="95"/>
      <c r="L2448" s="95"/>
      <c r="M2448" s="22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</row>
    <row r="2449">
      <c r="A2449" s="26"/>
      <c r="B2449" s="73"/>
      <c r="C2449" s="73"/>
      <c r="D2449" s="95"/>
      <c r="E2449" s="73"/>
      <c r="F2449" s="73"/>
      <c r="G2449" s="73"/>
      <c r="H2449" s="73"/>
      <c r="I2449" s="95"/>
      <c r="J2449" s="73"/>
      <c r="K2449" s="95"/>
      <c r="L2449" s="95"/>
      <c r="M2449" s="22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</row>
    <row r="2450">
      <c r="A2450" s="26"/>
      <c r="B2450" s="73"/>
      <c r="C2450" s="73"/>
      <c r="D2450" s="95"/>
      <c r="E2450" s="73"/>
      <c r="F2450" s="73"/>
      <c r="G2450" s="73"/>
      <c r="H2450" s="73"/>
      <c r="I2450" s="95"/>
      <c r="J2450" s="73"/>
      <c r="K2450" s="95"/>
      <c r="L2450" s="95"/>
      <c r="M2450" s="22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</row>
    <row r="2451">
      <c r="A2451" s="26"/>
      <c r="B2451" s="73"/>
      <c r="C2451" s="73"/>
      <c r="D2451" s="95"/>
      <c r="E2451" s="73"/>
      <c r="F2451" s="73"/>
      <c r="G2451" s="73"/>
      <c r="H2451" s="73"/>
      <c r="I2451" s="95"/>
      <c r="J2451" s="73"/>
      <c r="K2451" s="95"/>
      <c r="L2451" s="95"/>
      <c r="M2451" s="22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</row>
    <row r="2452">
      <c r="A2452" s="26"/>
      <c r="B2452" s="73"/>
      <c r="C2452" s="73"/>
      <c r="D2452" s="95"/>
      <c r="E2452" s="73"/>
      <c r="F2452" s="73"/>
      <c r="G2452" s="73"/>
      <c r="H2452" s="73"/>
      <c r="I2452" s="95"/>
      <c r="J2452" s="73"/>
      <c r="K2452" s="95"/>
      <c r="L2452" s="95"/>
      <c r="M2452" s="22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</row>
    <row r="2453">
      <c r="A2453" s="26"/>
      <c r="B2453" s="73"/>
      <c r="C2453" s="73"/>
      <c r="D2453" s="95"/>
      <c r="E2453" s="73"/>
      <c r="F2453" s="73"/>
      <c r="G2453" s="73"/>
      <c r="H2453" s="73"/>
      <c r="I2453" s="95"/>
      <c r="J2453" s="73"/>
      <c r="K2453" s="95"/>
      <c r="L2453" s="95"/>
      <c r="M2453" s="22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</row>
    <row r="2454">
      <c r="A2454" s="26"/>
      <c r="B2454" s="73"/>
      <c r="C2454" s="73"/>
      <c r="D2454" s="95"/>
      <c r="E2454" s="73"/>
      <c r="F2454" s="73"/>
      <c r="G2454" s="73"/>
      <c r="H2454" s="73"/>
      <c r="I2454" s="95"/>
      <c r="J2454" s="73"/>
      <c r="K2454" s="95"/>
      <c r="L2454" s="95"/>
      <c r="M2454" s="22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</row>
    <row r="2455">
      <c r="A2455" s="26"/>
      <c r="B2455" s="73"/>
      <c r="C2455" s="73"/>
      <c r="D2455" s="95"/>
      <c r="E2455" s="73"/>
      <c r="F2455" s="73"/>
      <c r="G2455" s="73"/>
      <c r="H2455" s="73"/>
      <c r="I2455" s="95"/>
      <c r="J2455" s="73"/>
      <c r="K2455" s="95"/>
      <c r="L2455" s="95"/>
      <c r="M2455" s="22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</row>
    <row r="2456">
      <c r="A2456" s="26"/>
      <c r="B2456" s="73"/>
      <c r="C2456" s="73"/>
      <c r="D2456" s="95"/>
      <c r="E2456" s="73"/>
      <c r="F2456" s="73"/>
      <c r="G2456" s="73"/>
      <c r="H2456" s="73"/>
      <c r="I2456" s="95"/>
      <c r="J2456" s="73"/>
      <c r="K2456" s="95"/>
      <c r="L2456" s="95"/>
      <c r="M2456" s="22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</row>
    <row r="2457">
      <c r="A2457" s="26"/>
      <c r="B2457" s="73"/>
      <c r="C2457" s="73"/>
      <c r="D2457" s="95"/>
      <c r="E2457" s="73"/>
      <c r="F2457" s="73"/>
      <c r="G2457" s="73"/>
      <c r="H2457" s="73"/>
      <c r="I2457" s="95"/>
      <c r="J2457" s="73"/>
      <c r="K2457" s="95"/>
      <c r="L2457" s="95"/>
      <c r="M2457" s="22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</row>
    <row r="2458">
      <c r="A2458" s="26"/>
      <c r="B2458" s="73"/>
      <c r="C2458" s="73"/>
      <c r="D2458" s="95"/>
      <c r="E2458" s="73"/>
      <c r="F2458" s="73"/>
      <c r="G2458" s="73"/>
      <c r="H2458" s="73"/>
      <c r="I2458" s="95"/>
      <c r="J2458" s="73"/>
      <c r="K2458" s="95"/>
      <c r="L2458" s="95"/>
      <c r="M2458" s="22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</row>
    <row r="2459">
      <c r="A2459" s="26"/>
      <c r="B2459" s="73"/>
      <c r="C2459" s="73"/>
      <c r="D2459" s="95"/>
      <c r="E2459" s="73"/>
      <c r="F2459" s="73"/>
      <c r="G2459" s="73"/>
      <c r="H2459" s="73"/>
      <c r="I2459" s="95"/>
      <c r="J2459" s="73"/>
      <c r="K2459" s="95"/>
      <c r="L2459" s="95"/>
      <c r="M2459" s="22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</row>
    <row r="2460">
      <c r="A2460" s="26"/>
      <c r="B2460" s="73"/>
      <c r="C2460" s="73"/>
      <c r="D2460" s="95"/>
      <c r="E2460" s="73"/>
      <c r="F2460" s="73"/>
      <c r="G2460" s="73"/>
      <c r="H2460" s="73"/>
      <c r="I2460" s="95"/>
      <c r="J2460" s="73"/>
      <c r="K2460" s="95"/>
      <c r="L2460" s="95"/>
      <c r="M2460" s="22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</row>
    <row r="2461">
      <c r="A2461" s="26"/>
      <c r="B2461" s="73"/>
      <c r="C2461" s="73"/>
      <c r="D2461" s="95"/>
      <c r="E2461" s="73"/>
      <c r="F2461" s="73"/>
      <c r="G2461" s="73"/>
      <c r="H2461" s="73"/>
      <c r="I2461" s="95"/>
      <c r="J2461" s="73"/>
      <c r="K2461" s="95"/>
      <c r="L2461" s="95"/>
      <c r="M2461" s="22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</row>
    <row r="2462">
      <c r="A2462" s="26"/>
      <c r="B2462" s="73"/>
      <c r="C2462" s="73"/>
      <c r="D2462" s="95"/>
      <c r="E2462" s="73"/>
      <c r="F2462" s="73"/>
      <c r="G2462" s="73"/>
      <c r="H2462" s="73"/>
      <c r="I2462" s="95"/>
      <c r="J2462" s="73"/>
      <c r="K2462" s="95"/>
      <c r="L2462" s="95"/>
      <c r="M2462" s="22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</row>
    <row r="2463">
      <c r="A2463" s="26"/>
      <c r="B2463" s="73"/>
      <c r="C2463" s="73"/>
      <c r="D2463" s="95"/>
      <c r="E2463" s="73"/>
      <c r="F2463" s="73"/>
      <c r="G2463" s="73"/>
      <c r="H2463" s="73"/>
      <c r="I2463" s="95"/>
      <c r="J2463" s="73"/>
      <c r="K2463" s="95"/>
      <c r="L2463" s="95"/>
      <c r="M2463" s="22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</row>
    <row r="2464">
      <c r="A2464" s="26"/>
      <c r="B2464" s="73"/>
      <c r="C2464" s="73"/>
      <c r="D2464" s="95"/>
      <c r="E2464" s="73"/>
      <c r="F2464" s="73"/>
      <c r="G2464" s="73"/>
      <c r="H2464" s="73"/>
      <c r="I2464" s="95"/>
      <c r="J2464" s="73"/>
      <c r="K2464" s="95"/>
      <c r="L2464" s="95"/>
      <c r="M2464" s="22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</row>
    <row r="2465">
      <c r="A2465" s="26"/>
      <c r="B2465" s="73"/>
      <c r="C2465" s="73"/>
      <c r="D2465" s="95"/>
      <c r="E2465" s="73"/>
      <c r="F2465" s="73"/>
      <c r="G2465" s="73"/>
      <c r="H2465" s="73"/>
      <c r="I2465" s="95"/>
      <c r="J2465" s="73"/>
      <c r="K2465" s="95"/>
      <c r="L2465" s="95"/>
      <c r="M2465" s="22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</row>
    <row r="2466">
      <c r="A2466" s="26"/>
      <c r="B2466" s="73"/>
      <c r="C2466" s="73"/>
      <c r="D2466" s="95"/>
      <c r="E2466" s="73"/>
      <c r="F2466" s="73"/>
      <c r="G2466" s="73"/>
      <c r="H2466" s="73"/>
      <c r="I2466" s="95"/>
      <c r="J2466" s="73"/>
      <c r="K2466" s="95"/>
      <c r="L2466" s="95"/>
      <c r="M2466" s="22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</row>
    <row r="2467">
      <c r="A2467" s="26"/>
      <c r="B2467" s="73"/>
      <c r="C2467" s="73"/>
      <c r="D2467" s="95"/>
      <c r="E2467" s="73"/>
      <c r="F2467" s="73"/>
      <c r="G2467" s="73"/>
      <c r="H2467" s="73"/>
      <c r="I2467" s="95"/>
      <c r="J2467" s="73"/>
      <c r="K2467" s="95"/>
      <c r="L2467" s="95"/>
      <c r="M2467" s="22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</row>
    <row r="2468">
      <c r="A2468" s="26"/>
      <c r="B2468" s="73"/>
      <c r="C2468" s="73"/>
      <c r="D2468" s="95"/>
      <c r="E2468" s="73"/>
      <c r="F2468" s="73"/>
      <c r="G2468" s="73"/>
      <c r="H2468" s="73"/>
      <c r="I2468" s="95"/>
      <c r="J2468" s="73"/>
      <c r="K2468" s="95"/>
      <c r="L2468" s="95"/>
      <c r="M2468" s="22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</row>
    <row r="2469">
      <c r="A2469" s="26"/>
      <c r="B2469" s="73"/>
      <c r="C2469" s="73"/>
      <c r="D2469" s="95"/>
      <c r="E2469" s="73"/>
      <c r="F2469" s="73"/>
      <c r="G2469" s="73"/>
      <c r="H2469" s="73"/>
      <c r="I2469" s="95"/>
      <c r="J2469" s="73"/>
      <c r="K2469" s="95"/>
      <c r="L2469" s="95"/>
      <c r="M2469" s="22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</row>
    <row r="2470">
      <c r="A2470" s="26"/>
      <c r="B2470" s="73"/>
      <c r="C2470" s="73"/>
      <c r="D2470" s="95"/>
      <c r="E2470" s="73"/>
      <c r="F2470" s="73"/>
      <c r="G2470" s="73"/>
      <c r="H2470" s="73"/>
      <c r="I2470" s="95"/>
      <c r="J2470" s="73"/>
      <c r="K2470" s="95"/>
      <c r="L2470" s="95"/>
      <c r="M2470" s="22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</row>
    <row r="2471">
      <c r="A2471" s="26"/>
      <c r="B2471" s="73"/>
      <c r="C2471" s="73"/>
      <c r="D2471" s="95"/>
      <c r="E2471" s="73"/>
      <c r="F2471" s="73"/>
      <c r="G2471" s="73"/>
      <c r="H2471" s="73"/>
      <c r="I2471" s="95"/>
      <c r="J2471" s="73"/>
      <c r="K2471" s="95"/>
      <c r="L2471" s="95"/>
      <c r="M2471" s="22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</row>
    <row r="2472">
      <c r="A2472" s="26"/>
      <c r="B2472" s="73"/>
      <c r="C2472" s="73"/>
      <c r="D2472" s="95"/>
      <c r="E2472" s="73"/>
      <c r="F2472" s="73"/>
      <c r="G2472" s="73"/>
      <c r="H2472" s="73"/>
      <c r="I2472" s="95"/>
      <c r="J2472" s="73"/>
      <c r="K2472" s="95"/>
      <c r="L2472" s="95"/>
      <c r="M2472" s="22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</row>
    <row r="2473">
      <c r="A2473" s="26"/>
      <c r="B2473" s="73"/>
      <c r="C2473" s="73"/>
      <c r="D2473" s="95"/>
      <c r="E2473" s="73"/>
      <c r="F2473" s="73"/>
      <c r="G2473" s="73"/>
      <c r="H2473" s="73"/>
      <c r="I2473" s="95"/>
      <c r="J2473" s="73"/>
      <c r="K2473" s="95"/>
      <c r="L2473" s="95"/>
      <c r="M2473" s="22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</row>
    <row r="2474">
      <c r="A2474" s="26"/>
      <c r="B2474" s="73"/>
      <c r="C2474" s="73"/>
      <c r="D2474" s="95"/>
      <c r="E2474" s="73"/>
      <c r="F2474" s="73"/>
      <c r="G2474" s="73"/>
      <c r="H2474" s="73"/>
      <c r="I2474" s="95"/>
      <c r="J2474" s="73"/>
      <c r="K2474" s="95"/>
      <c r="L2474" s="95"/>
      <c r="M2474" s="22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</row>
    <row r="2475">
      <c r="A2475" s="26"/>
      <c r="B2475" s="73"/>
      <c r="C2475" s="73"/>
      <c r="D2475" s="95"/>
      <c r="E2475" s="73"/>
      <c r="F2475" s="73"/>
      <c r="G2475" s="73"/>
      <c r="H2475" s="73"/>
      <c r="I2475" s="95"/>
      <c r="J2475" s="73"/>
      <c r="K2475" s="95"/>
      <c r="L2475" s="95"/>
      <c r="M2475" s="22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</row>
    <row r="2476">
      <c r="A2476" s="26"/>
      <c r="B2476" s="73"/>
      <c r="C2476" s="73"/>
      <c r="D2476" s="95"/>
      <c r="E2476" s="73"/>
      <c r="F2476" s="73"/>
      <c r="G2476" s="73"/>
      <c r="H2476" s="73"/>
      <c r="I2476" s="95"/>
      <c r="J2476" s="73"/>
      <c r="K2476" s="95"/>
      <c r="L2476" s="95"/>
      <c r="M2476" s="22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</row>
    <row r="2477">
      <c r="A2477" s="26"/>
      <c r="B2477" s="73"/>
      <c r="C2477" s="73"/>
      <c r="D2477" s="95"/>
      <c r="E2477" s="73"/>
      <c r="F2477" s="73"/>
      <c r="G2477" s="73"/>
      <c r="H2477" s="73"/>
      <c r="I2477" s="95"/>
      <c r="J2477" s="73"/>
      <c r="K2477" s="95"/>
      <c r="L2477" s="95"/>
      <c r="M2477" s="22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</row>
    <row r="2478">
      <c r="A2478" s="26"/>
      <c r="B2478" s="73"/>
      <c r="C2478" s="73"/>
      <c r="D2478" s="95"/>
      <c r="E2478" s="73"/>
      <c r="F2478" s="73"/>
      <c r="G2478" s="73"/>
      <c r="H2478" s="73"/>
      <c r="I2478" s="95"/>
      <c r="J2478" s="73"/>
      <c r="K2478" s="95"/>
      <c r="L2478" s="95"/>
      <c r="M2478" s="22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</row>
    <row r="2479">
      <c r="A2479" s="26"/>
      <c r="B2479" s="73"/>
      <c r="C2479" s="73"/>
      <c r="D2479" s="95"/>
      <c r="E2479" s="73"/>
      <c r="F2479" s="73"/>
      <c r="G2479" s="73"/>
      <c r="H2479" s="73"/>
      <c r="I2479" s="95"/>
      <c r="J2479" s="73"/>
      <c r="K2479" s="95"/>
      <c r="L2479" s="95"/>
      <c r="M2479" s="22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</row>
    <row r="2480">
      <c r="A2480" s="26"/>
      <c r="B2480" s="73"/>
      <c r="C2480" s="73"/>
      <c r="D2480" s="95"/>
      <c r="E2480" s="73"/>
      <c r="F2480" s="73"/>
      <c r="G2480" s="73"/>
      <c r="H2480" s="73"/>
      <c r="I2480" s="95"/>
      <c r="J2480" s="73"/>
      <c r="K2480" s="95"/>
      <c r="L2480" s="95"/>
      <c r="M2480" s="22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</row>
    <row r="2481">
      <c r="A2481" s="26"/>
      <c r="B2481" s="73"/>
      <c r="C2481" s="73"/>
      <c r="D2481" s="95"/>
      <c r="E2481" s="73"/>
      <c r="F2481" s="73"/>
      <c r="G2481" s="73"/>
      <c r="H2481" s="73"/>
      <c r="I2481" s="95"/>
      <c r="J2481" s="73"/>
      <c r="K2481" s="95"/>
      <c r="L2481" s="95"/>
      <c r="M2481" s="22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</row>
    <row r="2482">
      <c r="A2482" s="26"/>
      <c r="B2482" s="73"/>
      <c r="C2482" s="73"/>
      <c r="D2482" s="95"/>
      <c r="E2482" s="73"/>
      <c r="F2482" s="73"/>
      <c r="G2482" s="73"/>
      <c r="H2482" s="73"/>
      <c r="I2482" s="95"/>
      <c r="J2482" s="73"/>
      <c r="K2482" s="95"/>
      <c r="L2482" s="95"/>
      <c r="M2482" s="22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</row>
    <row r="2483">
      <c r="A2483" s="26"/>
      <c r="B2483" s="73"/>
      <c r="C2483" s="73"/>
      <c r="D2483" s="95"/>
      <c r="E2483" s="73"/>
      <c r="F2483" s="73"/>
      <c r="G2483" s="73"/>
      <c r="H2483" s="73"/>
      <c r="I2483" s="95"/>
      <c r="J2483" s="73"/>
      <c r="K2483" s="95"/>
      <c r="L2483" s="95"/>
      <c r="M2483" s="22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</row>
    <row r="2484">
      <c r="A2484" s="26"/>
      <c r="B2484" s="73"/>
      <c r="C2484" s="73"/>
      <c r="D2484" s="95"/>
      <c r="E2484" s="73"/>
      <c r="F2484" s="73"/>
      <c r="G2484" s="73"/>
      <c r="H2484" s="73"/>
      <c r="I2484" s="95"/>
      <c r="J2484" s="73"/>
      <c r="K2484" s="95"/>
      <c r="L2484" s="95"/>
      <c r="M2484" s="22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</row>
    <row r="2485">
      <c r="A2485" s="26"/>
      <c r="B2485" s="73"/>
      <c r="C2485" s="73"/>
      <c r="D2485" s="95"/>
      <c r="E2485" s="73"/>
      <c r="F2485" s="73"/>
      <c r="G2485" s="73"/>
      <c r="H2485" s="73"/>
      <c r="I2485" s="95"/>
      <c r="J2485" s="73"/>
      <c r="K2485" s="95"/>
      <c r="L2485" s="95"/>
      <c r="M2485" s="22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</row>
    <row r="2486">
      <c r="A2486" s="26"/>
      <c r="B2486" s="73"/>
      <c r="C2486" s="73"/>
      <c r="D2486" s="95"/>
      <c r="E2486" s="73"/>
      <c r="F2486" s="73"/>
      <c r="G2486" s="73"/>
      <c r="H2486" s="73"/>
      <c r="I2486" s="95"/>
      <c r="J2486" s="73"/>
      <c r="K2486" s="95"/>
      <c r="L2486" s="95"/>
      <c r="M2486" s="22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</row>
    <row r="2487">
      <c r="A2487" s="26"/>
      <c r="B2487" s="73"/>
      <c r="C2487" s="73"/>
      <c r="D2487" s="95"/>
      <c r="E2487" s="73"/>
      <c r="F2487" s="73"/>
      <c r="G2487" s="73"/>
      <c r="H2487" s="73"/>
      <c r="I2487" s="95"/>
      <c r="J2487" s="73"/>
      <c r="K2487" s="95"/>
      <c r="L2487" s="95"/>
      <c r="M2487" s="22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</row>
    <row r="2488">
      <c r="A2488" s="26"/>
      <c r="B2488" s="73"/>
      <c r="C2488" s="73"/>
      <c r="D2488" s="95"/>
      <c r="E2488" s="73"/>
      <c r="F2488" s="73"/>
      <c r="G2488" s="73"/>
      <c r="H2488" s="73"/>
      <c r="I2488" s="95"/>
      <c r="J2488" s="73"/>
      <c r="K2488" s="95"/>
      <c r="L2488" s="95"/>
      <c r="M2488" s="22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</row>
    <row r="2489">
      <c r="A2489" s="26"/>
      <c r="B2489" s="73"/>
      <c r="C2489" s="73"/>
      <c r="D2489" s="95"/>
      <c r="E2489" s="73"/>
      <c r="F2489" s="73"/>
      <c r="G2489" s="73"/>
      <c r="H2489" s="73"/>
      <c r="I2489" s="95"/>
      <c r="J2489" s="73"/>
      <c r="K2489" s="95"/>
      <c r="L2489" s="95"/>
      <c r="M2489" s="22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</row>
    <row r="2490">
      <c r="A2490" s="26"/>
      <c r="B2490" s="73"/>
      <c r="C2490" s="73"/>
      <c r="D2490" s="95"/>
      <c r="E2490" s="73"/>
      <c r="F2490" s="73"/>
      <c r="G2490" s="73"/>
      <c r="H2490" s="73"/>
      <c r="I2490" s="95"/>
      <c r="J2490" s="73"/>
      <c r="K2490" s="95"/>
      <c r="L2490" s="95"/>
      <c r="M2490" s="22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</row>
    <row r="2491">
      <c r="A2491" s="26"/>
      <c r="B2491" s="73"/>
      <c r="C2491" s="73"/>
      <c r="D2491" s="95"/>
      <c r="E2491" s="73"/>
      <c r="F2491" s="73"/>
      <c r="G2491" s="73"/>
      <c r="H2491" s="73"/>
      <c r="I2491" s="95"/>
      <c r="J2491" s="73"/>
      <c r="K2491" s="95"/>
      <c r="L2491" s="95"/>
      <c r="M2491" s="22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</row>
    <row r="2492">
      <c r="A2492" s="26"/>
      <c r="B2492" s="73"/>
      <c r="C2492" s="73"/>
      <c r="D2492" s="95"/>
      <c r="E2492" s="73"/>
      <c r="F2492" s="73"/>
      <c r="G2492" s="73"/>
      <c r="H2492" s="73"/>
      <c r="I2492" s="95"/>
      <c r="J2492" s="73"/>
      <c r="K2492" s="95"/>
      <c r="L2492" s="95"/>
      <c r="M2492" s="22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</row>
    <row r="2493">
      <c r="A2493" s="26"/>
      <c r="B2493" s="73"/>
      <c r="C2493" s="73"/>
      <c r="D2493" s="95"/>
      <c r="E2493" s="73"/>
      <c r="F2493" s="73"/>
      <c r="G2493" s="73"/>
      <c r="H2493" s="73"/>
      <c r="I2493" s="95"/>
      <c r="J2493" s="73"/>
      <c r="K2493" s="95"/>
      <c r="L2493" s="95"/>
      <c r="M2493" s="22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</row>
    <row r="2494">
      <c r="A2494" s="26"/>
      <c r="B2494" s="73"/>
      <c r="C2494" s="73"/>
      <c r="D2494" s="95"/>
      <c r="E2494" s="73"/>
      <c r="F2494" s="73"/>
      <c r="G2494" s="73"/>
      <c r="H2494" s="73"/>
      <c r="I2494" s="95"/>
      <c r="J2494" s="73"/>
      <c r="K2494" s="95"/>
      <c r="L2494" s="95"/>
      <c r="M2494" s="22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</row>
    <row r="2495">
      <c r="A2495" s="26"/>
      <c r="B2495" s="73"/>
      <c r="C2495" s="73"/>
      <c r="D2495" s="95"/>
      <c r="E2495" s="73"/>
      <c r="F2495" s="73"/>
      <c r="G2495" s="73"/>
      <c r="H2495" s="73"/>
      <c r="I2495" s="95"/>
      <c r="J2495" s="73"/>
      <c r="K2495" s="95"/>
      <c r="L2495" s="95"/>
      <c r="M2495" s="22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</row>
    <row r="2496">
      <c r="A2496" s="26"/>
      <c r="B2496" s="73"/>
      <c r="C2496" s="73"/>
      <c r="D2496" s="95"/>
      <c r="E2496" s="73"/>
      <c r="F2496" s="73"/>
      <c r="G2496" s="73"/>
      <c r="H2496" s="73"/>
      <c r="I2496" s="95"/>
      <c r="J2496" s="73"/>
      <c r="K2496" s="95"/>
      <c r="L2496" s="95"/>
      <c r="M2496" s="22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</row>
    <row r="2497">
      <c r="A2497" s="26"/>
      <c r="B2497" s="73"/>
      <c r="C2497" s="73"/>
      <c r="D2497" s="95"/>
      <c r="E2497" s="73"/>
      <c r="F2497" s="73"/>
      <c r="G2497" s="73"/>
      <c r="H2497" s="73"/>
      <c r="I2497" s="95"/>
      <c r="J2497" s="73"/>
      <c r="K2497" s="95"/>
      <c r="L2497" s="95"/>
      <c r="M2497" s="22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</row>
    <row r="2498">
      <c r="A2498" s="26"/>
      <c r="B2498" s="73"/>
      <c r="C2498" s="73"/>
      <c r="D2498" s="95"/>
      <c r="E2498" s="73"/>
      <c r="F2498" s="73"/>
      <c r="G2498" s="73"/>
      <c r="H2498" s="73"/>
      <c r="I2498" s="95"/>
      <c r="J2498" s="73"/>
      <c r="K2498" s="95"/>
      <c r="L2498" s="95"/>
      <c r="M2498" s="22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</row>
    <row r="2499">
      <c r="A2499" s="26"/>
      <c r="B2499" s="73"/>
      <c r="C2499" s="73"/>
      <c r="D2499" s="95"/>
      <c r="E2499" s="73"/>
      <c r="F2499" s="73"/>
      <c r="G2499" s="73"/>
      <c r="H2499" s="73"/>
      <c r="I2499" s="95"/>
      <c r="J2499" s="73"/>
      <c r="K2499" s="95"/>
      <c r="L2499" s="95"/>
      <c r="M2499" s="22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</row>
    <row r="2500">
      <c r="A2500" s="26"/>
      <c r="B2500" s="73"/>
      <c r="C2500" s="73"/>
      <c r="D2500" s="95"/>
      <c r="E2500" s="73"/>
      <c r="F2500" s="73"/>
      <c r="G2500" s="73"/>
      <c r="H2500" s="73"/>
      <c r="I2500" s="95"/>
      <c r="J2500" s="73"/>
      <c r="K2500" s="95"/>
      <c r="L2500" s="95"/>
      <c r="M2500" s="22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</row>
    <row r="2501">
      <c r="A2501" s="26"/>
      <c r="B2501" s="73"/>
      <c r="C2501" s="73"/>
      <c r="D2501" s="95"/>
      <c r="E2501" s="73"/>
      <c r="F2501" s="73"/>
      <c r="G2501" s="73"/>
      <c r="H2501" s="73"/>
      <c r="I2501" s="95"/>
      <c r="J2501" s="73"/>
      <c r="K2501" s="95"/>
      <c r="L2501" s="95"/>
      <c r="M2501" s="22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</row>
    <row r="2502">
      <c r="A2502" s="26"/>
      <c r="B2502" s="73"/>
      <c r="C2502" s="73"/>
      <c r="D2502" s="95"/>
      <c r="E2502" s="73"/>
      <c r="F2502" s="73"/>
      <c r="G2502" s="73"/>
      <c r="H2502" s="73"/>
      <c r="I2502" s="95"/>
      <c r="J2502" s="73"/>
      <c r="K2502" s="95"/>
      <c r="L2502" s="95"/>
      <c r="M2502" s="22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</row>
    <row r="2503">
      <c r="A2503" s="26"/>
      <c r="B2503" s="73"/>
      <c r="C2503" s="73"/>
      <c r="D2503" s="95"/>
      <c r="E2503" s="73"/>
      <c r="F2503" s="73"/>
      <c r="G2503" s="73"/>
      <c r="H2503" s="73"/>
      <c r="I2503" s="95"/>
      <c r="J2503" s="73"/>
      <c r="K2503" s="95"/>
      <c r="L2503" s="95"/>
      <c r="M2503" s="22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</row>
    <row r="2504">
      <c r="A2504" s="26"/>
      <c r="B2504" s="73"/>
      <c r="C2504" s="73"/>
      <c r="D2504" s="95"/>
      <c r="E2504" s="73"/>
      <c r="F2504" s="73"/>
      <c r="G2504" s="73"/>
      <c r="H2504" s="73"/>
      <c r="I2504" s="95"/>
      <c r="J2504" s="73"/>
      <c r="K2504" s="95"/>
      <c r="L2504" s="95"/>
      <c r="M2504" s="22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</row>
    <row r="2505">
      <c r="A2505" s="26"/>
      <c r="B2505" s="73"/>
      <c r="C2505" s="73"/>
      <c r="D2505" s="95"/>
      <c r="E2505" s="73"/>
      <c r="F2505" s="73"/>
      <c r="G2505" s="73"/>
      <c r="H2505" s="73"/>
      <c r="I2505" s="95"/>
      <c r="J2505" s="73"/>
      <c r="K2505" s="95"/>
      <c r="L2505" s="95"/>
      <c r="M2505" s="22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</row>
    <row r="2506">
      <c r="A2506" s="26"/>
      <c r="B2506" s="73"/>
      <c r="C2506" s="73"/>
      <c r="D2506" s="95"/>
      <c r="E2506" s="73"/>
      <c r="F2506" s="73"/>
      <c r="G2506" s="73"/>
      <c r="H2506" s="73"/>
      <c r="I2506" s="95"/>
      <c r="J2506" s="73"/>
      <c r="K2506" s="95"/>
      <c r="L2506" s="95"/>
      <c r="M2506" s="22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</row>
    <row r="2507">
      <c r="A2507" s="26"/>
      <c r="B2507" s="73"/>
      <c r="C2507" s="73"/>
      <c r="D2507" s="95"/>
      <c r="E2507" s="73"/>
      <c r="F2507" s="73"/>
      <c r="G2507" s="73"/>
      <c r="H2507" s="73"/>
      <c r="I2507" s="95"/>
      <c r="J2507" s="73"/>
      <c r="K2507" s="95"/>
      <c r="L2507" s="95"/>
      <c r="M2507" s="22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</row>
    <row r="2508">
      <c r="A2508" s="26"/>
      <c r="B2508" s="73"/>
      <c r="C2508" s="73"/>
      <c r="D2508" s="95"/>
      <c r="E2508" s="73"/>
      <c r="F2508" s="73"/>
      <c r="G2508" s="73"/>
      <c r="H2508" s="73"/>
      <c r="I2508" s="95"/>
      <c r="J2508" s="73"/>
      <c r="K2508" s="95"/>
      <c r="L2508" s="95"/>
      <c r="M2508" s="22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</row>
    <row r="2509">
      <c r="A2509" s="26"/>
      <c r="B2509" s="73"/>
      <c r="C2509" s="73"/>
      <c r="D2509" s="95"/>
      <c r="E2509" s="73"/>
      <c r="F2509" s="73"/>
      <c r="G2509" s="73"/>
      <c r="H2509" s="73"/>
      <c r="I2509" s="95"/>
      <c r="J2509" s="73"/>
      <c r="K2509" s="95"/>
      <c r="L2509" s="95"/>
      <c r="M2509" s="22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</row>
    <row r="2510">
      <c r="A2510" s="26"/>
      <c r="B2510" s="73"/>
      <c r="C2510" s="73"/>
      <c r="D2510" s="95"/>
      <c r="E2510" s="73"/>
      <c r="F2510" s="73"/>
      <c r="G2510" s="73"/>
      <c r="H2510" s="73"/>
      <c r="I2510" s="95"/>
      <c r="J2510" s="73"/>
      <c r="K2510" s="95"/>
      <c r="L2510" s="95"/>
      <c r="M2510" s="22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</row>
    <row r="2511">
      <c r="A2511" s="26"/>
      <c r="B2511" s="73"/>
      <c r="C2511" s="73"/>
      <c r="D2511" s="95"/>
      <c r="E2511" s="73"/>
      <c r="F2511" s="73"/>
      <c r="G2511" s="73"/>
      <c r="H2511" s="73"/>
      <c r="I2511" s="95"/>
      <c r="J2511" s="73"/>
      <c r="K2511" s="95"/>
      <c r="L2511" s="95"/>
      <c r="M2511" s="22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</row>
    <row r="2512">
      <c r="A2512" s="26"/>
      <c r="B2512" s="73"/>
      <c r="C2512" s="73"/>
      <c r="D2512" s="95"/>
      <c r="E2512" s="73"/>
      <c r="F2512" s="73"/>
      <c r="G2512" s="73"/>
      <c r="H2512" s="73"/>
      <c r="I2512" s="95"/>
      <c r="J2512" s="73"/>
      <c r="K2512" s="95"/>
      <c r="L2512" s="95"/>
      <c r="M2512" s="22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</row>
    <row r="2513">
      <c r="A2513" s="26"/>
      <c r="B2513" s="73"/>
      <c r="C2513" s="73"/>
      <c r="D2513" s="95"/>
      <c r="E2513" s="73"/>
      <c r="F2513" s="73"/>
      <c r="G2513" s="73"/>
      <c r="H2513" s="73"/>
      <c r="I2513" s="95"/>
      <c r="J2513" s="73"/>
      <c r="K2513" s="95"/>
      <c r="L2513" s="95"/>
      <c r="M2513" s="22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</row>
    <row r="2514">
      <c r="A2514" s="26"/>
      <c r="B2514" s="73"/>
      <c r="C2514" s="73"/>
      <c r="D2514" s="95"/>
      <c r="E2514" s="73"/>
      <c r="F2514" s="73"/>
      <c r="G2514" s="73"/>
      <c r="H2514" s="73"/>
      <c r="I2514" s="95"/>
      <c r="J2514" s="73"/>
      <c r="K2514" s="95"/>
      <c r="L2514" s="95"/>
      <c r="M2514" s="22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</row>
    <row r="2515">
      <c r="A2515" s="26"/>
      <c r="B2515" s="73"/>
      <c r="C2515" s="73"/>
      <c r="D2515" s="95"/>
      <c r="E2515" s="73"/>
      <c r="F2515" s="73"/>
      <c r="G2515" s="73"/>
      <c r="H2515" s="73"/>
      <c r="I2515" s="95"/>
      <c r="J2515" s="73"/>
      <c r="K2515" s="95"/>
      <c r="L2515" s="95"/>
      <c r="M2515" s="22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</row>
    <row r="2516">
      <c r="A2516" s="26"/>
      <c r="B2516" s="73"/>
      <c r="C2516" s="73"/>
      <c r="D2516" s="95"/>
      <c r="E2516" s="73"/>
      <c r="F2516" s="73"/>
      <c r="G2516" s="73"/>
      <c r="H2516" s="73"/>
      <c r="I2516" s="95"/>
      <c r="J2516" s="73"/>
      <c r="K2516" s="95"/>
      <c r="L2516" s="95"/>
      <c r="M2516" s="22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</row>
    <row r="2517">
      <c r="A2517" s="26"/>
      <c r="B2517" s="73"/>
      <c r="C2517" s="73"/>
      <c r="D2517" s="95"/>
      <c r="E2517" s="73"/>
      <c r="F2517" s="73"/>
      <c r="G2517" s="73"/>
      <c r="H2517" s="73"/>
      <c r="I2517" s="95"/>
      <c r="J2517" s="73"/>
      <c r="K2517" s="95"/>
      <c r="L2517" s="95"/>
      <c r="M2517" s="22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</row>
    <row r="2518">
      <c r="A2518" s="26"/>
      <c r="B2518" s="73"/>
      <c r="C2518" s="73"/>
      <c r="D2518" s="95"/>
      <c r="E2518" s="73"/>
      <c r="F2518" s="73"/>
      <c r="G2518" s="73"/>
      <c r="H2518" s="73"/>
      <c r="I2518" s="95"/>
      <c r="J2518" s="73"/>
      <c r="K2518" s="95"/>
      <c r="L2518" s="95"/>
      <c r="M2518" s="22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</row>
    <row r="2519">
      <c r="A2519" s="26"/>
      <c r="B2519" s="73"/>
      <c r="C2519" s="73"/>
      <c r="D2519" s="95"/>
      <c r="E2519" s="73"/>
      <c r="F2519" s="73"/>
      <c r="G2519" s="73"/>
      <c r="H2519" s="73"/>
      <c r="I2519" s="95"/>
      <c r="J2519" s="73"/>
      <c r="K2519" s="95"/>
      <c r="L2519" s="95"/>
      <c r="M2519" s="22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</row>
    <row r="2520">
      <c r="A2520" s="26"/>
      <c r="B2520" s="73"/>
      <c r="C2520" s="73"/>
      <c r="D2520" s="95"/>
      <c r="E2520" s="73"/>
      <c r="F2520" s="73"/>
      <c r="G2520" s="73"/>
      <c r="H2520" s="73"/>
      <c r="I2520" s="95"/>
      <c r="J2520" s="73"/>
      <c r="K2520" s="95"/>
      <c r="L2520" s="95"/>
      <c r="M2520" s="22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</row>
    <row r="2521">
      <c r="A2521" s="26"/>
      <c r="B2521" s="73"/>
      <c r="C2521" s="73"/>
      <c r="D2521" s="95"/>
      <c r="E2521" s="73"/>
      <c r="F2521" s="73"/>
      <c r="G2521" s="73"/>
      <c r="H2521" s="73"/>
      <c r="I2521" s="95"/>
      <c r="J2521" s="73"/>
      <c r="K2521" s="95"/>
      <c r="L2521" s="95"/>
      <c r="M2521" s="22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</row>
    <row r="2522">
      <c r="A2522" s="26"/>
      <c r="B2522" s="73"/>
      <c r="C2522" s="73"/>
      <c r="D2522" s="95"/>
      <c r="E2522" s="73"/>
      <c r="F2522" s="73"/>
      <c r="G2522" s="73"/>
      <c r="H2522" s="73"/>
      <c r="I2522" s="95"/>
      <c r="J2522" s="73"/>
      <c r="K2522" s="95"/>
      <c r="L2522" s="95"/>
      <c r="M2522" s="22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</row>
    <row r="2523">
      <c r="A2523" s="26"/>
      <c r="B2523" s="73"/>
      <c r="C2523" s="73"/>
      <c r="D2523" s="95"/>
      <c r="E2523" s="73"/>
      <c r="F2523" s="73"/>
      <c r="G2523" s="73"/>
      <c r="H2523" s="73"/>
      <c r="I2523" s="95"/>
      <c r="J2523" s="73"/>
      <c r="K2523" s="95"/>
      <c r="L2523" s="95"/>
      <c r="M2523" s="22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</row>
    <row r="2524">
      <c r="A2524" s="26"/>
      <c r="B2524" s="73"/>
      <c r="C2524" s="73"/>
      <c r="D2524" s="95"/>
      <c r="E2524" s="73"/>
      <c r="F2524" s="73"/>
      <c r="G2524" s="73"/>
      <c r="H2524" s="73"/>
      <c r="I2524" s="95"/>
      <c r="J2524" s="73"/>
      <c r="K2524" s="95"/>
      <c r="L2524" s="95"/>
      <c r="M2524" s="22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</row>
    <row r="2525">
      <c r="A2525" s="26"/>
      <c r="B2525" s="73"/>
      <c r="C2525" s="73"/>
      <c r="D2525" s="95"/>
      <c r="E2525" s="73"/>
      <c r="F2525" s="73"/>
      <c r="G2525" s="73"/>
      <c r="H2525" s="73"/>
      <c r="I2525" s="95"/>
      <c r="J2525" s="73"/>
      <c r="K2525" s="95"/>
      <c r="L2525" s="95"/>
      <c r="M2525" s="22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</row>
    <row r="2526">
      <c r="A2526" s="26"/>
      <c r="B2526" s="73"/>
      <c r="C2526" s="73"/>
      <c r="D2526" s="95"/>
      <c r="E2526" s="73"/>
      <c r="F2526" s="73"/>
      <c r="G2526" s="73"/>
      <c r="H2526" s="73"/>
      <c r="I2526" s="95"/>
      <c r="J2526" s="73"/>
      <c r="K2526" s="95"/>
      <c r="L2526" s="95"/>
      <c r="M2526" s="22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</row>
    <row r="2527">
      <c r="A2527" s="26"/>
      <c r="B2527" s="73"/>
      <c r="C2527" s="73"/>
      <c r="D2527" s="95"/>
      <c r="E2527" s="73"/>
      <c r="F2527" s="73"/>
      <c r="G2527" s="73"/>
      <c r="H2527" s="73"/>
      <c r="I2527" s="95"/>
      <c r="J2527" s="73"/>
      <c r="K2527" s="95"/>
      <c r="L2527" s="95"/>
      <c r="M2527" s="22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</row>
    <row r="2528">
      <c r="A2528" s="26"/>
      <c r="B2528" s="73"/>
      <c r="C2528" s="73"/>
      <c r="D2528" s="95"/>
      <c r="E2528" s="73"/>
      <c r="F2528" s="73"/>
      <c r="G2528" s="73"/>
      <c r="H2528" s="73"/>
      <c r="I2528" s="95"/>
      <c r="J2528" s="73"/>
      <c r="K2528" s="95"/>
      <c r="L2528" s="95"/>
      <c r="M2528" s="22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</row>
    <row r="2529">
      <c r="A2529" s="26"/>
      <c r="B2529" s="73"/>
      <c r="C2529" s="73"/>
      <c r="D2529" s="95"/>
      <c r="E2529" s="73"/>
      <c r="F2529" s="73"/>
      <c r="G2529" s="73"/>
      <c r="H2529" s="73"/>
      <c r="I2529" s="95"/>
      <c r="J2529" s="73"/>
      <c r="K2529" s="95"/>
      <c r="L2529" s="95"/>
      <c r="M2529" s="22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</row>
    <row r="2530">
      <c r="A2530" s="26"/>
      <c r="B2530" s="73"/>
      <c r="C2530" s="73"/>
      <c r="D2530" s="95"/>
      <c r="E2530" s="73"/>
      <c r="F2530" s="73"/>
      <c r="G2530" s="73"/>
      <c r="H2530" s="73"/>
      <c r="I2530" s="95"/>
      <c r="J2530" s="73"/>
      <c r="K2530" s="95"/>
      <c r="L2530" s="95"/>
      <c r="M2530" s="22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</row>
    <row r="2531">
      <c r="A2531" s="26"/>
      <c r="B2531" s="73"/>
      <c r="C2531" s="73"/>
      <c r="D2531" s="95"/>
      <c r="E2531" s="73"/>
      <c r="F2531" s="73"/>
      <c r="G2531" s="73"/>
      <c r="H2531" s="73"/>
      <c r="I2531" s="95"/>
      <c r="J2531" s="73"/>
      <c r="K2531" s="95"/>
      <c r="L2531" s="95"/>
      <c r="M2531" s="22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</row>
    <row r="2532">
      <c r="A2532" s="26"/>
      <c r="B2532" s="73"/>
      <c r="C2532" s="73"/>
      <c r="D2532" s="95"/>
      <c r="E2532" s="73"/>
      <c r="F2532" s="73"/>
      <c r="G2532" s="73"/>
      <c r="H2532" s="73"/>
      <c r="I2532" s="95"/>
      <c r="J2532" s="73"/>
      <c r="K2532" s="95"/>
      <c r="L2532" s="95"/>
      <c r="M2532" s="22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</row>
    <row r="2533">
      <c r="A2533" s="26"/>
      <c r="B2533" s="73"/>
      <c r="C2533" s="73"/>
      <c r="D2533" s="95"/>
      <c r="E2533" s="73"/>
      <c r="F2533" s="73"/>
      <c r="G2533" s="73"/>
      <c r="H2533" s="73"/>
      <c r="I2533" s="95"/>
      <c r="J2533" s="73"/>
      <c r="K2533" s="95"/>
      <c r="L2533" s="95"/>
      <c r="M2533" s="22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</row>
    <row r="2534">
      <c r="A2534" s="26"/>
      <c r="B2534" s="73"/>
      <c r="C2534" s="73"/>
      <c r="D2534" s="95"/>
      <c r="E2534" s="73"/>
      <c r="F2534" s="73"/>
      <c r="G2534" s="73"/>
      <c r="H2534" s="73"/>
      <c r="I2534" s="95"/>
      <c r="J2534" s="73"/>
      <c r="K2534" s="95"/>
      <c r="L2534" s="95"/>
      <c r="M2534" s="22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</row>
    <row r="2535">
      <c r="A2535" s="26"/>
      <c r="B2535" s="73"/>
      <c r="C2535" s="73"/>
      <c r="D2535" s="95"/>
      <c r="E2535" s="73"/>
      <c r="F2535" s="73"/>
      <c r="G2535" s="73"/>
      <c r="H2535" s="73"/>
      <c r="I2535" s="95"/>
      <c r="J2535" s="73"/>
      <c r="K2535" s="95"/>
      <c r="L2535" s="95"/>
      <c r="M2535" s="22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</row>
    <row r="2536">
      <c r="A2536" s="26"/>
      <c r="B2536" s="73"/>
      <c r="C2536" s="73"/>
      <c r="D2536" s="95"/>
      <c r="E2536" s="73"/>
      <c r="F2536" s="73"/>
      <c r="G2536" s="73"/>
      <c r="H2536" s="73"/>
      <c r="I2536" s="95"/>
      <c r="J2536" s="73"/>
      <c r="K2536" s="95"/>
      <c r="L2536" s="95"/>
      <c r="M2536" s="22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</row>
    <row r="2537">
      <c r="A2537" s="26"/>
      <c r="B2537" s="73"/>
      <c r="C2537" s="73"/>
      <c r="D2537" s="95"/>
      <c r="E2537" s="73"/>
      <c r="F2537" s="73"/>
      <c r="G2537" s="73"/>
      <c r="H2537" s="73"/>
      <c r="I2537" s="95"/>
      <c r="J2537" s="73"/>
      <c r="K2537" s="95"/>
      <c r="L2537" s="95"/>
      <c r="M2537" s="22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</row>
    <row r="2538">
      <c r="A2538" s="26"/>
      <c r="B2538" s="73"/>
      <c r="C2538" s="73"/>
      <c r="D2538" s="95"/>
      <c r="E2538" s="73"/>
      <c r="F2538" s="73"/>
      <c r="G2538" s="73"/>
      <c r="H2538" s="73"/>
      <c r="I2538" s="95"/>
      <c r="J2538" s="73"/>
      <c r="K2538" s="95"/>
      <c r="L2538" s="95"/>
      <c r="M2538" s="22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</row>
    <row r="2539">
      <c r="A2539" s="26"/>
      <c r="B2539" s="73"/>
      <c r="C2539" s="73"/>
      <c r="D2539" s="95"/>
      <c r="E2539" s="73"/>
      <c r="F2539" s="73"/>
      <c r="G2539" s="73"/>
      <c r="H2539" s="73"/>
      <c r="I2539" s="95"/>
      <c r="J2539" s="73"/>
      <c r="K2539" s="95"/>
      <c r="L2539" s="95"/>
      <c r="M2539" s="22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</row>
    <row r="2540">
      <c r="A2540" s="26"/>
      <c r="B2540" s="73"/>
      <c r="C2540" s="73"/>
      <c r="D2540" s="95"/>
      <c r="E2540" s="73"/>
      <c r="F2540" s="73"/>
      <c r="G2540" s="73"/>
      <c r="H2540" s="73"/>
      <c r="I2540" s="95"/>
      <c r="J2540" s="73"/>
      <c r="K2540" s="95"/>
      <c r="L2540" s="95"/>
      <c r="M2540" s="22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</row>
    <row r="2541">
      <c r="A2541" s="26"/>
      <c r="B2541" s="73"/>
      <c r="C2541" s="73"/>
      <c r="D2541" s="95"/>
      <c r="E2541" s="73"/>
      <c r="F2541" s="73"/>
      <c r="G2541" s="73"/>
      <c r="H2541" s="73"/>
      <c r="I2541" s="95"/>
      <c r="J2541" s="73"/>
      <c r="K2541" s="95"/>
      <c r="L2541" s="95"/>
      <c r="M2541" s="22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</row>
    <row r="2542">
      <c r="A2542" s="26"/>
      <c r="B2542" s="73"/>
      <c r="C2542" s="73"/>
      <c r="D2542" s="95"/>
      <c r="E2542" s="73"/>
      <c r="F2542" s="73"/>
      <c r="G2542" s="73"/>
      <c r="H2542" s="73"/>
      <c r="I2542" s="95"/>
      <c r="J2542" s="73"/>
      <c r="K2542" s="95"/>
      <c r="L2542" s="95"/>
      <c r="M2542" s="22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</row>
    <row r="2543">
      <c r="A2543" s="26"/>
      <c r="B2543" s="73"/>
      <c r="C2543" s="73"/>
      <c r="D2543" s="95"/>
      <c r="E2543" s="73"/>
      <c r="F2543" s="73"/>
      <c r="G2543" s="73"/>
      <c r="H2543" s="73"/>
      <c r="I2543" s="95"/>
      <c r="J2543" s="73"/>
      <c r="K2543" s="95"/>
      <c r="L2543" s="95"/>
      <c r="M2543" s="22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</row>
    <row r="2544">
      <c r="A2544" s="26"/>
      <c r="B2544" s="73"/>
      <c r="C2544" s="73"/>
      <c r="D2544" s="95"/>
      <c r="E2544" s="73"/>
      <c r="F2544" s="73"/>
      <c r="G2544" s="73"/>
      <c r="H2544" s="73"/>
      <c r="I2544" s="95"/>
      <c r="J2544" s="73"/>
      <c r="K2544" s="95"/>
      <c r="L2544" s="95"/>
      <c r="M2544" s="22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</row>
    <row r="2545">
      <c r="A2545" s="26"/>
      <c r="B2545" s="73"/>
      <c r="C2545" s="73"/>
      <c r="D2545" s="95"/>
      <c r="E2545" s="73"/>
      <c r="F2545" s="73"/>
      <c r="G2545" s="73"/>
      <c r="H2545" s="73"/>
      <c r="I2545" s="95"/>
      <c r="J2545" s="73"/>
      <c r="K2545" s="95"/>
      <c r="L2545" s="95"/>
      <c r="M2545" s="22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</row>
    <row r="2546">
      <c r="A2546" s="26"/>
      <c r="B2546" s="73"/>
      <c r="C2546" s="73"/>
      <c r="D2546" s="95"/>
      <c r="E2546" s="73"/>
      <c r="F2546" s="73"/>
      <c r="G2546" s="73"/>
      <c r="H2546" s="73"/>
      <c r="I2546" s="95"/>
      <c r="J2546" s="73"/>
      <c r="K2546" s="95"/>
      <c r="L2546" s="95"/>
      <c r="M2546" s="22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</row>
    <row r="2547">
      <c r="A2547" s="26"/>
      <c r="B2547" s="73"/>
      <c r="C2547" s="73"/>
      <c r="D2547" s="95"/>
      <c r="E2547" s="73"/>
      <c r="F2547" s="73"/>
      <c r="G2547" s="73"/>
      <c r="H2547" s="73"/>
      <c r="I2547" s="95"/>
      <c r="J2547" s="73"/>
      <c r="K2547" s="95"/>
      <c r="L2547" s="95"/>
      <c r="M2547" s="22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</row>
    <row r="2548">
      <c r="A2548" s="26"/>
      <c r="B2548" s="73"/>
      <c r="C2548" s="73"/>
      <c r="D2548" s="95"/>
      <c r="E2548" s="73"/>
      <c r="F2548" s="73"/>
      <c r="G2548" s="73"/>
      <c r="H2548" s="73"/>
      <c r="I2548" s="95"/>
      <c r="J2548" s="73"/>
      <c r="K2548" s="95"/>
      <c r="L2548" s="95"/>
      <c r="M2548" s="22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</row>
    <row r="2549">
      <c r="A2549" s="26"/>
      <c r="B2549" s="73"/>
      <c r="C2549" s="73"/>
      <c r="D2549" s="95"/>
      <c r="E2549" s="73"/>
      <c r="F2549" s="73"/>
      <c r="G2549" s="73"/>
      <c r="H2549" s="73"/>
      <c r="I2549" s="95"/>
      <c r="J2549" s="73"/>
      <c r="K2549" s="95"/>
      <c r="L2549" s="95"/>
      <c r="M2549" s="22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</row>
    <row r="2550">
      <c r="A2550" s="26"/>
      <c r="B2550" s="73"/>
      <c r="C2550" s="73"/>
      <c r="D2550" s="95"/>
      <c r="E2550" s="73"/>
      <c r="F2550" s="73"/>
      <c r="G2550" s="73"/>
      <c r="H2550" s="73"/>
      <c r="I2550" s="95"/>
      <c r="J2550" s="73"/>
      <c r="K2550" s="95"/>
      <c r="L2550" s="95"/>
      <c r="M2550" s="22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</row>
    <row r="2551">
      <c r="A2551" s="26"/>
      <c r="B2551" s="73"/>
      <c r="C2551" s="73"/>
      <c r="D2551" s="95"/>
      <c r="E2551" s="73"/>
      <c r="F2551" s="73"/>
      <c r="G2551" s="73"/>
      <c r="H2551" s="73"/>
      <c r="I2551" s="95"/>
      <c r="J2551" s="73"/>
      <c r="K2551" s="95"/>
      <c r="L2551" s="95"/>
      <c r="M2551" s="22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</row>
    <row r="2552">
      <c r="A2552" s="26"/>
      <c r="B2552" s="73"/>
      <c r="C2552" s="73"/>
      <c r="D2552" s="95"/>
      <c r="E2552" s="73"/>
      <c r="F2552" s="73"/>
      <c r="G2552" s="73"/>
      <c r="H2552" s="73"/>
      <c r="I2552" s="95"/>
      <c r="J2552" s="73"/>
      <c r="K2552" s="95"/>
      <c r="L2552" s="95"/>
      <c r="M2552" s="22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</row>
    <row r="2553">
      <c r="A2553" s="26"/>
      <c r="B2553" s="73"/>
      <c r="C2553" s="73"/>
      <c r="D2553" s="95"/>
      <c r="E2553" s="73"/>
      <c r="F2553" s="73"/>
      <c r="G2553" s="73"/>
      <c r="H2553" s="73"/>
      <c r="I2553" s="95"/>
      <c r="J2553" s="73"/>
      <c r="K2553" s="95"/>
      <c r="L2553" s="95"/>
      <c r="M2553" s="22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</row>
    <row r="2554">
      <c r="A2554" s="26"/>
      <c r="B2554" s="73"/>
      <c r="C2554" s="73"/>
      <c r="D2554" s="95"/>
      <c r="E2554" s="73"/>
      <c r="F2554" s="73"/>
      <c r="G2554" s="73"/>
      <c r="H2554" s="73"/>
      <c r="I2554" s="95"/>
      <c r="J2554" s="73"/>
      <c r="K2554" s="95"/>
      <c r="L2554" s="95"/>
      <c r="M2554" s="22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</row>
    <row r="2555">
      <c r="A2555" s="26"/>
      <c r="B2555" s="73"/>
      <c r="C2555" s="73"/>
      <c r="D2555" s="95"/>
      <c r="E2555" s="73"/>
      <c r="F2555" s="73"/>
      <c r="G2555" s="73"/>
      <c r="H2555" s="73"/>
      <c r="I2555" s="95"/>
      <c r="J2555" s="73"/>
      <c r="K2555" s="95"/>
      <c r="L2555" s="95"/>
      <c r="M2555" s="22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</row>
    <row r="2556">
      <c r="A2556" s="26"/>
      <c r="B2556" s="73"/>
      <c r="C2556" s="73"/>
      <c r="D2556" s="95"/>
      <c r="E2556" s="73"/>
      <c r="F2556" s="73"/>
      <c r="G2556" s="73"/>
      <c r="H2556" s="73"/>
      <c r="I2556" s="95"/>
      <c r="J2556" s="73"/>
      <c r="K2556" s="95"/>
      <c r="L2556" s="95"/>
      <c r="M2556" s="22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</row>
    <row r="2557">
      <c r="A2557" s="26"/>
      <c r="B2557" s="73"/>
      <c r="C2557" s="73"/>
      <c r="D2557" s="95"/>
      <c r="E2557" s="73"/>
      <c r="F2557" s="73"/>
      <c r="G2557" s="73"/>
      <c r="H2557" s="73"/>
      <c r="I2557" s="95"/>
      <c r="J2557" s="73"/>
      <c r="K2557" s="95"/>
      <c r="L2557" s="95"/>
      <c r="M2557" s="22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</row>
    <row r="2558">
      <c r="A2558" s="26"/>
      <c r="B2558" s="73"/>
      <c r="C2558" s="73"/>
      <c r="D2558" s="95"/>
      <c r="E2558" s="73"/>
      <c r="F2558" s="73"/>
      <c r="G2558" s="73"/>
      <c r="H2558" s="73"/>
      <c r="I2558" s="95"/>
      <c r="J2558" s="73"/>
      <c r="K2558" s="95"/>
      <c r="L2558" s="95"/>
      <c r="M2558" s="22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</row>
    <row r="2559">
      <c r="A2559" s="26"/>
      <c r="B2559" s="73"/>
      <c r="C2559" s="73"/>
      <c r="D2559" s="95"/>
      <c r="E2559" s="73"/>
      <c r="F2559" s="73"/>
      <c r="G2559" s="73"/>
      <c r="H2559" s="73"/>
      <c r="I2559" s="95"/>
      <c r="J2559" s="73"/>
      <c r="K2559" s="95"/>
      <c r="L2559" s="95"/>
      <c r="M2559" s="22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</row>
    <row r="2560">
      <c r="A2560" s="26"/>
      <c r="B2560" s="73"/>
      <c r="C2560" s="73"/>
      <c r="D2560" s="95"/>
      <c r="E2560" s="73"/>
      <c r="F2560" s="73"/>
      <c r="G2560" s="73"/>
      <c r="H2560" s="73"/>
      <c r="I2560" s="95"/>
      <c r="J2560" s="73"/>
      <c r="K2560" s="95"/>
      <c r="L2560" s="95"/>
      <c r="M2560" s="22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</row>
    <row r="2561">
      <c r="A2561" s="26"/>
      <c r="B2561" s="73"/>
      <c r="C2561" s="73"/>
      <c r="D2561" s="95"/>
      <c r="E2561" s="73"/>
      <c r="F2561" s="73"/>
      <c r="G2561" s="73"/>
      <c r="H2561" s="73"/>
      <c r="I2561" s="95"/>
      <c r="J2561" s="73"/>
      <c r="K2561" s="95"/>
      <c r="L2561" s="95"/>
      <c r="M2561" s="22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</row>
    <row r="2562">
      <c r="A2562" s="26"/>
      <c r="B2562" s="73"/>
      <c r="C2562" s="73"/>
      <c r="D2562" s="95"/>
      <c r="E2562" s="73"/>
      <c r="F2562" s="73"/>
      <c r="G2562" s="73"/>
      <c r="H2562" s="73"/>
      <c r="I2562" s="95"/>
      <c r="J2562" s="73"/>
      <c r="K2562" s="95"/>
      <c r="L2562" s="95"/>
      <c r="M2562" s="22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</row>
    <row r="2563">
      <c r="A2563" s="26"/>
      <c r="B2563" s="73"/>
      <c r="C2563" s="73"/>
      <c r="D2563" s="95"/>
      <c r="E2563" s="73"/>
      <c r="F2563" s="73"/>
      <c r="G2563" s="73"/>
      <c r="H2563" s="73"/>
      <c r="I2563" s="95"/>
      <c r="J2563" s="73"/>
      <c r="K2563" s="95"/>
      <c r="L2563" s="95"/>
      <c r="M2563" s="22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</row>
    <row r="2564">
      <c r="A2564" s="26"/>
      <c r="B2564" s="73"/>
      <c r="C2564" s="73"/>
      <c r="D2564" s="95"/>
      <c r="E2564" s="73"/>
      <c r="F2564" s="73"/>
      <c r="G2564" s="73"/>
      <c r="H2564" s="73"/>
      <c r="I2564" s="95"/>
      <c r="J2564" s="73"/>
      <c r="K2564" s="95"/>
      <c r="L2564" s="95"/>
      <c r="M2564" s="22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</row>
    <row r="2565">
      <c r="A2565" s="26"/>
      <c r="B2565" s="73"/>
      <c r="C2565" s="73"/>
      <c r="D2565" s="95"/>
      <c r="E2565" s="73"/>
      <c r="F2565" s="73"/>
      <c r="G2565" s="73"/>
      <c r="H2565" s="73"/>
      <c r="I2565" s="95"/>
      <c r="J2565" s="73"/>
      <c r="K2565" s="95"/>
      <c r="L2565" s="95"/>
      <c r="M2565" s="22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</row>
    <row r="2566">
      <c r="A2566" s="26"/>
      <c r="B2566" s="73"/>
      <c r="C2566" s="73"/>
      <c r="D2566" s="95"/>
      <c r="E2566" s="73"/>
      <c r="F2566" s="73"/>
      <c r="G2566" s="73"/>
      <c r="H2566" s="73"/>
      <c r="I2566" s="95"/>
      <c r="J2566" s="73"/>
      <c r="K2566" s="95"/>
      <c r="L2566" s="95"/>
      <c r="M2566" s="22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</row>
    <row r="2567">
      <c r="A2567" s="26"/>
      <c r="B2567" s="73"/>
      <c r="C2567" s="73"/>
      <c r="D2567" s="95"/>
      <c r="E2567" s="73"/>
      <c r="F2567" s="73"/>
      <c r="G2567" s="73"/>
      <c r="H2567" s="73"/>
      <c r="I2567" s="95"/>
      <c r="J2567" s="73"/>
      <c r="K2567" s="95"/>
      <c r="L2567" s="95"/>
      <c r="M2567" s="22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</row>
    <row r="2568">
      <c r="A2568" s="26"/>
      <c r="B2568" s="73"/>
      <c r="C2568" s="73"/>
      <c r="D2568" s="95"/>
      <c r="E2568" s="73"/>
      <c r="F2568" s="73"/>
      <c r="G2568" s="73"/>
      <c r="H2568" s="73"/>
      <c r="I2568" s="95"/>
      <c r="J2568" s="73"/>
      <c r="K2568" s="95"/>
      <c r="L2568" s="95"/>
      <c r="M2568" s="22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</row>
    <row r="2569">
      <c r="A2569" s="26"/>
      <c r="B2569" s="73"/>
      <c r="C2569" s="73"/>
      <c r="D2569" s="95"/>
      <c r="E2569" s="73"/>
      <c r="F2569" s="73"/>
      <c r="G2569" s="73"/>
      <c r="H2569" s="73"/>
      <c r="I2569" s="95"/>
      <c r="J2569" s="73"/>
      <c r="K2569" s="95"/>
      <c r="L2569" s="95"/>
      <c r="M2569" s="22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</row>
    <row r="2570">
      <c r="A2570" s="26"/>
      <c r="B2570" s="73"/>
      <c r="C2570" s="73"/>
      <c r="D2570" s="95"/>
      <c r="E2570" s="73"/>
      <c r="F2570" s="73"/>
      <c r="G2570" s="73"/>
      <c r="H2570" s="73"/>
      <c r="I2570" s="95"/>
      <c r="J2570" s="73"/>
      <c r="K2570" s="95"/>
      <c r="L2570" s="95"/>
      <c r="M2570" s="22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</row>
    <row r="2571">
      <c r="A2571" s="26"/>
      <c r="B2571" s="73"/>
      <c r="C2571" s="73"/>
      <c r="D2571" s="95"/>
      <c r="E2571" s="73"/>
      <c r="F2571" s="73"/>
      <c r="G2571" s="73"/>
      <c r="H2571" s="73"/>
      <c r="I2571" s="95"/>
      <c r="J2571" s="73"/>
      <c r="K2571" s="95"/>
      <c r="L2571" s="95"/>
      <c r="M2571" s="22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</row>
    <row r="2572">
      <c r="A2572" s="26"/>
      <c r="B2572" s="73"/>
      <c r="C2572" s="73"/>
      <c r="D2572" s="95"/>
      <c r="E2572" s="73"/>
      <c r="F2572" s="73"/>
      <c r="G2572" s="73"/>
      <c r="H2572" s="73"/>
      <c r="I2572" s="95"/>
      <c r="J2572" s="73"/>
      <c r="K2572" s="95"/>
      <c r="L2572" s="95"/>
      <c r="M2572" s="22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</row>
    <row r="2573">
      <c r="A2573" s="26"/>
      <c r="B2573" s="73"/>
      <c r="C2573" s="73"/>
      <c r="D2573" s="95"/>
      <c r="E2573" s="73"/>
      <c r="F2573" s="73"/>
      <c r="G2573" s="73"/>
      <c r="H2573" s="73"/>
      <c r="I2573" s="95"/>
      <c r="J2573" s="73"/>
      <c r="K2573" s="95"/>
      <c r="L2573" s="95"/>
      <c r="M2573" s="22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</row>
    <row r="2574">
      <c r="A2574" s="26"/>
      <c r="B2574" s="73"/>
      <c r="C2574" s="73"/>
      <c r="D2574" s="95"/>
      <c r="E2574" s="73"/>
      <c r="F2574" s="73"/>
      <c r="G2574" s="73"/>
      <c r="H2574" s="73"/>
      <c r="I2574" s="95"/>
      <c r="J2574" s="73"/>
      <c r="K2574" s="95"/>
      <c r="L2574" s="95"/>
      <c r="M2574" s="22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</row>
    <row r="2575">
      <c r="A2575" s="26"/>
      <c r="B2575" s="73"/>
      <c r="C2575" s="73"/>
      <c r="D2575" s="95"/>
      <c r="E2575" s="73"/>
      <c r="F2575" s="73"/>
      <c r="G2575" s="73"/>
      <c r="H2575" s="73"/>
      <c r="I2575" s="95"/>
      <c r="J2575" s="73"/>
      <c r="K2575" s="95"/>
      <c r="L2575" s="95"/>
      <c r="M2575" s="22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</row>
    <row r="2576">
      <c r="A2576" s="26"/>
      <c r="B2576" s="73"/>
      <c r="C2576" s="73"/>
      <c r="D2576" s="95"/>
      <c r="E2576" s="73"/>
      <c r="F2576" s="73"/>
      <c r="G2576" s="73"/>
      <c r="H2576" s="73"/>
      <c r="I2576" s="95"/>
      <c r="J2576" s="73"/>
      <c r="K2576" s="95"/>
      <c r="L2576" s="95"/>
      <c r="M2576" s="22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</row>
    <row r="2577">
      <c r="A2577" s="26"/>
      <c r="B2577" s="73"/>
      <c r="C2577" s="73"/>
      <c r="D2577" s="95"/>
      <c r="E2577" s="73"/>
      <c r="F2577" s="73"/>
      <c r="G2577" s="73"/>
      <c r="H2577" s="73"/>
      <c r="I2577" s="95"/>
      <c r="J2577" s="73"/>
      <c r="K2577" s="95"/>
      <c r="L2577" s="95"/>
      <c r="M2577" s="22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</row>
    <row r="2578">
      <c r="A2578" s="26"/>
      <c r="B2578" s="73"/>
      <c r="C2578" s="73"/>
      <c r="D2578" s="95"/>
      <c r="E2578" s="73"/>
      <c r="F2578" s="73"/>
      <c r="G2578" s="73"/>
      <c r="H2578" s="73"/>
      <c r="I2578" s="95"/>
      <c r="J2578" s="73"/>
      <c r="K2578" s="95"/>
      <c r="L2578" s="95"/>
      <c r="M2578" s="22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</row>
    <row r="2579">
      <c r="A2579" s="26"/>
      <c r="B2579" s="73"/>
      <c r="C2579" s="73"/>
      <c r="D2579" s="95"/>
      <c r="E2579" s="73"/>
      <c r="F2579" s="73"/>
      <c r="G2579" s="73"/>
      <c r="H2579" s="73"/>
      <c r="I2579" s="95"/>
      <c r="J2579" s="73"/>
      <c r="K2579" s="95"/>
      <c r="L2579" s="95"/>
      <c r="M2579" s="22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</row>
    <row r="2580">
      <c r="A2580" s="26"/>
      <c r="B2580" s="73"/>
      <c r="C2580" s="73"/>
      <c r="D2580" s="95"/>
      <c r="E2580" s="73"/>
      <c r="F2580" s="73"/>
      <c r="G2580" s="73"/>
      <c r="H2580" s="73"/>
      <c r="I2580" s="95"/>
      <c r="J2580" s="73"/>
      <c r="K2580" s="95"/>
      <c r="L2580" s="95"/>
      <c r="M2580" s="22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</row>
    <row r="2581">
      <c r="A2581" s="26"/>
      <c r="B2581" s="73"/>
      <c r="C2581" s="73"/>
      <c r="D2581" s="95"/>
      <c r="E2581" s="73"/>
      <c r="F2581" s="73"/>
      <c r="G2581" s="73"/>
      <c r="H2581" s="73"/>
      <c r="I2581" s="95"/>
      <c r="J2581" s="73"/>
      <c r="K2581" s="95"/>
      <c r="L2581" s="95"/>
      <c r="M2581" s="22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</row>
    <row r="2582">
      <c r="A2582" s="26"/>
      <c r="B2582" s="73"/>
      <c r="C2582" s="73"/>
      <c r="D2582" s="95"/>
      <c r="E2582" s="73"/>
      <c r="F2582" s="73"/>
      <c r="G2582" s="73"/>
      <c r="H2582" s="73"/>
      <c r="I2582" s="95"/>
      <c r="J2582" s="73"/>
      <c r="K2582" s="95"/>
      <c r="L2582" s="95"/>
      <c r="M2582" s="22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</row>
    <row r="2583">
      <c r="A2583" s="26"/>
      <c r="B2583" s="73"/>
      <c r="C2583" s="73"/>
      <c r="D2583" s="95"/>
      <c r="E2583" s="73"/>
      <c r="F2583" s="73"/>
      <c r="G2583" s="73"/>
      <c r="H2583" s="73"/>
      <c r="I2583" s="95"/>
      <c r="J2583" s="73"/>
      <c r="K2583" s="95"/>
      <c r="L2583" s="95"/>
      <c r="M2583" s="22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</row>
    <row r="2584">
      <c r="A2584" s="26"/>
      <c r="B2584" s="73"/>
      <c r="C2584" s="73"/>
      <c r="D2584" s="95"/>
      <c r="E2584" s="73"/>
      <c r="F2584" s="73"/>
      <c r="G2584" s="73"/>
      <c r="H2584" s="73"/>
      <c r="I2584" s="95"/>
      <c r="J2584" s="73"/>
      <c r="K2584" s="95"/>
      <c r="L2584" s="95"/>
      <c r="M2584" s="22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</row>
    <row r="2585">
      <c r="A2585" s="26"/>
      <c r="B2585" s="73"/>
      <c r="C2585" s="73"/>
      <c r="D2585" s="95"/>
      <c r="E2585" s="73"/>
      <c r="F2585" s="73"/>
      <c r="G2585" s="73"/>
      <c r="H2585" s="73"/>
      <c r="I2585" s="95"/>
      <c r="J2585" s="73"/>
      <c r="K2585" s="95"/>
      <c r="L2585" s="95"/>
      <c r="M2585" s="22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</row>
    <row r="2586">
      <c r="A2586" s="26"/>
      <c r="B2586" s="73"/>
      <c r="C2586" s="73"/>
      <c r="D2586" s="95"/>
      <c r="E2586" s="73"/>
      <c r="F2586" s="73"/>
      <c r="G2586" s="73"/>
      <c r="H2586" s="73"/>
      <c r="I2586" s="95"/>
      <c r="J2586" s="73"/>
      <c r="K2586" s="95"/>
      <c r="L2586" s="95"/>
      <c r="M2586" s="22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</row>
    <row r="2587">
      <c r="A2587" s="26"/>
      <c r="B2587" s="73"/>
      <c r="C2587" s="73"/>
      <c r="D2587" s="95"/>
      <c r="E2587" s="73"/>
      <c r="F2587" s="73"/>
      <c r="G2587" s="73"/>
      <c r="H2587" s="73"/>
      <c r="I2587" s="95"/>
      <c r="J2587" s="73"/>
      <c r="K2587" s="95"/>
      <c r="L2587" s="95"/>
      <c r="M2587" s="22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</row>
    <row r="2588">
      <c r="A2588" s="26"/>
      <c r="B2588" s="73"/>
      <c r="C2588" s="73"/>
      <c r="D2588" s="95"/>
      <c r="E2588" s="73"/>
      <c r="F2588" s="73"/>
      <c r="G2588" s="73"/>
      <c r="H2588" s="73"/>
      <c r="I2588" s="95"/>
      <c r="J2588" s="73"/>
      <c r="K2588" s="95"/>
      <c r="L2588" s="95"/>
      <c r="M2588" s="22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</row>
    <row r="2589">
      <c r="A2589" s="26"/>
      <c r="B2589" s="73"/>
      <c r="C2589" s="73"/>
      <c r="D2589" s="95"/>
      <c r="E2589" s="73"/>
      <c r="F2589" s="73"/>
      <c r="G2589" s="73"/>
      <c r="H2589" s="73"/>
      <c r="I2589" s="95"/>
      <c r="J2589" s="73"/>
      <c r="K2589" s="95"/>
      <c r="L2589" s="95"/>
      <c r="M2589" s="22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</row>
    <row r="2590">
      <c r="A2590" s="26"/>
      <c r="B2590" s="73"/>
      <c r="C2590" s="73"/>
      <c r="D2590" s="95"/>
      <c r="E2590" s="73"/>
      <c r="F2590" s="73"/>
      <c r="G2590" s="73"/>
      <c r="H2590" s="73"/>
      <c r="I2590" s="95"/>
      <c r="J2590" s="73"/>
      <c r="K2590" s="95"/>
      <c r="L2590" s="95"/>
      <c r="M2590" s="22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</row>
    <row r="2591">
      <c r="A2591" s="26"/>
      <c r="B2591" s="73"/>
      <c r="C2591" s="73"/>
      <c r="D2591" s="95"/>
      <c r="E2591" s="73"/>
      <c r="F2591" s="73"/>
      <c r="G2591" s="73"/>
      <c r="H2591" s="73"/>
      <c r="I2591" s="95"/>
      <c r="J2591" s="73"/>
      <c r="K2591" s="95"/>
      <c r="L2591" s="95"/>
      <c r="M2591" s="22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</row>
    <row r="2592">
      <c r="A2592" s="26"/>
      <c r="B2592" s="73"/>
      <c r="C2592" s="73"/>
      <c r="D2592" s="95"/>
      <c r="E2592" s="73"/>
      <c r="F2592" s="73"/>
      <c r="G2592" s="73"/>
      <c r="H2592" s="73"/>
      <c r="I2592" s="95"/>
      <c r="J2592" s="73"/>
      <c r="K2592" s="95"/>
      <c r="L2592" s="95"/>
      <c r="M2592" s="22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</row>
    <row r="2593">
      <c r="A2593" s="26"/>
      <c r="B2593" s="73"/>
      <c r="C2593" s="73"/>
      <c r="D2593" s="95"/>
      <c r="E2593" s="73"/>
      <c r="F2593" s="73"/>
      <c r="G2593" s="73"/>
      <c r="H2593" s="73"/>
      <c r="I2593" s="95"/>
      <c r="J2593" s="73"/>
      <c r="K2593" s="95"/>
      <c r="L2593" s="95"/>
      <c r="M2593" s="22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</row>
    <row r="2594">
      <c r="A2594" s="26"/>
      <c r="B2594" s="73"/>
      <c r="C2594" s="73"/>
      <c r="D2594" s="95"/>
      <c r="E2594" s="73"/>
      <c r="F2594" s="73"/>
      <c r="G2594" s="73"/>
      <c r="H2594" s="73"/>
      <c r="I2594" s="95"/>
      <c r="J2594" s="73"/>
      <c r="K2594" s="95"/>
      <c r="L2594" s="95"/>
      <c r="M2594" s="22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</row>
    <row r="2595">
      <c r="A2595" s="26"/>
      <c r="B2595" s="73"/>
      <c r="C2595" s="73"/>
      <c r="D2595" s="95"/>
      <c r="E2595" s="73"/>
      <c r="F2595" s="73"/>
      <c r="G2595" s="73"/>
      <c r="H2595" s="73"/>
      <c r="I2595" s="95"/>
      <c r="J2595" s="73"/>
      <c r="K2595" s="95"/>
      <c r="L2595" s="95"/>
      <c r="M2595" s="22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</row>
    <row r="2596">
      <c r="A2596" s="26"/>
      <c r="B2596" s="73"/>
      <c r="C2596" s="73"/>
      <c r="D2596" s="95"/>
      <c r="E2596" s="73"/>
      <c r="F2596" s="73"/>
      <c r="G2596" s="73"/>
      <c r="H2596" s="73"/>
      <c r="I2596" s="95"/>
      <c r="J2596" s="73"/>
      <c r="K2596" s="95"/>
      <c r="L2596" s="95"/>
      <c r="M2596" s="22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</row>
    <row r="2597">
      <c r="A2597" s="26"/>
      <c r="B2597" s="73"/>
      <c r="C2597" s="73"/>
      <c r="D2597" s="95"/>
      <c r="E2597" s="73"/>
      <c r="F2597" s="73"/>
      <c r="G2597" s="73"/>
      <c r="H2597" s="73"/>
      <c r="I2597" s="95"/>
      <c r="J2597" s="73"/>
      <c r="K2597" s="95"/>
      <c r="L2597" s="95"/>
      <c r="M2597" s="22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</row>
    <row r="2598">
      <c r="A2598" s="26"/>
      <c r="B2598" s="73"/>
      <c r="C2598" s="73"/>
      <c r="D2598" s="95"/>
      <c r="E2598" s="73"/>
      <c r="F2598" s="73"/>
      <c r="G2598" s="73"/>
      <c r="H2598" s="73"/>
      <c r="I2598" s="95"/>
      <c r="J2598" s="73"/>
      <c r="K2598" s="95"/>
      <c r="L2598" s="95"/>
      <c r="M2598" s="22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</row>
    <row r="2599">
      <c r="A2599" s="26"/>
      <c r="B2599" s="73"/>
      <c r="C2599" s="73"/>
      <c r="D2599" s="95"/>
      <c r="E2599" s="73"/>
      <c r="F2599" s="73"/>
      <c r="G2599" s="73"/>
      <c r="H2599" s="73"/>
      <c r="I2599" s="95"/>
      <c r="J2599" s="73"/>
      <c r="K2599" s="95"/>
      <c r="L2599" s="95"/>
      <c r="M2599" s="22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</row>
    <row r="2600">
      <c r="A2600" s="26"/>
      <c r="B2600" s="73"/>
      <c r="C2600" s="73"/>
      <c r="D2600" s="95"/>
      <c r="E2600" s="73"/>
      <c r="F2600" s="73"/>
      <c r="G2600" s="73"/>
      <c r="H2600" s="73"/>
      <c r="I2600" s="95"/>
      <c r="J2600" s="73"/>
      <c r="K2600" s="95"/>
      <c r="L2600" s="95"/>
      <c r="M2600" s="22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</row>
    <row r="2601">
      <c r="A2601" s="26"/>
      <c r="B2601" s="73"/>
      <c r="C2601" s="73"/>
      <c r="D2601" s="95"/>
      <c r="E2601" s="73"/>
      <c r="F2601" s="73"/>
      <c r="G2601" s="73"/>
      <c r="H2601" s="73"/>
      <c r="I2601" s="95"/>
      <c r="J2601" s="73"/>
      <c r="K2601" s="95"/>
      <c r="L2601" s="95"/>
      <c r="M2601" s="22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</row>
    <row r="2602">
      <c r="A2602" s="26"/>
      <c r="B2602" s="73"/>
      <c r="C2602" s="73"/>
      <c r="D2602" s="95"/>
      <c r="E2602" s="73"/>
      <c r="F2602" s="73"/>
      <c r="G2602" s="73"/>
      <c r="H2602" s="73"/>
      <c r="I2602" s="95"/>
      <c r="J2602" s="73"/>
      <c r="K2602" s="95"/>
      <c r="L2602" s="95"/>
      <c r="M2602" s="22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</row>
    <row r="2603">
      <c r="A2603" s="26"/>
      <c r="B2603" s="73"/>
      <c r="C2603" s="73"/>
      <c r="D2603" s="95"/>
      <c r="E2603" s="73"/>
      <c r="F2603" s="73"/>
      <c r="G2603" s="73"/>
      <c r="H2603" s="73"/>
      <c r="I2603" s="95"/>
      <c r="J2603" s="73"/>
      <c r="K2603" s="95"/>
      <c r="L2603" s="95"/>
      <c r="M2603" s="22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</row>
    <row r="2604">
      <c r="A2604" s="26"/>
      <c r="B2604" s="73"/>
      <c r="C2604" s="73"/>
      <c r="D2604" s="95"/>
      <c r="E2604" s="73"/>
      <c r="F2604" s="73"/>
      <c r="G2604" s="73"/>
      <c r="H2604" s="73"/>
      <c r="I2604" s="95"/>
      <c r="J2604" s="73"/>
      <c r="K2604" s="95"/>
      <c r="L2604" s="95"/>
      <c r="M2604" s="22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</row>
    <row r="2605">
      <c r="A2605" s="26"/>
      <c r="B2605" s="73"/>
      <c r="C2605" s="73"/>
      <c r="D2605" s="95"/>
      <c r="E2605" s="73"/>
      <c r="F2605" s="73"/>
      <c r="G2605" s="73"/>
      <c r="H2605" s="73"/>
      <c r="I2605" s="95"/>
      <c r="J2605" s="73"/>
      <c r="K2605" s="95"/>
      <c r="L2605" s="95"/>
      <c r="M2605" s="22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</row>
    <row r="2606">
      <c r="A2606" s="26"/>
      <c r="B2606" s="73"/>
      <c r="C2606" s="73"/>
      <c r="D2606" s="95"/>
      <c r="E2606" s="73"/>
      <c r="F2606" s="73"/>
      <c r="G2606" s="73"/>
      <c r="H2606" s="73"/>
      <c r="I2606" s="95"/>
      <c r="J2606" s="73"/>
      <c r="K2606" s="95"/>
      <c r="L2606" s="95"/>
      <c r="M2606" s="22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</row>
    <row r="2607">
      <c r="A2607" s="26"/>
      <c r="B2607" s="73"/>
      <c r="C2607" s="73"/>
      <c r="D2607" s="95"/>
      <c r="E2607" s="73"/>
      <c r="F2607" s="73"/>
      <c r="G2607" s="73"/>
      <c r="H2607" s="73"/>
      <c r="I2607" s="95"/>
      <c r="J2607" s="73"/>
      <c r="K2607" s="95"/>
      <c r="L2607" s="95"/>
      <c r="M2607" s="22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</row>
    <row r="2608">
      <c r="A2608" s="26"/>
      <c r="B2608" s="73"/>
      <c r="C2608" s="73"/>
      <c r="D2608" s="95"/>
      <c r="E2608" s="73"/>
      <c r="F2608" s="73"/>
      <c r="G2608" s="73"/>
      <c r="H2608" s="73"/>
      <c r="I2608" s="95"/>
      <c r="J2608" s="73"/>
      <c r="K2608" s="95"/>
      <c r="L2608" s="95"/>
      <c r="M2608" s="22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</row>
    <row r="2609">
      <c r="A2609" s="26"/>
      <c r="B2609" s="73"/>
      <c r="C2609" s="73"/>
      <c r="D2609" s="95"/>
      <c r="E2609" s="73"/>
      <c r="F2609" s="73"/>
      <c r="G2609" s="73"/>
      <c r="H2609" s="73"/>
      <c r="I2609" s="95"/>
      <c r="J2609" s="73"/>
      <c r="K2609" s="95"/>
      <c r="L2609" s="95"/>
      <c r="M2609" s="22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</row>
    <row r="2610">
      <c r="A2610" s="26"/>
      <c r="B2610" s="73"/>
      <c r="C2610" s="73"/>
      <c r="D2610" s="95"/>
      <c r="E2610" s="73"/>
      <c r="F2610" s="73"/>
      <c r="G2610" s="73"/>
      <c r="H2610" s="73"/>
      <c r="I2610" s="95"/>
      <c r="J2610" s="73"/>
      <c r="K2610" s="95"/>
      <c r="L2610" s="95"/>
      <c r="M2610" s="22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</row>
    <row r="2611">
      <c r="A2611" s="26"/>
      <c r="B2611" s="73"/>
      <c r="C2611" s="73"/>
      <c r="D2611" s="95"/>
      <c r="E2611" s="73"/>
      <c r="F2611" s="73"/>
      <c r="G2611" s="73"/>
      <c r="H2611" s="73"/>
      <c r="I2611" s="95"/>
      <c r="J2611" s="73"/>
      <c r="K2611" s="95"/>
      <c r="L2611" s="95"/>
      <c r="M2611" s="22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</row>
    <row r="2612">
      <c r="A2612" s="26"/>
      <c r="B2612" s="73"/>
      <c r="C2612" s="73"/>
      <c r="D2612" s="95"/>
      <c r="E2612" s="73"/>
      <c r="F2612" s="73"/>
      <c r="G2612" s="73"/>
      <c r="H2612" s="73"/>
      <c r="I2612" s="95"/>
      <c r="J2612" s="73"/>
      <c r="K2612" s="95"/>
      <c r="L2612" s="95"/>
      <c r="M2612" s="22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</row>
    <row r="2613">
      <c r="A2613" s="26"/>
      <c r="B2613" s="73"/>
      <c r="C2613" s="73"/>
      <c r="D2613" s="95"/>
      <c r="E2613" s="73"/>
      <c r="F2613" s="73"/>
      <c r="G2613" s="73"/>
      <c r="H2613" s="73"/>
      <c r="I2613" s="95"/>
      <c r="J2613" s="73"/>
      <c r="K2613" s="95"/>
      <c r="L2613" s="95"/>
      <c r="M2613" s="22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</row>
    <row r="2614">
      <c r="A2614" s="26"/>
      <c r="B2614" s="73"/>
      <c r="C2614" s="73"/>
      <c r="D2614" s="95"/>
      <c r="E2614" s="73"/>
      <c r="F2614" s="73"/>
      <c r="G2614" s="73"/>
      <c r="H2614" s="73"/>
      <c r="I2614" s="95"/>
      <c r="J2614" s="73"/>
      <c r="K2614" s="95"/>
      <c r="L2614" s="95"/>
      <c r="M2614" s="22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</row>
    <row r="2615">
      <c r="A2615" s="26"/>
      <c r="B2615" s="73"/>
      <c r="C2615" s="73"/>
      <c r="D2615" s="95"/>
      <c r="E2615" s="73"/>
      <c r="F2615" s="73"/>
      <c r="G2615" s="73"/>
      <c r="H2615" s="73"/>
      <c r="I2615" s="95"/>
      <c r="J2615" s="73"/>
      <c r="K2615" s="95"/>
      <c r="L2615" s="95"/>
      <c r="M2615" s="22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</row>
    <row r="2616">
      <c r="A2616" s="26"/>
      <c r="B2616" s="73"/>
      <c r="C2616" s="73"/>
      <c r="D2616" s="95"/>
      <c r="E2616" s="73"/>
      <c r="F2616" s="73"/>
      <c r="G2616" s="73"/>
      <c r="H2616" s="73"/>
      <c r="I2616" s="95"/>
      <c r="J2616" s="73"/>
      <c r="K2616" s="95"/>
      <c r="L2616" s="95"/>
      <c r="M2616" s="22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</row>
    <row r="2617">
      <c r="A2617" s="26"/>
      <c r="B2617" s="73"/>
      <c r="C2617" s="73"/>
      <c r="D2617" s="95"/>
      <c r="E2617" s="73"/>
      <c r="F2617" s="73"/>
      <c r="G2617" s="73"/>
      <c r="H2617" s="73"/>
      <c r="I2617" s="95"/>
      <c r="J2617" s="73"/>
      <c r="K2617" s="95"/>
      <c r="L2617" s="95"/>
      <c r="M2617" s="22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</row>
    <row r="2618">
      <c r="A2618" s="26"/>
      <c r="B2618" s="73"/>
      <c r="C2618" s="73"/>
      <c r="D2618" s="95"/>
      <c r="E2618" s="73"/>
      <c r="F2618" s="73"/>
      <c r="G2618" s="73"/>
      <c r="H2618" s="73"/>
      <c r="I2618" s="95"/>
      <c r="J2618" s="73"/>
      <c r="K2618" s="95"/>
      <c r="L2618" s="95"/>
      <c r="M2618" s="22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</row>
    <row r="2619">
      <c r="A2619" s="26"/>
      <c r="B2619" s="73"/>
      <c r="C2619" s="73"/>
      <c r="D2619" s="95"/>
      <c r="E2619" s="73"/>
      <c r="F2619" s="73"/>
      <c r="G2619" s="73"/>
      <c r="H2619" s="73"/>
      <c r="I2619" s="95"/>
      <c r="J2619" s="73"/>
      <c r="K2619" s="95"/>
      <c r="L2619" s="95"/>
      <c r="M2619" s="22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</row>
    <row r="2620">
      <c r="A2620" s="26"/>
      <c r="B2620" s="73"/>
      <c r="C2620" s="73"/>
      <c r="D2620" s="95"/>
      <c r="E2620" s="73"/>
      <c r="F2620" s="73"/>
      <c r="G2620" s="73"/>
      <c r="H2620" s="73"/>
      <c r="I2620" s="95"/>
      <c r="J2620" s="73"/>
      <c r="K2620" s="95"/>
      <c r="L2620" s="95"/>
      <c r="M2620" s="22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</row>
    <row r="2621">
      <c r="A2621" s="26"/>
      <c r="B2621" s="73"/>
      <c r="C2621" s="73"/>
      <c r="D2621" s="95"/>
      <c r="E2621" s="73"/>
      <c r="F2621" s="73"/>
      <c r="G2621" s="73"/>
      <c r="H2621" s="73"/>
      <c r="I2621" s="95"/>
      <c r="J2621" s="73"/>
      <c r="K2621" s="95"/>
      <c r="L2621" s="95"/>
      <c r="M2621" s="22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</row>
    <row r="2622">
      <c r="A2622" s="26"/>
      <c r="B2622" s="73"/>
      <c r="C2622" s="73"/>
      <c r="D2622" s="95"/>
      <c r="E2622" s="73"/>
      <c r="F2622" s="73"/>
      <c r="G2622" s="73"/>
      <c r="H2622" s="73"/>
      <c r="I2622" s="95"/>
      <c r="J2622" s="73"/>
      <c r="K2622" s="95"/>
      <c r="L2622" s="95"/>
      <c r="M2622" s="22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</row>
    <row r="2623">
      <c r="A2623" s="26"/>
      <c r="B2623" s="73"/>
      <c r="C2623" s="73"/>
      <c r="D2623" s="95"/>
      <c r="E2623" s="73"/>
      <c r="F2623" s="73"/>
      <c r="G2623" s="73"/>
      <c r="H2623" s="73"/>
      <c r="I2623" s="95"/>
      <c r="J2623" s="73"/>
      <c r="K2623" s="95"/>
      <c r="L2623" s="95"/>
      <c r="M2623" s="22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</row>
    <row r="2624">
      <c r="A2624" s="26"/>
      <c r="B2624" s="73"/>
      <c r="C2624" s="73"/>
      <c r="D2624" s="95"/>
      <c r="E2624" s="73"/>
      <c r="F2624" s="73"/>
      <c r="G2624" s="73"/>
      <c r="H2624" s="73"/>
      <c r="I2624" s="95"/>
      <c r="J2624" s="73"/>
      <c r="K2624" s="95"/>
      <c r="L2624" s="95"/>
      <c r="M2624" s="22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</row>
    <row r="2625">
      <c r="A2625" s="26"/>
      <c r="B2625" s="73"/>
      <c r="C2625" s="73"/>
      <c r="D2625" s="95"/>
      <c r="E2625" s="73"/>
      <c r="F2625" s="73"/>
      <c r="G2625" s="73"/>
      <c r="H2625" s="73"/>
      <c r="I2625" s="95"/>
      <c r="J2625" s="73"/>
      <c r="K2625" s="95"/>
      <c r="L2625" s="95"/>
      <c r="M2625" s="22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</row>
    <row r="2626">
      <c r="A2626" s="26"/>
      <c r="B2626" s="73"/>
      <c r="C2626" s="73"/>
      <c r="D2626" s="95"/>
      <c r="E2626" s="73"/>
      <c r="F2626" s="73"/>
      <c r="G2626" s="73"/>
      <c r="H2626" s="73"/>
      <c r="I2626" s="95"/>
      <c r="J2626" s="73"/>
      <c r="K2626" s="95"/>
      <c r="L2626" s="95"/>
      <c r="M2626" s="22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</row>
    <row r="2627">
      <c r="A2627" s="26"/>
      <c r="B2627" s="73"/>
      <c r="C2627" s="73"/>
      <c r="D2627" s="95"/>
      <c r="E2627" s="73"/>
      <c r="F2627" s="73"/>
      <c r="G2627" s="73"/>
      <c r="H2627" s="73"/>
      <c r="I2627" s="95"/>
      <c r="J2627" s="73"/>
      <c r="K2627" s="95"/>
      <c r="L2627" s="95"/>
      <c r="M2627" s="22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</row>
    <row r="2628">
      <c r="A2628" s="26"/>
      <c r="B2628" s="73"/>
      <c r="C2628" s="73"/>
      <c r="D2628" s="95"/>
      <c r="E2628" s="73"/>
      <c r="F2628" s="73"/>
      <c r="G2628" s="73"/>
      <c r="H2628" s="73"/>
      <c r="I2628" s="95"/>
      <c r="J2628" s="73"/>
      <c r="K2628" s="95"/>
      <c r="L2628" s="95"/>
      <c r="M2628" s="22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</row>
    <row r="2629">
      <c r="A2629" s="26"/>
      <c r="B2629" s="73"/>
      <c r="C2629" s="73"/>
      <c r="D2629" s="95"/>
      <c r="E2629" s="73"/>
      <c r="F2629" s="73"/>
      <c r="G2629" s="73"/>
      <c r="H2629" s="73"/>
      <c r="I2629" s="95"/>
      <c r="J2629" s="73"/>
      <c r="K2629" s="95"/>
      <c r="L2629" s="95"/>
      <c r="M2629" s="22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</row>
    <row r="2630">
      <c r="A2630" s="26"/>
      <c r="B2630" s="73"/>
      <c r="C2630" s="73"/>
      <c r="D2630" s="95"/>
      <c r="E2630" s="73"/>
      <c r="F2630" s="73"/>
      <c r="G2630" s="73"/>
      <c r="H2630" s="73"/>
      <c r="I2630" s="95"/>
      <c r="J2630" s="73"/>
      <c r="K2630" s="95"/>
      <c r="L2630" s="95"/>
      <c r="M2630" s="22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</row>
    <row r="2631">
      <c r="A2631" s="26"/>
      <c r="B2631" s="73"/>
      <c r="C2631" s="73"/>
      <c r="D2631" s="95"/>
      <c r="E2631" s="73"/>
      <c r="F2631" s="73"/>
      <c r="G2631" s="73"/>
      <c r="H2631" s="73"/>
      <c r="I2631" s="95"/>
      <c r="J2631" s="73"/>
      <c r="K2631" s="95"/>
      <c r="L2631" s="95"/>
      <c r="M2631" s="22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</row>
    <row r="2632">
      <c r="A2632" s="26"/>
      <c r="B2632" s="73"/>
      <c r="C2632" s="73"/>
      <c r="D2632" s="95"/>
      <c r="E2632" s="73"/>
      <c r="F2632" s="73"/>
      <c r="G2632" s="73"/>
      <c r="H2632" s="73"/>
      <c r="I2632" s="95"/>
      <c r="J2632" s="73"/>
      <c r="K2632" s="95"/>
      <c r="L2632" s="95"/>
      <c r="M2632" s="22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</row>
    <row r="2633">
      <c r="A2633" s="26"/>
      <c r="B2633" s="73"/>
      <c r="C2633" s="73"/>
      <c r="D2633" s="95"/>
      <c r="E2633" s="73"/>
      <c r="F2633" s="73"/>
      <c r="G2633" s="73"/>
      <c r="H2633" s="73"/>
      <c r="I2633" s="95"/>
      <c r="J2633" s="73"/>
      <c r="K2633" s="95"/>
      <c r="L2633" s="95"/>
      <c r="M2633" s="22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</row>
    <row r="2634">
      <c r="A2634" s="26"/>
      <c r="B2634" s="73"/>
      <c r="C2634" s="73"/>
      <c r="D2634" s="95"/>
      <c r="E2634" s="73"/>
      <c r="F2634" s="73"/>
      <c r="G2634" s="73"/>
      <c r="H2634" s="73"/>
      <c r="I2634" s="95"/>
      <c r="J2634" s="73"/>
      <c r="K2634" s="95"/>
      <c r="L2634" s="95"/>
      <c r="M2634" s="22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</row>
    <row r="2635">
      <c r="A2635" s="26"/>
      <c r="B2635" s="73"/>
      <c r="C2635" s="73"/>
      <c r="D2635" s="95"/>
      <c r="E2635" s="73"/>
      <c r="F2635" s="73"/>
      <c r="G2635" s="73"/>
      <c r="H2635" s="73"/>
      <c r="I2635" s="95"/>
      <c r="J2635" s="73"/>
      <c r="K2635" s="95"/>
      <c r="L2635" s="95"/>
      <c r="M2635" s="22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</row>
    <row r="2636">
      <c r="A2636" s="26"/>
      <c r="B2636" s="73"/>
      <c r="C2636" s="73"/>
      <c r="D2636" s="95"/>
      <c r="E2636" s="73"/>
      <c r="F2636" s="73"/>
      <c r="G2636" s="73"/>
      <c r="H2636" s="73"/>
      <c r="I2636" s="95"/>
      <c r="J2636" s="73"/>
      <c r="K2636" s="95"/>
      <c r="L2636" s="95"/>
      <c r="M2636" s="22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</row>
    <row r="2637">
      <c r="A2637" s="26"/>
      <c r="B2637" s="73"/>
      <c r="C2637" s="73"/>
      <c r="D2637" s="95"/>
      <c r="E2637" s="73"/>
      <c r="F2637" s="73"/>
      <c r="G2637" s="73"/>
      <c r="H2637" s="73"/>
      <c r="I2637" s="95"/>
      <c r="J2637" s="73"/>
      <c r="K2637" s="95"/>
      <c r="L2637" s="95"/>
      <c r="M2637" s="22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</row>
    <row r="2638">
      <c r="A2638" s="26"/>
      <c r="B2638" s="73"/>
      <c r="C2638" s="73"/>
      <c r="D2638" s="95"/>
      <c r="E2638" s="73"/>
      <c r="F2638" s="73"/>
      <c r="G2638" s="73"/>
      <c r="H2638" s="73"/>
      <c r="I2638" s="95"/>
      <c r="J2638" s="73"/>
      <c r="K2638" s="95"/>
      <c r="L2638" s="95"/>
      <c r="M2638" s="22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</row>
    <row r="2639">
      <c r="A2639" s="26"/>
      <c r="B2639" s="73"/>
      <c r="C2639" s="73"/>
      <c r="D2639" s="95"/>
      <c r="E2639" s="73"/>
      <c r="F2639" s="73"/>
      <c r="G2639" s="73"/>
      <c r="H2639" s="73"/>
      <c r="I2639" s="95"/>
      <c r="J2639" s="73"/>
      <c r="K2639" s="95"/>
      <c r="L2639" s="95"/>
      <c r="M2639" s="22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</row>
    <row r="2640">
      <c r="A2640" s="26"/>
      <c r="B2640" s="73"/>
      <c r="C2640" s="73"/>
      <c r="D2640" s="95"/>
      <c r="E2640" s="73"/>
      <c r="F2640" s="73"/>
      <c r="G2640" s="73"/>
      <c r="H2640" s="73"/>
      <c r="I2640" s="95"/>
      <c r="J2640" s="73"/>
      <c r="K2640" s="95"/>
      <c r="L2640" s="95"/>
      <c r="M2640" s="22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</row>
    <row r="2641">
      <c r="A2641" s="26"/>
      <c r="B2641" s="73"/>
      <c r="C2641" s="73"/>
      <c r="D2641" s="95"/>
      <c r="E2641" s="73"/>
      <c r="F2641" s="73"/>
      <c r="G2641" s="73"/>
      <c r="H2641" s="73"/>
      <c r="I2641" s="95"/>
      <c r="J2641" s="73"/>
      <c r="K2641" s="95"/>
      <c r="L2641" s="95"/>
      <c r="M2641" s="22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</row>
    <row r="2642">
      <c r="A2642" s="26"/>
      <c r="B2642" s="73"/>
      <c r="C2642" s="73"/>
      <c r="D2642" s="95"/>
      <c r="E2642" s="73"/>
      <c r="F2642" s="73"/>
      <c r="G2642" s="73"/>
      <c r="H2642" s="73"/>
      <c r="I2642" s="95"/>
      <c r="J2642" s="73"/>
      <c r="K2642" s="95"/>
      <c r="L2642" s="95"/>
      <c r="M2642" s="22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</row>
    <row r="2643">
      <c r="A2643" s="26"/>
      <c r="B2643" s="73"/>
      <c r="C2643" s="73"/>
      <c r="D2643" s="95"/>
      <c r="E2643" s="73"/>
      <c r="F2643" s="73"/>
      <c r="G2643" s="73"/>
      <c r="H2643" s="73"/>
      <c r="I2643" s="95"/>
      <c r="J2643" s="73"/>
      <c r="K2643" s="95"/>
      <c r="L2643" s="95"/>
      <c r="M2643" s="22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</row>
    <row r="2644">
      <c r="A2644" s="26"/>
      <c r="B2644" s="73"/>
      <c r="C2644" s="73"/>
      <c r="D2644" s="95"/>
      <c r="E2644" s="73"/>
      <c r="F2644" s="73"/>
      <c r="G2644" s="73"/>
      <c r="H2644" s="73"/>
      <c r="I2644" s="95"/>
      <c r="J2644" s="73"/>
      <c r="K2644" s="95"/>
      <c r="L2644" s="95"/>
      <c r="M2644" s="22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</row>
    <row r="2645">
      <c r="A2645" s="26"/>
      <c r="B2645" s="73"/>
      <c r="C2645" s="73"/>
      <c r="D2645" s="95"/>
      <c r="E2645" s="73"/>
      <c r="F2645" s="73"/>
      <c r="G2645" s="73"/>
      <c r="H2645" s="73"/>
      <c r="I2645" s="95"/>
      <c r="J2645" s="73"/>
      <c r="K2645" s="95"/>
      <c r="L2645" s="95"/>
      <c r="M2645" s="22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</row>
    <row r="2646">
      <c r="A2646" s="26"/>
      <c r="B2646" s="73"/>
      <c r="C2646" s="73"/>
      <c r="D2646" s="95"/>
      <c r="E2646" s="73"/>
      <c r="F2646" s="73"/>
      <c r="G2646" s="73"/>
      <c r="H2646" s="73"/>
      <c r="I2646" s="95"/>
      <c r="J2646" s="73"/>
      <c r="K2646" s="95"/>
      <c r="L2646" s="95"/>
      <c r="M2646" s="22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</row>
    <row r="2647">
      <c r="A2647" s="26"/>
      <c r="B2647" s="73"/>
      <c r="C2647" s="73"/>
      <c r="D2647" s="95"/>
      <c r="E2647" s="73"/>
      <c r="F2647" s="73"/>
      <c r="G2647" s="73"/>
      <c r="H2647" s="73"/>
      <c r="I2647" s="95"/>
      <c r="J2647" s="73"/>
      <c r="K2647" s="95"/>
      <c r="L2647" s="95"/>
      <c r="M2647" s="22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</row>
    <row r="2648">
      <c r="A2648" s="26"/>
      <c r="B2648" s="73"/>
      <c r="C2648" s="73"/>
      <c r="D2648" s="95"/>
      <c r="E2648" s="73"/>
      <c r="F2648" s="73"/>
      <c r="G2648" s="73"/>
      <c r="H2648" s="73"/>
      <c r="I2648" s="95"/>
      <c r="J2648" s="73"/>
      <c r="K2648" s="95"/>
      <c r="L2648" s="95"/>
      <c r="M2648" s="22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</row>
    <row r="2649">
      <c r="A2649" s="26"/>
      <c r="B2649" s="73"/>
      <c r="C2649" s="73"/>
      <c r="D2649" s="95"/>
      <c r="E2649" s="73"/>
      <c r="F2649" s="73"/>
      <c r="G2649" s="73"/>
      <c r="H2649" s="73"/>
      <c r="I2649" s="95"/>
      <c r="J2649" s="73"/>
      <c r="K2649" s="95"/>
      <c r="L2649" s="95"/>
      <c r="M2649" s="22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</row>
    <row r="2650">
      <c r="A2650" s="26"/>
      <c r="B2650" s="73"/>
      <c r="C2650" s="73"/>
      <c r="D2650" s="95"/>
      <c r="E2650" s="73"/>
      <c r="F2650" s="73"/>
      <c r="G2650" s="73"/>
      <c r="H2650" s="73"/>
      <c r="I2650" s="95"/>
      <c r="J2650" s="73"/>
      <c r="K2650" s="95"/>
      <c r="L2650" s="95"/>
      <c r="M2650" s="22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</row>
    <row r="2651">
      <c r="A2651" s="26"/>
      <c r="B2651" s="73"/>
      <c r="C2651" s="73"/>
      <c r="D2651" s="95"/>
      <c r="E2651" s="73"/>
      <c r="F2651" s="73"/>
      <c r="G2651" s="73"/>
      <c r="H2651" s="73"/>
      <c r="I2651" s="95"/>
      <c r="J2651" s="73"/>
      <c r="K2651" s="95"/>
      <c r="L2651" s="95"/>
      <c r="M2651" s="22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</row>
    <row r="2652">
      <c r="A2652" s="26"/>
      <c r="B2652" s="73"/>
      <c r="C2652" s="73"/>
      <c r="D2652" s="95"/>
      <c r="E2652" s="73"/>
      <c r="F2652" s="73"/>
      <c r="G2652" s="73"/>
      <c r="H2652" s="73"/>
      <c r="I2652" s="95"/>
      <c r="J2652" s="73"/>
      <c r="K2652" s="95"/>
      <c r="L2652" s="95"/>
      <c r="M2652" s="22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</row>
    <row r="2653">
      <c r="A2653" s="26"/>
      <c r="B2653" s="73"/>
      <c r="C2653" s="73"/>
      <c r="D2653" s="95"/>
      <c r="E2653" s="73"/>
      <c r="F2653" s="73"/>
      <c r="G2653" s="73"/>
      <c r="H2653" s="73"/>
      <c r="I2653" s="95"/>
      <c r="J2653" s="73"/>
      <c r="K2653" s="95"/>
      <c r="L2653" s="95"/>
      <c r="M2653" s="22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</row>
    <row r="2654">
      <c r="A2654" s="26"/>
      <c r="B2654" s="73"/>
      <c r="C2654" s="73"/>
      <c r="D2654" s="95"/>
      <c r="E2654" s="73"/>
      <c r="F2654" s="73"/>
      <c r="G2654" s="73"/>
      <c r="H2654" s="73"/>
      <c r="I2654" s="95"/>
      <c r="J2654" s="73"/>
      <c r="K2654" s="95"/>
      <c r="L2654" s="95"/>
      <c r="M2654" s="22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</row>
    <row r="2655">
      <c r="A2655" s="26"/>
      <c r="B2655" s="73"/>
      <c r="C2655" s="73"/>
      <c r="D2655" s="95"/>
      <c r="E2655" s="73"/>
      <c r="F2655" s="73"/>
      <c r="G2655" s="73"/>
      <c r="H2655" s="73"/>
      <c r="I2655" s="95"/>
      <c r="J2655" s="73"/>
      <c r="K2655" s="95"/>
      <c r="L2655" s="95"/>
      <c r="M2655" s="22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</row>
    <row r="2656">
      <c r="A2656" s="26"/>
      <c r="B2656" s="73"/>
      <c r="C2656" s="73"/>
      <c r="D2656" s="95"/>
      <c r="E2656" s="73"/>
      <c r="F2656" s="73"/>
      <c r="G2656" s="73"/>
      <c r="H2656" s="73"/>
      <c r="I2656" s="95"/>
      <c r="J2656" s="73"/>
      <c r="K2656" s="95"/>
      <c r="L2656" s="95"/>
      <c r="M2656" s="22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</row>
    <row r="2657">
      <c r="A2657" s="26"/>
      <c r="B2657" s="73"/>
      <c r="C2657" s="73"/>
      <c r="D2657" s="95"/>
      <c r="E2657" s="73"/>
      <c r="F2657" s="73"/>
      <c r="G2657" s="73"/>
      <c r="H2657" s="73"/>
      <c r="I2657" s="95"/>
      <c r="J2657" s="73"/>
      <c r="K2657" s="95"/>
      <c r="L2657" s="95"/>
      <c r="M2657" s="22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</row>
    <row r="2658">
      <c r="A2658" s="26"/>
      <c r="B2658" s="73"/>
      <c r="C2658" s="73"/>
      <c r="D2658" s="95"/>
      <c r="E2658" s="73"/>
      <c r="F2658" s="73"/>
      <c r="G2658" s="73"/>
      <c r="H2658" s="73"/>
      <c r="I2658" s="95"/>
      <c r="J2658" s="73"/>
      <c r="K2658" s="95"/>
      <c r="L2658" s="95"/>
      <c r="M2658" s="22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</row>
    <row r="2659">
      <c r="A2659" s="26"/>
      <c r="B2659" s="73"/>
      <c r="C2659" s="73"/>
      <c r="D2659" s="95"/>
      <c r="E2659" s="73"/>
      <c r="F2659" s="73"/>
      <c r="G2659" s="73"/>
      <c r="H2659" s="73"/>
      <c r="I2659" s="95"/>
      <c r="J2659" s="73"/>
      <c r="K2659" s="95"/>
      <c r="L2659" s="95"/>
      <c r="M2659" s="22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</row>
    <row r="2660">
      <c r="A2660" s="26"/>
      <c r="B2660" s="73"/>
      <c r="C2660" s="73"/>
      <c r="D2660" s="95"/>
      <c r="E2660" s="73"/>
      <c r="F2660" s="73"/>
      <c r="G2660" s="73"/>
      <c r="H2660" s="73"/>
      <c r="I2660" s="95"/>
      <c r="J2660" s="73"/>
      <c r="K2660" s="95"/>
      <c r="L2660" s="95"/>
      <c r="M2660" s="22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</row>
    <row r="2661">
      <c r="A2661" s="26"/>
      <c r="B2661" s="73"/>
      <c r="C2661" s="73"/>
      <c r="D2661" s="95"/>
      <c r="E2661" s="73"/>
      <c r="F2661" s="73"/>
      <c r="G2661" s="73"/>
      <c r="H2661" s="73"/>
      <c r="I2661" s="95"/>
      <c r="J2661" s="73"/>
      <c r="K2661" s="95"/>
      <c r="L2661" s="95"/>
      <c r="M2661" s="22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</row>
    <row r="2662">
      <c r="A2662" s="26"/>
      <c r="B2662" s="73"/>
      <c r="C2662" s="73"/>
      <c r="D2662" s="95"/>
      <c r="E2662" s="73"/>
      <c r="F2662" s="73"/>
      <c r="G2662" s="73"/>
      <c r="H2662" s="73"/>
      <c r="I2662" s="95"/>
      <c r="J2662" s="73"/>
      <c r="K2662" s="95"/>
      <c r="L2662" s="95"/>
      <c r="M2662" s="22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</row>
    <row r="2663">
      <c r="A2663" s="26"/>
      <c r="B2663" s="73"/>
      <c r="C2663" s="73"/>
      <c r="D2663" s="95"/>
      <c r="E2663" s="73"/>
      <c r="F2663" s="73"/>
      <c r="G2663" s="73"/>
      <c r="H2663" s="73"/>
      <c r="I2663" s="95"/>
      <c r="J2663" s="73"/>
      <c r="K2663" s="95"/>
      <c r="L2663" s="95"/>
      <c r="M2663" s="22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</row>
    <row r="2664">
      <c r="A2664" s="26"/>
      <c r="B2664" s="73"/>
      <c r="C2664" s="73"/>
      <c r="D2664" s="95"/>
      <c r="E2664" s="73"/>
      <c r="F2664" s="73"/>
      <c r="G2664" s="73"/>
      <c r="H2664" s="73"/>
      <c r="I2664" s="95"/>
      <c r="J2664" s="73"/>
      <c r="K2664" s="95"/>
      <c r="L2664" s="95"/>
      <c r="M2664" s="22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</row>
    <row r="2665">
      <c r="A2665" s="26"/>
      <c r="B2665" s="73"/>
      <c r="C2665" s="73"/>
      <c r="D2665" s="95"/>
      <c r="E2665" s="73"/>
      <c r="F2665" s="73"/>
      <c r="G2665" s="73"/>
      <c r="H2665" s="73"/>
      <c r="I2665" s="95"/>
      <c r="J2665" s="73"/>
      <c r="K2665" s="95"/>
      <c r="L2665" s="95"/>
      <c r="M2665" s="22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</row>
    <row r="2666">
      <c r="A2666" s="26"/>
      <c r="B2666" s="73"/>
      <c r="C2666" s="73"/>
      <c r="D2666" s="95"/>
      <c r="E2666" s="73"/>
      <c r="F2666" s="73"/>
      <c r="G2666" s="73"/>
      <c r="H2666" s="73"/>
      <c r="I2666" s="95"/>
      <c r="J2666" s="73"/>
      <c r="K2666" s="95"/>
      <c r="L2666" s="95"/>
      <c r="M2666" s="22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</row>
    <row r="2667">
      <c r="A2667" s="26"/>
      <c r="B2667" s="73"/>
      <c r="C2667" s="73"/>
      <c r="D2667" s="95"/>
      <c r="E2667" s="73"/>
      <c r="F2667" s="73"/>
      <c r="G2667" s="73"/>
      <c r="H2667" s="73"/>
      <c r="I2667" s="95"/>
      <c r="J2667" s="73"/>
      <c r="K2667" s="95"/>
      <c r="L2667" s="95"/>
      <c r="M2667" s="22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</row>
    <row r="2668">
      <c r="A2668" s="26"/>
      <c r="B2668" s="73"/>
      <c r="C2668" s="73"/>
      <c r="D2668" s="95"/>
      <c r="E2668" s="73"/>
      <c r="F2668" s="73"/>
      <c r="G2668" s="73"/>
      <c r="H2668" s="73"/>
      <c r="I2668" s="95"/>
      <c r="J2668" s="73"/>
      <c r="K2668" s="95"/>
      <c r="L2668" s="95"/>
      <c r="M2668" s="22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</row>
    <row r="2669">
      <c r="A2669" s="26"/>
      <c r="B2669" s="73"/>
      <c r="C2669" s="73"/>
      <c r="D2669" s="95"/>
      <c r="E2669" s="73"/>
      <c r="F2669" s="73"/>
      <c r="G2669" s="73"/>
      <c r="H2669" s="73"/>
      <c r="I2669" s="95"/>
      <c r="J2669" s="73"/>
      <c r="K2669" s="95"/>
      <c r="L2669" s="95"/>
      <c r="M2669" s="22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</row>
    <row r="2670">
      <c r="A2670" s="26"/>
      <c r="B2670" s="73"/>
      <c r="C2670" s="73"/>
      <c r="D2670" s="95"/>
      <c r="E2670" s="73"/>
      <c r="F2670" s="73"/>
      <c r="G2670" s="73"/>
      <c r="H2670" s="73"/>
      <c r="I2670" s="95"/>
      <c r="J2670" s="73"/>
      <c r="K2670" s="95"/>
      <c r="L2670" s="95"/>
      <c r="M2670" s="22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</row>
    <row r="2671">
      <c r="A2671" s="26"/>
      <c r="B2671" s="73"/>
      <c r="C2671" s="73"/>
      <c r="D2671" s="95"/>
      <c r="E2671" s="73"/>
      <c r="F2671" s="73"/>
      <c r="G2671" s="73"/>
      <c r="H2671" s="73"/>
      <c r="I2671" s="95"/>
      <c r="J2671" s="73"/>
      <c r="K2671" s="95"/>
      <c r="L2671" s="95"/>
      <c r="M2671" s="22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</row>
    <row r="2672">
      <c r="A2672" s="26"/>
      <c r="B2672" s="73"/>
      <c r="C2672" s="73"/>
      <c r="D2672" s="95"/>
      <c r="E2672" s="73"/>
      <c r="F2672" s="73"/>
      <c r="G2672" s="73"/>
      <c r="H2672" s="73"/>
      <c r="I2672" s="95"/>
      <c r="J2672" s="73"/>
      <c r="K2672" s="95"/>
      <c r="L2672" s="95"/>
      <c r="M2672" s="22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</row>
    <row r="2673">
      <c r="A2673" s="26"/>
      <c r="B2673" s="73"/>
      <c r="C2673" s="73"/>
      <c r="D2673" s="95"/>
      <c r="E2673" s="73"/>
      <c r="F2673" s="73"/>
      <c r="G2673" s="73"/>
      <c r="H2673" s="73"/>
      <c r="I2673" s="95"/>
      <c r="J2673" s="73"/>
      <c r="K2673" s="95"/>
      <c r="L2673" s="95"/>
      <c r="M2673" s="22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</row>
    <row r="2674">
      <c r="A2674" s="26"/>
      <c r="B2674" s="73"/>
      <c r="C2674" s="73"/>
      <c r="D2674" s="95"/>
      <c r="E2674" s="73"/>
      <c r="F2674" s="73"/>
      <c r="G2674" s="73"/>
      <c r="H2674" s="73"/>
      <c r="I2674" s="95"/>
      <c r="J2674" s="73"/>
      <c r="K2674" s="95"/>
      <c r="L2674" s="95"/>
      <c r="M2674" s="22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</row>
    <row r="2675">
      <c r="A2675" s="26"/>
      <c r="B2675" s="73"/>
      <c r="C2675" s="73"/>
      <c r="D2675" s="95"/>
      <c r="E2675" s="73"/>
      <c r="F2675" s="73"/>
      <c r="G2675" s="73"/>
      <c r="H2675" s="73"/>
      <c r="I2675" s="95"/>
      <c r="J2675" s="73"/>
      <c r="K2675" s="95"/>
      <c r="L2675" s="95"/>
      <c r="M2675" s="22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</row>
    <row r="2676">
      <c r="A2676" s="26"/>
      <c r="B2676" s="73"/>
      <c r="C2676" s="73"/>
      <c r="D2676" s="95"/>
      <c r="E2676" s="73"/>
      <c r="F2676" s="73"/>
      <c r="G2676" s="73"/>
      <c r="H2676" s="73"/>
      <c r="I2676" s="95"/>
      <c r="J2676" s="73"/>
      <c r="K2676" s="95"/>
      <c r="L2676" s="95"/>
      <c r="M2676" s="22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</row>
    <row r="2677">
      <c r="A2677" s="26"/>
      <c r="B2677" s="73"/>
      <c r="C2677" s="73"/>
      <c r="D2677" s="95"/>
      <c r="E2677" s="73"/>
      <c r="F2677" s="73"/>
      <c r="G2677" s="73"/>
      <c r="H2677" s="73"/>
      <c r="I2677" s="95"/>
      <c r="J2677" s="73"/>
      <c r="K2677" s="95"/>
      <c r="L2677" s="95"/>
      <c r="M2677" s="22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</row>
    <row r="2678">
      <c r="A2678" s="26"/>
      <c r="B2678" s="73"/>
      <c r="C2678" s="73"/>
      <c r="D2678" s="95"/>
      <c r="E2678" s="73"/>
      <c r="F2678" s="73"/>
      <c r="G2678" s="73"/>
      <c r="H2678" s="73"/>
      <c r="I2678" s="95"/>
      <c r="J2678" s="73"/>
      <c r="K2678" s="95"/>
      <c r="L2678" s="95"/>
      <c r="M2678" s="22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</row>
    <row r="2679">
      <c r="A2679" s="26"/>
      <c r="B2679" s="73"/>
      <c r="C2679" s="73"/>
      <c r="D2679" s="95"/>
      <c r="E2679" s="73"/>
      <c r="F2679" s="73"/>
      <c r="G2679" s="73"/>
      <c r="H2679" s="73"/>
      <c r="I2679" s="95"/>
      <c r="J2679" s="73"/>
      <c r="K2679" s="95"/>
      <c r="L2679" s="95"/>
      <c r="M2679" s="22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</row>
    <row r="2680">
      <c r="A2680" s="26"/>
      <c r="B2680" s="73"/>
      <c r="C2680" s="73"/>
      <c r="D2680" s="95"/>
      <c r="E2680" s="73"/>
      <c r="F2680" s="73"/>
      <c r="G2680" s="73"/>
      <c r="H2680" s="73"/>
      <c r="I2680" s="95"/>
      <c r="J2680" s="73"/>
      <c r="K2680" s="95"/>
      <c r="L2680" s="95"/>
      <c r="M2680" s="22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</row>
    <row r="2681">
      <c r="A2681" s="26"/>
      <c r="B2681" s="73"/>
      <c r="C2681" s="73"/>
      <c r="D2681" s="95"/>
      <c r="E2681" s="73"/>
      <c r="F2681" s="73"/>
      <c r="G2681" s="73"/>
      <c r="H2681" s="73"/>
      <c r="I2681" s="95"/>
      <c r="J2681" s="73"/>
      <c r="K2681" s="95"/>
      <c r="L2681" s="95"/>
      <c r="M2681" s="22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</row>
    <row r="2682">
      <c r="A2682" s="26"/>
      <c r="B2682" s="73"/>
      <c r="C2682" s="73"/>
      <c r="D2682" s="95"/>
      <c r="E2682" s="73"/>
      <c r="F2682" s="73"/>
      <c r="G2682" s="73"/>
      <c r="H2682" s="73"/>
      <c r="I2682" s="95"/>
      <c r="J2682" s="73"/>
      <c r="K2682" s="95"/>
      <c r="L2682" s="95"/>
      <c r="M2682" s="22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</row>
    <row r="2683">
      <c r="A2683" s="26"/>
      <c r="B2683" s="73"/>
      <c r="C2683" s="73"/>
      <c r="D2683" s="95"/>
      <c r="E2683" s="73"/>
      <c r="F2683" s="73"/>
      <c r="G2683" s="73"/>
      <c r="H2683" s="73"/>
      <c r="I2683" s="95"/>
      <c r="J2683" s="73"/>
      <c r="K2683" s="95"/>
      <c r="L2683" s="95"/>
      <c r="M2683" s="22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</row>
    <row r="2684">
      <c r="A2684" s="26"/>
      <c r="B2684" s="73"/>
      <c r="C2684" s="73"/>
      <c r="D2684" s="95"/>
      <c r="E2684" s="73"/>
      <c r="F2684" s="73"/>
      <c r="G2684" s="73"/>
      <c r="H2684" s="73"/>
      <c r="I2684" s="95"/>
      <c r="J2684" s="73"/>
      <c r="K2684" s="95"/>
      <c r="L2684" s="95"/>
      <c r="M2684" s="22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</row>
    <row r="2685">
      <c r="A2685" s="26"/>
      <c r="B2685" s="73"/>
      <c r="C2685" s="73"/>
      <c r="D2685" s="95"/>
      <c r="E2685" s="73"/>
      <c r="F2685" s="73"/>
      <c r="G2685" s="73"/>
      <c r="H2685" s="73"/>
      <c r="I2685" s="95"/>
      <c r="J2685" s="73"/>
      <c r="K2685" s="95"/>
      <c r="L2685" s="95"/>
      <c r="M2685" s="22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</row>
    <row r="2686">
      <c r="A2686" s="26"/>
      <c r="B2686" s="73"/>
      <c r="C2686" s="73"/>
      <c r="D2686" s="95"/>
      <c r="E2686" s="73"/>
      <c r="F2686" s="73"/>
      <c r="G2686" s="73"/>
      <c r="H2686" s="73"/>
      <c r="I2686" s="95"/>
      <c r="J2686" s="73"/>
      <c r="K2686" s="95"/>
      <c r="L2686" s="95"/>
      <c r="M2686" s="22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</row>
    <row r="2687">
      <c r="A2687" s="26"/>
      <c r="B2687" s="73"/>
      <c r="C2687" s="73"/>
      <c r="D2687" s="95"/>
      <c r="E2687" s="73"/>
      <c r="F2687" s="73"/>
      <c r="G2687" s="73"/>
      <c r="H2687" s="73"/>
      <c r="I2687" s="95"/>
      <c r="J2687" s="73"/>
      <c r="K2687" s="95"/>
      <c r="L2687" s="95"/>
      <c r="M2687" s="22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</row>
    <row r="2688">
      <c r="A2688" s="26"/>
      <c r="B2688" s="73"/>
      <c r="C2688" s="73"/>
      <c r="D2688" s="95"/>
      <c r="E2688" s="73"/>
      <c r="F2688" s="73"/>
      <c r="G2688" s="73"/>
      <c r="H2688" s="73"/>
      <c r="I2688" s="95"/>
      <c r="J2688" s="73"/>
      <c r="K2688" s="95"/>
      <c r="L2688" s="95"/>
      <c r="M2688" s="22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</row>
    <row r="2689">
      <c r="A2689" s="26"/>
      <c r="B2689" s="73"/>
      <c r="C2689" s="73"/>
      <c r="D2689" s="95"/>
      <c r="E2689" s="73"/>
      <c r="F2689" s="73"/>
      <c r="G2689" s="73"/>
      <c r="H2689" s="73"/>
      <c r="I2689" s="95"/>
      <c r="J2689" s="73"/>
      <c r="K2689" s="95"/>
      <c r="L2689" s="95"/>
      <c r="M2689" s="22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</row>
    <row r="2690">
      <c r="A2690" s="26"/>
      <c r="B2690" s="73"/>
      <c r="C2690" s="73"/>
      <c r="D2690" s="95"/>
      <c r="E2690" s="73"/>
      <c r="F2690" s="73"/>
      <c r="G2690" s="73"/>
      <c r="H2690" s="73"/>
      <c r="I2690" s="95"/>
      <c r="J2690" s="73"/>
      <c r="K2690" s="95"/>
      <c r="L2690" s="95"/>
      <c r="M2690" s="22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</row>
    <row r="2691">
      <c r="A2691" s="26"/>
      <c r="B2691" s="73"/>
      <c r="C2691" s="73"/>
      <c r="D2691" s="95"/>
      <c r="E2691" s="73"/>
      <c r="F2691" s="73"/>
      <c r="G2691" s="73"/>
      <c r="H2691" s="73"/>
      <c r="I2691" s="95"/>
      <c r="J2691" s="73"/>
      <c r="K2691" s="95"/>
      <c r="L2691" s="95"/>
      <c r="M2691" s="22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</row>
    <row r="2692">
      <c r="A2692" s="26"/>
      <c r="B2692" s="73"/>
      <c r="C2692" s="73"/>
      <c r="D2692" s="95"/>
      <c r="E2692" s="73"/>
      <c r="F2692" s="73"/>
      <c r="G2692" s="73"/>
      <c r="H2692" s="73"/>
      <c r="I2692" s="95"/>
      <c r="J2692" s="73"/>
      <c r="K2692" s="95"/>
      <c r="L2692" s="95"/>
      <c r="M2692" s="22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</row>
    <row r="2693">
      <c r="A2693" s="26"/>
      <c r="B2693" s="73"/>
      <c r="C2693" s="73"/>
      <c r="D2693" s="95"/>
      <c r="E2693" s="73"/>
      <c r="F2693" s="73"/>
      <c r="G2693" s="73"/>
      <c r="H2693" s="73"/>
      <c r="I2693" s="95"/>
      <c r="J2693" s="73"/>
      <c r="K2693" s="95"/>
      <c r="L2693" s="95"/>
      <c r="M2693" s="22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</row>
    <row r="2694">
      <c r="A2694" s="26"/>
      <c r="B2694" s="73"/>
      <c r="C2694" s="73"/>
      <c r="D2694" s="95"/>
      <c r="E2694" s="73"/>
      <c r="F2694" s="73"/>
      <c r="G2694" s="73"/>
      <c r="H2694" s="73"/>
      <c r="I2694" s="95"/>
      <c r="J2694" s="73"/>
      <c r="K2694" s="95"/>
      <c r="L2694" s="95"/>
      <c r="M2694" s="22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</row>
    <row r="2695">
      <c r="A2695" s="26"/>
      <c r="B2695" s="73"/>
      <c r="C2695" s="73"/>
      <c r="D2695" s="95"/>
      <c r="E2695" s="73"/>
      <c r="F2695" s="73"/>
      <c r="G2695" s="73"/>
      <c r="H2695" s="73"/>
      <c r="I2695" s="95"/>
      <c r="J2695" s="73"/>
      <c r="K2695" s="95"/>
      <c r="L2695" s="95"/>
      <c r="M2695" s="22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</row>
    <row r="2696">
      <c r="A2696" s="26"/>
      <c r="B2696" s="73"/>
      <c r="C2696" s="73"/>
      <c r="D2696" s="95"/>
      <c r="E2696" s="73"/>
      <c r="F2696" s="73"/>
      <c r="G2696" s="73"/>
      <c r="H2696" s="73"/>
      <c r="I2696" s="95"/>
      <c r="J2696" s="73"/>
      <c r="K2696" s="95"/>
      <c r="L2696" s="95"/>
      <c r="M2696" s="22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</row>
    <row r="2697">
      <c r="A2697" s="26"/>
      <c r="B2697" s="73"/>
      <c r="C2697" s="73"/>
      <c r="D2697" s="95"/>
      <c r="E2697" s="73"/>
      <c r="F2697" s="73"/>
      <c r="G2697" s="73"/>
      <c r="H2697" s="73"/>
      <c r="I2697" s="95"/>
      <c r="J2697" s="73"/>
      <c r="K2697" s="95"/>
      <c r="L2697" s="95"/>
      <c r="M2697" s="22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</row>
    <row r="2698">
      <c r="A2698" s="26"/>
      <c r="B2698" s="73"/>
      <c r="C2698" s="73"/>
      <c r="D2698" s="95"/>
      <c r="E2698" s="73"/>
      <c r="F2698" s="73"/>
      <c r="G2698" s="73"/>
      <c r="H2698" s="73"/>
      <c r="I2698" s="95"/>
      <c r="J2698" s="73"/>
      <c r="K2698" s="95"/>
      <c r="L2698" s="95"/>
      <c r="M2698" s="22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</row>
    <row r="2699">
      <c r="A2699" s="26"/>
      <c r="B2699" s="73"/>
      <c r="C2699" s="73"/>
      <c r="D2699" s="95"/>
      <c r="E2699" s="73"/>
      <c r="F2699" s="73"/>
      <c r="G2699" s="73"/>
      <c r="H2699" s="73"/>
      <c r="I2699" s="95"/>
      <c r="J2699" s="73"/>
      <c r="K2699" s="95"/>
      <c r="L2699" s="95"/>
      <c r="M2699" s="22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</row>
    <row r="2700">
      <c r="A2700" s="26"/>
      <c r="B2700" s="73"/>
      <c r="C2700" s="73"/>
      <c r="D2700" s="95"/>
      <c r="E2700" s="73"/>
      <c r="F2700" s="73"/>
      <c r="G2700" s="73"/>
      <c r="H2700" s="73"/>
      <c r="I2700" s="95"/>
      <c r="J2700" s="73"/>
      <c r="K2700" s="95"/>
      <c r="L2700" s="95"/>
      <c r="M2700" s="22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</row>
    <row r="2701">
      <c r="A2701" s="26"/>
      <c r="B2701" s="73"/>
      <c r="C2701" s="73"/>
      <c r="D2701" s="95"/>
      <c r="E2701" s="73"/>
      <c r="F2701" s="73"/>
      <c r="G2701" s="73"/>
      <c r="H2701" s="73"/>
      <c r="I2701" s="95"/>
      <c r="J2701" s="73"/>
      <c r="K2701" s="95"/>
      <c r="L2701" s="95"/>
      <c r="M2701" s="22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</row>
    <row r="2702">
      <c r="A2702" s="26"/>
      <c r="B2702" s="73"/>
      <c r="C2702" s="73"/>
      <c r="D2702" s="95"/>
      <c r="E2702" s="73"/>
      <c r="F2702" s="73"/>
      <c r="G2702" s="73"/>
      <c r="H2702" s="73"/>
      <c r="I2702" s="95"/>
      <c r="J2702" s="73"/>
      <c r="K2702" s="95"/>
      <c r="L2702" s="95"/>
      <c r="M2702" s="22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</row>
    <row r="2703">
      <c r="A2703" s="26"/>
      <c r="B2703" s="73"/>
      <c r="C2703" s="73"/>
      <c r="D2703" s="95"/>
      <c r="E2703" s="73"/>
      <c r="F2703" s="73"/>
      <c r="G2703" s="73"/>
      <c r="H2703" s="73"/>
      <c r="I2703" s="95"/>
      <c r="J2703" s="73"/>
      <c r="K2703" s="95"/>
      <c r="L2703" s="95"/>
      <c r="M2703" s="22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</row>
    <row r="2704">
      <c r="A2704" s="26"/>
      <c r="B2704" s="73"/>
      <c r="C2704" s="73"/>
      <c r="D2704" s="95"/>
      <c r="E2704" s="73"/>
      <c r="F2704" s="73"/>
      <c r="G2704" s="73"/>
      <c r="H2704" s="73"/>
      <c r="I2704" s="95"/>
      <c r="J2704" s="73"/>
      <c r="K2704" s="95"/>
      <c r="L2704" s="95"/>
      <c r="M2704" s="22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</row>
    <row r="2705">
      <c r="A2705" s="26"/>
      <c r="B2705" s="73"/>
      <c r="C2705" s="73"/>
      <c r="D2705" s="95"/>
      <c r="E2705" s="73"/>
      <c r="F2705" s="73"/>
      <c r="G2705" s="73"/>
      <c r="H2705" s="73"/>
      <c r="I2705" s="95"/>
      <c r="J2705" s="73"/>
      <c r="K2705" s="95"/>
      <c r="L2705" s="95"/>
      <c r="M2705" s="22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</row>
    <row r="2706">
      <c r="A2706" s="26"/>
      <c r="B2706" s="73"/>
      <c r="C2706" s="73"/>
      <c r="D2706" s="95"/>
      <c r="E2706" s="73"/>
      <c r="F2706" s="73"/>
      <c r="G2706" s="73"/>
      <c r="H2706" s="73"/>
      <c r="I2706" s="95"/>
      <c r="J2706" s="73"/>
      <c r="K2706" s="95"/>
      <c r="L2706" s="95"/>
      <c r="M2706" s="22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</row>
    <row r="2707">
      <c r="A2707" s="26"/>
      <c r="B2707" s="73"/>
      <c r="C2707" s="73"/>
      <c r="D2707" s="95"/>
      <c r="E2707" s="73"/>
      <c r="F2707" s="73"/>
      <c r="G2707" s="73"/>
      <c r="H2707" s="73"/>
      <c r="I2707" s="95"/>
      <c r="J2707" s="73"/>
      <c r="K2707" s="95"/>
      <c r="L2707" s="95"/>
      <c r="M2707" s="22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</row>
    <row r="2708">
      <c r="A2708" s="26"/>
      <c r="B2708" s="73"/>
      <c r="C2708" s="73"/>
      <c r="D2708" s="95"/>
      <c r="E2708" s="73"/>
      <c r="F2708" s="73"/>
      <c r="G2708" s="73"/>
      <c r="H2708" s="73"/>
      <c r="I2708" s="95"/>
      <c r="J2708" s="73"/>
      <c r="K2708" s="95"/>
      <c r="L2708" s="95"/>
      <c r="M2708" s="22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</row>
    <row r="2709">
      <c r="A2709" s="26"/>
      <c r="B2709" s="73"/>
      <c r="C2709" s="73"/>
      <c r="D2709" s="95"/>
      <c r="E2709" s="73"/>
      <c r="F2709" s="73"/>
      <c r="G2709" s="73"/>
      <c r="H2709" s="73"/>
      <c r="I2709" s="95"/>
      <c r="J2709" s="73"/>
      <c r="K2709" s="95"/>
      <c r="L2709" s="95"/>
      <c r="M2709" s="22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</row>
    <row r="2710">
      <c r="A2710" s="26"/>
      <c r="B2710" s="73"/>
      <c r="C2710" s="73"/>
      <c r="D2710" s="95"/>
      <c r="E2710" s="73"/>
      <c r="F2710" s="73"/>
      <c r="G2710" s="73"/>
      <c r="H2710" s="73"/>
      <c r="I2710" s="95"/>
      <c r="J2710" s="73"/>
      <c r="K2710" s="95"/>
      <c r="L2710" s="95"/>
      <c r="M2710" s="22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</row>
    <row r="2711">
      <c r="A2711" s="26"/>
      <c r="B2711" s="73"/>
      <c r="C2711" s="73"/>
      <c r="D2711" s="95"/>
      <c r="E2711" s="73"/>
      <c r="F2711" s="73"/>
      <c r="G2711" s="73"/>
      <c r="H2711" s="73"/>
      <c r="I2711" s="95"/>
      <c r="J2711" s="73"/>
      <c r="K2711" s="95"/>
      <c r="L2711" s="95"/>
      <c r="M2711" s="22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</row>
    <row r="2712">
      <c r="A2712" s="26"/>
      <c r="B2712" s="73"/>
      <c r="C2712" s="73"/>
      <c r="D2712" s="95"/>
      <c r="E2712" s="73"/>
      <c r="F2712" s="73"/>
      <c r="G2712" s="73"/>
      <c r="H2712" s="73"/>
      <c r="I2712" s="95"/>
      <c r="J2712" s="73"/>
      <c r="K2712" s="95"/>
      <c r="L2712" s="95"/>
      <c r="M2712" s="22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</row>
    <row r="2713">
      <c r="A2713" s="26"/>
      <c r="B2713" s="73"/>
      <c r="C2713" s="73"/>
      <c r="D2713" s="95"/>
      <c r="E2713" s="73"/>
      <c r="F2713" s="73"/>
      <c r="G2713" s="73"/>
      <c r="H2713" s="73"/>
      <c r="I2713" s="95"/>
      <c r="J2713" s="73"/>
      <c r="K2713" s="95"/>
      <c r="L2713" s="95"/>
      <c r="M2713" s="22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</row>
    <row r="2714">
      <c r="A2714" s="26"/>
      <c r="B2714" s="73"/>
      <c r="C2714" s="73"/>
      <c r="D2714" s="95"/>
      <c r="E2714" s="73"/>
      <c r="F2714" s="73"/>
      <c r="G2714" s="73"/>
      <c r="H2714" s="73"/>
      <c r="I2714" s="95"/>
      <c r="J2714" s="73"/>
      <c r="K2714" s="95"/>
      <c r="L2714" s="95"/>
      <c r="M2714" s="22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</row>
    <row r="2715">
      <c r="A2715" s="26"/>
      <c r="B2715" s="73"/>
      <c r="C2715" s="73"/>
      <c r="D2715" s="95"/>
      <c r="E2715" s="73"/>
      <c r="F2715" s="73"/>
      <c r="G2715" s="73"/>
      <c r="H2715" s="73"/>
      <c r="I2715" s="95"/>
      <c r="J2715" s="73"/>
      <c r="K2715" s="95"/>
      <c r="L2715" s="95"/>
      <c r="M2715" s="22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</row>
    <row r="2716">
      <c r="A2716" s="26"/>
      <c r="B2716" s="73"/>
      <c r="C2716" s="73"/>
      <c r="D2716" s="95"/>
      <c r="E2716" s="73"/>
      <c r="F2716" s="73"/>
      <c r="G2716" s="73"/>
      <c r="H2716" s="73"/>
      <c r="I2716" s="95"/>
      <c r="J2716" s="73"/>
      <c r="K2716" s="95"/>
      <c r="L2716" s="95"/>
      <c r="M2716" s="22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</row>
    <row r="2717">
      <c r="A2717" s="26"/>
      <c r="B2717" s="73"/>
      <c r="C2717" s="73"/>
      <c r="D2717" s="95"/>
      <c r="E2717" s="73"/>
      <c r="F2717" s="73"/>
      <c r="G2717" s="73"/>
      <c r="H2717" s="73"/>
      <c r="I2717" s="95"/>
      <c r="J2717" s="73"/>
      <c r="K2717" s="95"/>
      <c r="L2717" s="95"/>
      <c r="M2717" s="22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</row>
    <row r="2718">
      <c r="A2718" s="26"/>
      <c r="B2718" s="73"/>
      <c r="C2718" s="73"/>
      <c r="D2718" s="95"/>
      <c r="E2718" s="73"/>
      <c r="F2718" s="73"/>
      <c r="G2718" s="73"/>
      <c r="H2718" s="73"/>
      <c r="I2718" s="95"/>
      <c r="J2718" s="73"/>
      <c r="K2718" s="95"/>
      <c r="L2718" s="95"/>
      <c r="M2718" s="22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</row>
    <row r="2719">
      <c r="A2719" s="26"/>
      <c r="B2719" s="73"/>
      <c r="C2719" s="73"/>
      <c r="D2719" s="95"/>
      <c r="E2719" s="73"/>
      <c r="F2719" s="73"/>
      <c r="G2719" s="73"/>
      <c r="H2719" s="73"/>
      <c r="I2719" s="95"/>
      <c r="J2719" s="73"/>
      <c r="K2719" s="95"/>
      <c r="L2719" s="95"/>
      <c r="M2719" s="22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</row>
    <row r="2720">
      <c r="A2720" s="26"/>
      <c r="B2720" s="73"/>
      <c r="C2720" s="73"/>
      <c r="D2720" s="95"/>
      <c r="E2720" s="73"/>
      <c r="F2720" s="73"/>
      <c r="G2720" s="73"/>
      <c r="H2720" s="73"/>
      <c r="I2720" s="95"/>
      <c r="J2720" s="73"/>
      <c r="K2720" s="95"/>
      <c r="L2720" s="95"/>
      <c r="M2720" s="22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</row>
    <row r="2721">
      <c r="A2721" s="26"/>
      <c r="B2721" s="73"/>
      <c r="C2721" s="73"/>
      <c r="D2721" s="95"/>
      <c r="E2721" s="73"/>
      <c r="F2721" s="73"/>
      <c r="G2721" s="73"/>
      <c r="H2721" s="73"/>
      <c r="I2721" s="95"/>
      <c r="J2721" s="73"/>
      <c r="K2721" s="95"/>
      <c r="L2721" s="95"/>
      <c r="M2721" s="22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</row>
    <row r="2722">
      <c r="A2722" s="26"/>
      <c r="B2722" s="73"/>
      <c r="C2722" s="73"/>
      <c r="D2722" s="95"/>
      <c r="E2722" s="73"/>
      <c r="F2722" s="73"/>
      <c r="G2722" s="73"/>
      <c r="H2722" s="73"/>
      <c r="I2722" s="95"/>
      <c r="J2722" s="73"/>
      <c r="K2722" s="95"/>
      <c r="L2722" s="95"/>
      <c r="M2722" s="22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</row>
    <row r="2723">
      <c r="A2723" s="26"/>
      <c r="B2723" s="73"/>
      <c r="C2723" s="73"/>
      <c r="D2723" s="95"/>
      <c r="E2723" s="73"/>
      <c r="F2723" s="73"/>
      <c r="G2723" s="73"/>
      <c r="H2723" s="73"/>
      <c r="I2723" s="95"/>
      <c r="J2723" s="73"/>
      <c r="K2723" s="95"/>
      <c r="L2723" s="95"/>
      <c r="M2723" s="22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</row>
    <row r="2724">
      <c r="A2724" s="26"/>
      <c r="B2724" s="73"/>
      <c r="C2724" s="73"/>
      <c r="D2724" s="95"/>
      <c r="E2724" s="73"/>
      <c r="F2724" s="73"/>
      <c r="G2724" s="73"/>
      <c r="H2724" s="73"/>
      <c r="I2724" s="95"/>
      <c r="J2724" s="73"/>
      <c r="K2724" s="95"/>
      <c r="L2724" s="95"/>
      <c r="M2724" s="22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</row>
    <row r="2725">
      <c r="A2725" s="26"/>
      <c r="B2725" s="73"/>
      <c r="C2725" s="73"/>
      <c r="D2725" s="95"/>
      <c r="E2725" s="73"/>
      <c r="F2725" s="73"/>
      <c r="G2725" s="73"/>
      <c r="H2725" s="73"/>
      <c r="I2725" s="95"/>
      <c r="J2725" s="73"/>
      <c r="K2725" s="95"/>
      <c r="L2725" s="95"/>
      <c r="M2725" s="22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</row>
    <row r="2726">
      <c r="A2726" s="26"/>
      <c r="B2726" s="73"/>
      <c r="C2726" s="73"/>
      <c r="D2726" s="95"/>
      <c r="E2726" s="73"/>
      <c r="F2726" s="73"/>
      <c r="G2726" s="73"/>
      <c r="H2726" s="73"/>
      <c r="I2726" s="95"/>
      <c r="J2726" s="73"/>
      <c r="K2726" s="95"/>
      <c r="L2726" s="95"/>
      <c r="M2726" s="22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</row>
    <row r="2727">
      <c r="A2727" s="26"/>
      <c r="B2727" s="73"/>
      <c r="C2727" s="73"/>
      <c r="D2727" s="95"/>
      <c r="E2727" s="73"/>
      <c r="F2727" s="73"/>
      <c r="G2727" s="73"/>
      <c r="H2727" s="73"/>
      <c r="I2727" s="95"/>
      <c r="J2727" s="73"/>
      <c r="K2727" s="95"/>
      <c r="L2727" s="95"/>
      <c r="M2727" s="22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</row>
    <row r="2728">
      <c r="A2728" s="26"/>
      <c r="B2728" s="73"/>
      <c r="C2728" s="73"/>
      <c r="D2728" s="95"/>
      <c r="E2728" s="73"/>
      <c r="F2728" s="73"/>
      <c r="G2728" s="73"/>
      <c r="H2728" s="73"/>
      <c r="I2728" s="95"/>
      <c r="J2728" s="73"/>
      <c r="K2728" s="95"/>
      <c r="L2728" s="95"/>
      <c r="M2728" s="22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</row>
    <row r="2729">
      <c r="A2729" s="26"/>
      <c r="B2729" s="73"/>
      <c r="C2729" s="73"/>
      <c r="D2729" s="95"/>
      <c r="E2729" s="73"/>
      <c r="F2729" s="73"/>
      <c r="G2729" s="73"/>
      <c r="H2729" s="73"/>
      <c r="I2729" s="95"/>
      <c r="J2729" s="73"/>
      <c r="K2729" s="95"/>
      <c r="L2729" s="95"/>
      <c r="M2729" s="22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</row>
    <row r="2730">
      <c r="A2730" s="26"/>
      <c r="B2730" s="73"/>
      <c r="C2730" s="73"/>
      <c r="D2730" s="95"/>
      <c r="E2730" s="73"/>
      <c r="F2730" s="73"/>
      <c r="G2730" s="73"/>
      <c r="H2730" s="73"/>
      <c r="I2730" s="95"/>
      <c r="J2730" s="73"/>
      <c r="K2730" s="95"/>
      <c r="L2730" s="95"/>
      <c r="M2730" s="22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</row>
    <row r="2731">
      <c r="A2731" s="26"/>
      <c r="B2731" s="73"/>
      <c r="C2731" s="73"/>
      <c r="D2731" s="95"/>
      <c r="E2731" s="73"/>
      <c r="F2731" s="73"/>
      <c r="G2731" s="73"/>
      <c r="H2731" s="73"/>
      <c r="I2731" s="95"/>
      <c r="J2731" s="73"/>
      <c r="K2731" s="95"/>
      <c r="L2731" s="95"/>
      <c r="M2731" s="22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</row>
    <row r="2732">
      <c r="A2732" s="26"/>
      <c r="B2732" s="73"/>
      <c r="C2732" s="73"/>
      <c r="D2732" s="95"/>
      <c r="E2732" s="73"/>
      <c r="F2732" s="73"/>
      <c r="G2732" s="73"/>
      <c r="H2732" s="73"/>
      <c r="I2732" s="95"/>
      <c r="J2732" s="73"/>
      <c r="K2732" s="95"/>
      <c r="L2732" s="95"/>
      <c r="M2732" s="22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</row>
    <row r="2733">
      <c r="A2733" s="26"/>
      <c r="B2733" s="73"/>
      <c r="C2733" s="73"/>
      <c r="D2733" s="95"/>
      <c r="E2733" s="73"/>
      <c r="F2733" s="73"/>
      <c r="G2733" s="73"/>
      <c r="H2733" s="73"/>
      <c r="I2733" s="95"/>
      <c r="J2733" s="73"/>
      <c r="K2733" s="95"/>
      <c r="L2733" s="95"/>
      <c r="M2733" s="22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</row>
    <row r="2734">
      <c r="A2734" s="26"/>
      <c r="B2734" s="73"/>
      <c r="C2734" s="73"/>
      <c r="D2734" s="95"/>
      <c r="E2734" s="73"/>
      <c r="F2734" s="73"/>
      <c r="G2734" s="73"/>
      <c r="H2734" s="73"/>
      <c r="I2734" s="95"/>
      <c r="J2734" s="73"/>
      <c r="K2734" s="95"/>
      <c r="L2734" s="95"/>
      <c r="M2734" s="22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</row>
    <row r="2735">
      <c r="A2735" s="26"/>
      <c r="B2735" s="73"/>
      <c r="C2735" s="73"/>
      <c r="D2735" s="95"/>
      <c r="E2735" s="73"/>
      <c r="F2735" s="73"/>
      <c r="G2735" s="73"/>
      <c r="H2735" s="73"/>
      <c r="I2735" s="95"/>
      <c r="J2735" s="73"/>
      <c r="K2735" s="95"/>
      <c r="L2735" s="95"/>
      <c r="M2735" s="22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</row>
    <row r="2736">
      <c r="A2736" s="26"/>
      <c r="B2736" s="73"/>
      <c r="C2736" s="73"/>
      <c r="D2736" s="95"/>
      <c r="E2736" s="73"/>
      <c r="F2736" s="73"/>
      <c r="G2736" s="73"/>
      <c r="H2736" s="73"/>
      <c r="I2736" s="95"/>
      <c r="J2736" s="73"/>
      <c r="K2736" s="95"/>
      <c r="L2736" s="95"/>
      <c r="M2736" s="22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</row>
    <row r="2737">
      <c r="A2737" s="26"/>
      <c r="B2737" s="73"/>
      <c r="C2737" s="73"/>
      <c r="D2737" s="95"/>
      <c r="E2737" s="73"/>
      <c r="F2737" s="73"/>
      <c r="G2737" s="73"/>
      <c r="H2737" s="73"/>
      <c r="I2737" s="95"/>
      <c r="J2737" s="73"/>
      <c r="K2737" s="95"/>
      <c r="L2737" s="95"/>
      <c r="M2737" s="22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</row>
    <row r="2738">
      <c r="A2738" s="26"/>
      <c r="B2738" s="73"/>
      <c r="C2738" s="73"/>
      <c r="D2738" s="95"/>
      <c r="E2738" s="73"/>
      <c r="F2738" s="73"/>
      <c r="G2738" s="73"/>
      <c r="H2738" s="73"/>
      <c r="I2738" s="95"/>
      <c r="J2738" s="73"/>
      <c r="K2738" s="95"/>
      <c r="L2738" s="95"/>
      <c r="M2738" s="22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</row>
    <row r="2739">
      <c r="A2739" s="26"/>
      <c r="B2739" s="73"/>
      <c r="C2739" s="73"/>
      <c r="D2739" s="95"/>
      <c r="E2739" s="73"/>
      <c r="F2739" s="73"/>
      <c r="G2739" s="73"/>
      <c r="H2739" s="73"/>
      <c r="I2739" s="95"/>
      <c r="J2739" s="73"/>
      <c r="K2739" s="95"/>
      <c r="L2739" s="95"/>
      <c r="M2739" s="22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</row>
    <row r="2740">
      <c r="A2740" s="26"/>
      <c r="B2740" s="73"/>
      <c r="C2740" s="73"/>
      <c r="D2740" s="95"/>
      <c r="E2740" s="73"/>
      <c r="F2740" s="73"/>
      <c r="G2740" s="73"/>
      <c r="H2740" s="73"/>
      <c r="I2740" s="95"/>
      <c r="J2740" s="73"/>
      <c r="K2740" s="95"/>
      <c r="L2740" s="95"/>
      <c r="M2740" s="22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</row>
    <row r="2741">
      <c r="A2741" s="26"/>
      <c r="B2741" s="73"/>
      <c r="C2741" s="73"/>
      <c r="D2741" s="95"/>
      <c r="E2741" s="73"/>
      <c r="F2741" s="73"/>
      <c r="G2741" s="73"/>
      <c r="H2741" s="73"/>
      <c r="I2741" s="95"/>
      <c r="J2741" s="73"/>
      <c r="K2741" s="95"/>
      <c r="L2741" s="95"/>
      <c r="M2741" s="22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</row>
    <row r="2742">
      <c r="A2742" s="26"/>
      <c r="B2742" s="73"/>
      <c r="C2742" s="73"/>
      <c r="D2742" s="95"/>
      <c r="E2742" s="73"/>
      <c r="F2742" s="73"/>
      <c r="G2742" s="73"/>
      <c r="H2742" s="73"/>
      <c r="I2742" s="95"/>
      <c r="J2742" s="73"/>
      <c r="K2742" s="95"/>
      <c r="L2742" s="95"/>
      <c r="M2742" s="22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</row>
    <row r="2743">
      <c r="A2743" s="26"/>
      <c r="B2743" s="73"/>
      <c r="C2743" s="73"/>
      <c r="D2743" s="95"/>
      <c r="E2743" s="73"/>
      <c r="F2743" s="73"/>
      <c r="G2743" s="73"/>
      <c r="H2743" s="73"/>
      <c r="I2743" s="95"/>
      <c r="J2743" s="73"/>
      <c r="K2743" s="95"/>
      <c r="L2743" s="95"/>
      <c r="M2743" s="22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</row>
    <row r="2744">
      <c r="A2744" s="26"/>
      <c r="B2744" s="73"/>
      <c r="C2744" s="73"/>
      <c r="D2744" s="95"/>
      <c r="E2744" s="73"/>
      <c r="F2744" s="73"/>
      <c r="G2744" s="73"/>
      <c r="H2744" s="73"/>
      <c r="I2744" s="95"/>
      <c r="J2744" s="73"/>
      <c r="K2744" s="95"/>
      <c r="L2744" s="95"/>
      <c r="M2744" s="22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</row>
    <row r="2745">
      <c r="A2745" s="26"/>
      <c r="B2745" s="73"/>
      <c r="C2745" s="73"/>
      <c r="D2745" s="95"/>
      <c r="E2745" s="73"/>
      <c r="F2745" s="73"/>
      <c r="G2745" s="73"/>
      <c r="H2745" s="73"/>
      <c r="I2745" s="95"/>
      <c r="J2745" s="73"/>
      <c r="K2745" s="95"/>
      <c r="L2745" s="95"/>
      <c r="M2745" s="22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</row>
    <row r="2746">
      <c r="A2746" s="26"/>
      <c r="B2746" s="73"/>
      <c r="C2746" s="73"/>
      <c r="D2746" s="95"/>
      <c r="E2746" s="73"/>
      <c r="F2746" s="73"/>
      <c r="G2746" s="73"/>
      <c r="H2746" s="73"/>
      <c r="I2746" s="95"/>
      <c r="J2746" s="73"/>
      <c r="K2746" s="95"/>
      <c r="L2746" s="95"/>
      <c r="M2746" s="22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</row>
    <row r="2747">
      <c r="A2747" s="26"/>
      <c r="B2747" s="73"/>
      <c r="C2747" s="73"/>
      <c r="D2747" s="95"/>
      <c r="E2747" s="73"/>
      <c r="F2747" s="73"/>
      <c r="G2747" s="73"/>
      <c r="H2747" s="73"/>
      <c r="I2747" s="95"/>
      <c r="J2747" s="73"/>
      <c r="K2747" s="95"/>
      <c r="L2747" s="95"/>
      <c r="M2747" s="22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</row>
    <row r="2748">
      <c r="A2748" s="26"/>
      <c r="B2748" s="73"/>
      <c r="C2748" s="73"/>
      <c r="D2748" s="95"/>
      <c r="E2748" s="73"/>
      <c r="F2748" s="73"/>
      <c r="G2748" s="73"/>
      <c r="H2748" s="73"/>
      <c r="I2748" s="95"/>
      <c r="J2748" s="73"/>
      <c r="K2748" s="95"/>
      <c r="L2748" s="95"/>
      <c r="M2748" s="22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</row>
    <row r="2749">
      <c r="A2749" s="26"/>
      <c r="B2749" s="73"/>
      <c r="C2749" s="73"/>
      <c r="D2749" s="95"/>
      <c r="E2749" s="73"/>
      <c r="F2749" s="73"/>
      <c r="G2749" s="73"/>
      <c r="H2749" s="73"/>
      <c r="I2749" s="95"/>
      <c r="J2749" s="73"/>
      <c r="K2749" s="95"/>
      <c r="L2749" s="95"/>
      <c r="M2749" s="22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</row>
    <row r="2750">
      <c r="A2750" s="26"/>
      <c r="B2750" s="73"/>
      <c r="C2750" s="73"/>
      <c r="D2750" s="95"/>
      <c r="E2750" s="73"/>
      <c r="F2750" s="73"/>
      <c r="G2750" s="73"/>
      <c r="H2750" s="73"/>
      <c r="I2750" s="95"/>
      <c r="J2750" s="73"/>
      <c r="K2750" s="95"/>
      <c r="L2750" s="95"/>
      <c r="M2750" s="22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</row>
    <row r="2751">
      <c r="A2751" s="26"/>
      <c r="B2751" s="73"/>
      <c r="C2751" s="73"/>
      <c r="D2751" s="95"/>
      <c r="E2751" s="73"/>
      <c r="F2751" s="73"/>
      <c r="G2751" s="73"/>
      <c r="H2751" s="73"/>
      <c r="I2751" s="95"/>
      <c r="J2751" s="73"/>
      <c r="K2751" s="95"/>
      <c r="L2751" s="95"/>
      <c r="M2751" s="22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</row>
    <row r="2752">
      <c r="A2752" s="26"/>
      <c r="B2752" s="73"/>
      <c r="C2752" s="73"/>
      <c r="D2752" s="95"/>
      <c r="E2752" s="73"/>
      <c r="F2752" s="73"/>
      <c r="G2752" s="73"/>
      <c r="H2752" s="73"/>
      <c r="I2752" s="95"/>
      <c r="J2752" s="73"/>
      <c r="K2752" s="95"/>
      <c r="L2752" s="95"/>
      <c r="M2752" s="22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</row>
    <row r="2753">
      <c r="A2753" s="26"/>
      <c r="B2753" s="73"/>
      <c r="C2753" s="73"/>
      <c r="D2753" s="95"/>
      <c r="E2753" s="73"/>
      <c r="F2753" s="73"/>
      <c r="G2753" s="73"/>
      <c r="H2753" s="73"/>
      <c r="I2753" s="95"/>
      <c r="J2753" s="73"/>
      <c r="K2753" s="95"/>
      <c r="L2753" s="95"/>
      <c r="M2753" s="22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</row>
    <row r="2754">
      <c r="A2754" s="26"/>
      <c r="B2754" s="73"/>
      <c r="C2754" s="73"/>
      <c r="D2754" s="95"/>
      <c r="E2754" s="73"/>
      <c r="F2754" s="73"/>
      <c r="G2754" s="73"/>
      <c r="H2754" s="73"/>
      <c r="I2754" s="95"/>
      <c r="J2754" s="73"/>
      <c r="K2754" s="95"/>
      <c r="L2754" s="95"/>
      <c r="M2754" s="22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</row>
    <row r="2755">
      <c r="A2755" s="26"/>
      <c r="B2755" s="73"/>
      <c r="C2755" s="73"/>
      <c r="D2755" s="95"/>
      <c r="E2755" s="73"/>
      <c r="F2755" s="73"/>
      <c r="G2755" s="73"/>
      <c r="H2755" s="73"/>
      <c r="I2755" s="95"/>
      <c r="J2755" s="73"/>
      <c r="K2755" s="95"/>
      <c r="L2755" s="95"/>
      <c r="M2755" s="22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</row>
    <row r="2756">
      <c r="A2756" s="26"/>
      <c r="B2756" s="73"/>
      <c r="C2756" s="73"/>
      <c r="D2756" s="95"/>
      <c r="E2756" s="73"/>
      <c r="F2756" s="73"/>
      <c r="G2756" s="73"/>
      <c r="H2756" s="73"/>
      <c r="I2756" s="95"/>
      <c r="J2756" s="73"/>
      <c r="K2756" s="95"/>
      <c r="L2756" s="95"/>
      <c r="M2756" s="22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</row>
    <row r="2757">
      <c r="A2757" s="26"/>
      <c r="B2757" s="73"/>
      <c r="C2757" s="73"/>
      <c r="D2757" s="95"/>
      <c r="E2757" s="73"/>
      <c r="F2757" s="73"/>
      <c r="G2757" s="73"/>
      <c r="H2757" s="73"/>
      <c r="I2757" s="95"/>
      <c r="J2757" s="73"/>
      <c r="K2757" s="95"/>
      <c r="L2757" s="95"/>
      <c r="M2757" s="22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</row>
    <row r="2758">
      <c r="A2758" s="26"/>
      <c r="B2758" s="73"/>
      <c r="C2758" s="73"/>
      <c r="D2758" s="95"/>
      <c r="E2758" s="73"/>
      <c r="F2758" s="73"/>
      <c r="G2758" s="73"/>
      <c r="H2758" s="73"/>
      <c r="I2758" s="95"/>
      <c r="J2758" s="73"/>
      <c r="K2758" s="95"/>
      <c r="L2758" s="95"/>
      <c r="M2758" s="22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</row>
    <row r="2759">
      <c r="A2759" s="26"/>
      <c r="B2759" s="73"/>
      <c r="C2759" s="73"/>
      <c r="D2759" s="95"/>
      <c r="E2759" s="73"/>
      <c r="F2759" s="73"/>
      <c r="G2759" s="73"/>
      <c r="H2759" s="73"/>
      <c r="I2759" s="95"/>
      <c r="J2759" s="73"/>
      <c r="K2759" s="95"/>
      <c r="L2759" s="95"/>
      <c r="M2759" s="22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</row>
    <row r="2760">
      <c r="A2760" s="26"/>
      <c r="B2760" s="73"/>
      <c r="C2760" s="73"/>
      <c r="D2760" s="95"/>
      <c r="E2760" s="73"/>
      <c r="F2760" s="73"/>
      <c r="G2760" s="73"/>
      <c r="H2760" s="73"/>
      <c r="I2760" s="95"/>
      <c r="J2760" s="73"/>
      <c r="K2760" s="95"/>
      <c r="L2760" s="95"/>
      <c r="M2760" s="22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</row>
    <row r="2761">
      <c r="A2761" s="26"/>
      <c r="B2761" s="73"/>
      <c r="C2761" s="73"/>
      <c r="D2761" s="95"/>
      <c r="E2761" s="73"/>
      <c r="F2761" s="73"/>
      <c r="G2761" s="73"/>
      <c r="H2761" s="73"/>
      <c r="I2761" s="95"/>
      <c r="J2761" s="73"/>
      <c r="K2761" s="95"/>
      <c r="L2761" s="95"/>
      <c r="M2761" s="22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</row>
    <row r="2762">
      <c r="A2762" s="26"/>
      <c r="B2762" s="73"/>
      <c r="C2762" s="73"/>
      <c r="D2762" s="95"/>
      <c r="E2762" s="73"/>
      <c r="F2762" s="73"/>
      <c r="G2762" s="73"/>
      <c r="H2762" s="73"/>
      <c r="I2762" s="95"/>
      <c r="J2762" s="73"/>
      <c r="K2762" s="95"/>
      <c r="L2762" s="95"/>
      <c r="M2762" s="22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</row>
    <row r="2763">
      <c r="A2763" s="26"/>
      <c r="B2763" s="73"/>
      <c r="C2763" s="73"/>
      <c r="D2763" s="95"/>
      <c r="E2763" s="73"/>
      <c r="F2763" s="73"/>
      <c r="G2763" s="73"/>
      <c r="H2763" s="73"/>
      <c r="I2763" s="95"/>
      <c r="J2763" s="73"/>
      <c r="K2763" s="95"/>
      <c r="L2763" s="95"/>
      <c r="M2763" s="22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</row>
    <row r="2764">
      <c r="A2764" s="26"/>
      <c r="B2764" s="73"/>
      <c r="C2764" s="73"/>
      <c r="D2764" s="95"/>
      <c r="E2764" s="73"/>
      <c r="F2764" s="73"/>
      <c r="G2764" s="73"/>
      <c r="H2764" s="73"/>
      <c r="I2764" s="95"/>
      <c r="J2764" s="73"/>
      <c r="K2764" s="95"/>
      <c r="L2764" s="95"/>
      <c r="M2764" s="22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</row>
    <row r="2765">
      <c r="A2765" s="26"/>
      <c r="B2765" s="73"/>
      <c r="C2765" s="73"/>
      <c r="D2765" s="95"/>
      <c r="E2765" s="73"/>
      <c r="F2765" s="73"/>
      <c r="G2765" s="73"/>
      <c r="H2765" s="73"/>
      <c r="I2765" s="95"/>
      <c r="J2765" s="73"/>
      <c r="K2765" s="95"/>
      <c r="L2765" s="95"/>
      <c r="M2765" s="22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</row>
    <row r="2766">
      <c r="A2766" s="26"/>
      <c r="B2766" s="73"/>
      <c r="C2766" s="73"/>
      <c r="D2766" s="95"/>
      <c r="E2766" s="73"/>
      <c r="F2766" s="73"/>
      <c r="G2766" s="73"/>
      <c r="H2766" s="73"/>
      <c r="I2766" s="95"/>
      <c r="J2766" s="73"/>
      <c r="K2766" s="95"/>
      <c r="L2766" s="95"/>
      <c r="M2766" s="22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</row>
    <row r="2767">
      <c r="A2767" s="26"/>
      <c r="B2767" s="73"/>
      <c r="C2767" s="73"/>
      <c r="D2767" s="95"/>
      <c r="E2767" s="73"/>
      <c r="F2767" s="73"/>
      <c r="G2767" s="73"/>
      <c r="H2767" s="73"/>
      <c r="I2767" s="95"/>
      <c r="J2767" s="73"/>
      <c r="K2767" s="95"/>
      <c r="L2767" s="95"/>
      <c r="M2767" s="22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</row>
    <row r="2768">
      <c r="A2768" s="26"/>
      <c r="B2768" s="73"/>
      <c r="C2768" s="73"/>
      <c r="D2768" s="95"/>
      <c r="E2768" s="73"/>
      <c r="F2768" s="73"/>
      <c r="G2768" s="73"/>
      <c r="H2768" s="73"/>
      <c r="I2768" s="95"/>
      <c r="J2768" s="73"/>
      <c r="K2768" s="95"/>
      <c r="L2768" s="95"/>
      <c r="M2768" s="22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</row>
    <row r="2769">
      <c r="A2769" s="26"/>
      <c r="B2769" s="73"/>
      <c r="C2769" s="73"/>
      <c r="D2769" s="95"/>
      <c r="E2769" s="73"/>
      <c r="F2769" s="73"/>
      <c r="G2769" s="73"/>
      <c r="H2769" s="73"/>
      <c r="I2769" s="95"/>
      <c r="J2769" s="73"/>
      <c r="K2769" s="95"/>
      <c r="L2769" s="95"/>
      <c r="M2769" s="22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</row>
    <row r="2770">
      <c r="A2770" s="26"/>
      <c r="B2770" s="73"/>
      <c r="C2770" s="73"/>
      <c r="D2770" s="95"/>
      <c r="E2770" s="73"/>
      <c r="F2770" s="73"/>
      <c r="G2770" s="73"/>
      <c r="H2770" s="73"/>
      <c r="I2770" s="95"/>
      <c r="J2770" s="73"/>
      <c r="K2770" s="95"/>
      <c r="L2770" s="95"/>
      <c r="M2770" s="22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</row>
    <row r="2771">
      <c r="A2771" s="26"/>
      <c r="B2771" s="73"/>
      <c r="C2771" s="73"/>
      <c r="D2771" s="95"/>
      <c r="E2771" s="73"/>
      <c r="F2771" s="73"/>
      <c r="G2771" s="73"/>
      <c r="H2771" s="73"/>
      <c r="I2771" s="95"/>
      <c r="J2771" s="73"/>
      <c r="K2771" s="95"/>
      <c r="L2771" s="95"/>
      <c r="M2771" s="22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</row>
    <row r="2772">
      <c r="A2772" s="26"/>
      <c r="B2772" s="73"/>
      <c r="C2772" s="73"/>
      <c r="D2772" s="95"/>
      <c r="E2772" s="73"/>
      <c r="F2772" s="73"/>
      <c r="G2772" s="73"/>
      <c r="H2772" s="73"/>
      <c r="I2772" s="95"/>
      <c r="J2772" s="73"/>
      <c r="K2772" s="95"/>
      <c r="L2772" s="95"/>
      <c r="M2772" s="22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</row>
    <row r="2773">
      <c r="A2773" s="26"/>
      <c r="B2773" s="73"/>
      <c r="C2773" s="73"/>
      <c r="D2773" s="95"/>
      <c r="E2773" s="73"/>
      <c r="F2773" s="73"/>
      <c r="G2773" s="73"/>
      <c r="H2773" s="73"/>
      <c r="I2773" s="95"/>
      <c r="J2773" s="73"/>
      <c r="K2773" s="95"/>
      <c r="L2773" s="95"/>
      <c r="M2773" s="22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</row>
    <row r="2774">
      <c r="A2774" s="26"/>
      <c r="B2774" s="73"/>
      <c r="C2774" s="73"/>
      <c r="D2774" s="95"/>
      <c r="E2774" s="73"/>
      <c r="F2774" s="73"/>
      <c r="G2774" s="73"/>
      <c r="H2774" s="73"/>
      <c r="I2774" s="95"/>
      <c r="J2774" s="73"/>
      <c r="K2774" s="95"/>
      <c r="L2774" s="95"/>
      <c r="M2774" s="22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</row>
    <row r="2775">
      <c r="A2775" s="26"/>
      <c r="B2775" s="73"/>
      <c r="C2775" s="73"/>
      <c r="D2775" s="95"/>
      <c r="E2775" s="73"/>
      <c r="F2775" s="73"/>
      <c r="G2775" s="73"/>
      <c r="H2775" s="73"/>
      <c r="I2775" s="95"/>
      <c r="J2775" s="73"/>
      <c r="K2775" s="95"/>
      <c r="L2775" s="95"/>
      <c r="M2775" s="22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</row>
    <row r="2776">
      <c r="A2776" s="26"/>
      <c r="B2776" s="73"/>
      <c r="C2776" s="73"/>
      <c r="D2776" s="95"/>
      <c r="E2776" s="73"/>
      <c r="F2776" s="73"/>
      <c r="G2776" s="73"/>
      <c r="H2776" s="73"/>
      <c r="I2776" s="95"/>
      <c r="J2776" s="73"/>
      <c r="K2776" s="95"/>
      <c r="L2776" s="95"/>
      <c r="M2776" s="22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</row>
    <row r="2777">
      <c r="A2777" s="26"/>
      <c r="B2777" s="73"/>
      <c r="C2777" s="73"/>
      <c r="D2777" s="95"/>
      <c r="E2777" s="73"/>
      <c r="F2777" s="73"/>
      <c r="G2777" s="73"/>
      <c r="H2777" s="73"/>
      <c r="I2777" s="95"/>
      <c r="J2777" s="73"/>
      <c r="K2777" s="95"/>
      <c r="L2777" s="95"/>
      <c r="M2777" s="22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</row>
    <row r="2778">
      <c r="A2778" s="26"/>
      <c r="B2778" s="73"/>
      <c r="C2778" s="73"/>
      <c r="D2778" s="95"/>
      <c r="E2778" s="73"/>
      <c r="F2778" s="73"/>
      <c r="G2778" s="73"/>
      <c r="H2778" s="73"/>
      <c r="I2778" s="95"/>
      <c r="J2778" s="73"/>
      <c r="K2778" s="95"/>
      <c r="L2778" s="95"/>
      <c r="M2778" s="22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</row>
    <row r="2779">
      <c r="A2779" s="26"/>
      <c r="B2779" s="73"/>
      <c r="C2779" s="73"/>
      <c r="D2779" s="95"/>
      <c r="E2779" s="73"/>
      <c r="F2779" s="73"/>
      <c r="G2779" s="73"/>
      <c r="H2779" s="73"/>
      <c r="I2779" s="95"/>
      <c r="J2779" s="73"/>
      <c r="K2779" s="95"/>
      <c r="L2779" s="95"/>
      <c r="M2779" s="22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</row>
    <row r="2780">
      <c r="A2780" s="26"/>
      <c r="B2780" s="73"/>
      <c r="C2780" s="73"/>
      <c r="D2780" s="95"/>
      <c r="E2780" s="73"/>
      <c r="F2780" s="73"/>
      <c r="G2780" s="73"/>
      <c r="H2780" s="73"/>
      <c r="I2780" s="95"/>
      <c r="J2780" s="73"/>
      <c r="K2780" s="95"/>
      <c r="L2780" s="95"/>
      <c r="M2780" s="22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</row>
    <row r="2781">
      <c r="A2781" s="26"/>
      <c r="B2781" s="73"/>
      <c r="C2781" s="73"/>
      <c r="D2781" s="95"/>
      <c r="E2781" s="73"/>
      <c r="F2781" s="73"/>
      <c r="G2781" s="73"/>
      <c r="H2781" s="73"/>
      <c r="I2781" s="95"/>
      <c r="J2781" s="73"/>
      <c r="K2781" s="95"/>
      <c r="L2781" s="95"/>
      <c r="M2781" s="22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</row>
    <row r="2782">
      <c r="A2782" s="26"/>
      <c r="B2782" s="73"/>
      <c r="C2782" s="73"/>
      <c r="D2782" s="95"/>
      <c r="E2782" s="73"/>
      <c r="F2782" s="73"/>
      <c r="G2782" s="73"/>
      <c r="H2782" s="73"/>
      <c r="I2782" s="95"/>
      <c r="J2782" s="73"/>
      <c r="K2782" s="95"/>
      <c r="L2782" s="95"/>
      <c r="M2782" s="22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</row>
    <row r="2783">
      <c r="A2783" s="26"/>
      <c r="B2783" s="73"/>
      <c r="C2783" s="73"/>
      <c r="D2783" s="95"/>
      <c r="E2783" s="73"/>
      <c r="F2783" s="73"/>
      <c r="G2783" s="73"/>
      <c r="H2783" s="73"/>
      <c r="I2783" s="95"/>
      <c r="J2783" s="73"/>
      <c r="K2783" s="95"/>
      <c r="L2783" s="95"/>
      <c r="M2783" s="22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</row>
    <row r="2784">
      <c r="A2784" s="26"/>
      <c r="B2784" s="73"/>
      <c r="C2784" s="73"/>
      <c r="D2784" s="95"/>
      <c r="E2784" s="73"/>
      <c r="F2784" s="73"/>
      <c r="G2784" s="73"/>
      <c r="H2784" s="73"/>
      <c r="I2784" s="95"/>
      <c r="J2784" s="73"/>
      <c r="K2784" s="95"/>
      <c r="L2784" s="95"/>
      <c r="M2784" s="22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</row>
    <row r="2785">
      <c r="A2785" s="26"/>
      <c r="B2785" s="73"/>
      <c r="C2785" s="73"/>
      <c r="D2785" s="95"/>
      <c r="E2785" s="73"/>
      <c r="F2785" s="73"/>
      <c r="G2785" s="73"/>
      <c r="H2785" s="73"/>
      <c r="I2785" s="95"/>
      <c r="J2785" s="73"/>
      <c r="K2785" s="95"/>
      <c r="L2785" s="95"/>
      <c r="M2785" s="22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</row>
    <row r="2786">
      <c r="A2786" s="26"/>
      <c r="B2786" s="73"/>
      <c r="C2786" s="73"/>
      <c r="D2786" s="95"/>
      <c r="E2786" s="73"/>
      <c r="F2786" s="73"/>
      <c r="G2786" s="73"/>
      <c r="H2786" s="73"/>
      <c r="I2786" s="95"/>
      <c r="J2786" s="73"/>
      <c r="K2786" s="95"/>
      <c r="L2786" s="95"/>
      <c r="M2786" s="22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</row>
    <row r="2787">
      <c r="A2787" s="26"/>
      <c r="B2787" s="73"/>
      <c r="C2787" s="73"/>
      <c r="D2787" s="95"/>
      <c r="E2787" s="73"/>
      <c r="F2787" s="73"/>
      <c r="G2787" s="73"/>
      <c r="H2787" s="73"/>
      <c r="I2787" s="95"/>
      <c r="J2787" s="73"/>
      <c r="K2787" s="95"/>
      <c r="L2787" s="95"/>
      <c r="M2787" s="22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</row>
    <row r="2788">
      <c r="A2788" s="26"/>
      <c r="B2788" s="73"/>
      <c r="C2788" s="73"/>
      <c r="D2788" s="95"/>
      <c r="E2788" s="73"/>
      <c r="F2788" s="73"/>
      <c r="G2788" s="73"/>
      <c r="H2788" s="73"/>
      <c r="I2788" s="95"/>
      <c r="J2788" s="73"/>
      <c r="K2788" s="95"/>
      <c r="L2788" s="95"/>
      <c r="M2788" s="22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</row>
    <row r="2789">
      <c r="A2789" s="26"/>
      <c r="B2789" s="73"/>
      <c r="C2789" s="73"/>
      <c r="D2789" s="95"/>
      <c r="E2789" s="73"/>
      <c r="F2789" s="73"/>
      <c r="G2789" s="73"/>
      <c r="H2789" s="73"/>
      <c r="I2789" s="95"/>
      <c r="J2789" s="73"/>
      <c r="K2789" s="95"/>
      <c r="L2789" s="95"/>
      <c r="M2789" s="22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</row>
    <row r="2790">
      <c r="A2790" s="26"/>
      <c r="B2790" s="73"/>
      <c r="C2790" s="73"/>
      <c r="D2790" s="95"/>
      <c r="E2790" s="73"/>
      <c r="F2790" s="73"/>
      <c r="G2790" s="73"/>
      <c r="H2790" s="73"/>
      <c r="I2790" s="95"/>
      <c r="J2790" s="73"/>
      <c r="K2790" s="95"/>
      <c r="L2790" s="95"/>
      <c r="M2790" s="22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</row>
    <row r="2791">
      <c r="A2791" s="26"/>
      <c r="B2791" s="73"/>
      <c r="C2791" s="73"/>
      <c r="D2791" s="95"/>
      <c r="E2791" s="73"/>
      <c r="F2791" s="73"/>
      <c r="G2791" s="73"/>
      <c r="H2791" s="73"/>
      <c r="I2791" s="95"/>
      <c r="J2791" s="73"/>
      <c r="K2791" s="95"/>
      <c r="L2791" s="95"/>
      <c r="M2791" s="22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</row>
    <row r="2792">
      <c r="A2792" s="26"/>
      <c r="B2792" s="73"/>
      <c r="C2792" s="73"/>
      <c r="D2792" s="95"/>
      <c r="E2792" s="73"/>
      <c r="F2792" s="73"/>
      <c r="G2792" s="73"/>
      <c r="H2792" s="73"/>
      <c r="I2792" s="95"/>
      <c r="J2792" s="73"/>
      <c r="K2792" s="95"/>
      <c r="L2792" s="95"/>
      <c r="M2792" s="22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</row>
    <row r="2793">
      <c r="A2793" s="26"/>
      <c r="B2793" s="73"/>
      <c r="C2793" s="73"/>
      <c r="D2793" s="95"/>
      <c r="E2793" s="73"/>
      <c r="F2793" s="73"/>
      <c r="G2793" s="73"/>
      <c r="H2793" s="73"/>
      <c r="I2793" s="95"/>
      <c r="J2793" s="73"/>
      <c r="K2793" s="95"/>
      <c r="L2793" s="95"/>
      <c r="M2793" s="22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</row>
    <row r="2794">
      <c r="A2794" s="26"/>
      <c r="B2794" s="73"/>
      <c r="C2794" s="73"/>
      <c r="D2794" s="95"/>
      <c r="E2794" s="73"/>
      <c r="F2794" s="73"/>
      <c r="G2794" s="73"/>
      <c r="H2794" s="73"/>
      <c r="I2794" s="95"/>
      <c r="J2794" s="73"/>
      <c r="K2794" s="95"/>
      <c r="L2794" s="95"/>
      <c r="M2794" s="22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</row>
    <row r="2795">
      <c r="A2795" s="26"/>
      <c r="B2795" s="73"/>
      <c r="C2795" s="73"/>
      <c r="D2795" s="95"/>
      <c r="E2795" s="73"/>
      <c r="F2795" s="73"/>
      <c r="G2795" s="73"/>
      <c r="H2795" s="73"/>
      <c r="I2795" s="95"/>
      <c r="J2795" s="73"/>
      <c r="K2795" s="95"/>
      <c r="L2795" s="95"/>
      <c r="M2795" s="22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</row>
    <row r="2796">
      <c r="A2796" s="26"/>
      <c r="B2796" s="73"/>
      <c r="C2796" s="73"/>
      <c r="D2796" s="95"/>
      <c r="E2796" s="73"/>
      <c r="F2796" s="73"/>
      <c r="G2796" s="73"/>
      <c r="H2796" s="73"/>
      <c r="I2796" s="95"/>
      <c r="J2796" s="73"/>
      <c r="K2796" s="95"/>
      <c r="L2796" s="95"/>
      <c r="M2796" s="22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</row>
    <row r="2797">
      <c r="A2797" s="26"/>
      <c r="B2797" s="73"/>
      <c r="C2797" s="73"/>
      <c r="D2797" s="95"/>
      <c r="E2797" s="73"/>
      <c r="F2797" s="73"/>
      <c r="G2797" s="73"/>
      <c r="H2797" s="73"/>
      <c r="I2797" s="95"/>
      <c r="J2797" s="73"/>
      <c r="K2797" s="95"/>
      <c r="L2797" s="95"/>
      <c r="M2797" s="22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</row>
    <row r="2798">
      <c r="A2798" s="26"/>
      <c r="B2798" s="73"/>
      <c r="C2798" s="73"/>
      <c r="D2798" s="95"/>
      <c r="E2798" s="73"/>
      <c r="F2798" s="73"/>
      <c r="G2798" s="73"/>
      <c r="H2798" s="73"/>
      <c r="I2798" s="95"/>
      <c r="J2798" s="73"/>
      <c r="K2798" s="95"/>
      <c r="L2798" s="95"/>
      <c r="M2798" s="22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</row>
    <row r="2799">
      <c r="A2799" s="26"/>
      <c r="B2799" s="73"/>
      <c r="C2799" s="73"/>
      <c r="D2799" s="95"/>
      <c r="E2799" s="73"/>
      <c r="F2799" s="73"/>
      <c r="G2799" s="73"/>
      <c r="H2799" s="73"/>
      <c r="I2799" s="95"/>
      <c r="J2799" s="73"/>
      <c r="K2799" s="95"/>
      <c r="L2799" s="95"/>
      <c r="M2799" s="22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</row>
    <row r="2800">
      <c r="A2800" s="26"/>
      <c r="B2800" s="73"/>
      <c r="C2800" s="73"/>
      <c r="D2800" s="95"/>
      <c r="E2800" s="73"/>
      <c r="F2800" s="73"/>
      <c r="G2800" s="73"/>
      <c r="H2800" s="73"/>
      <c r="I2800" s="95"/>
      <c r="J2800" s="73"/>
      <c r="K2800" s="95"/>
      <c r="L2800" s="95"/>
      <c r="M2800" s="22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</row>
    <row r="2801">
      <c r="A2801" s="26"/>
      <c r="B2801" s="73"/>
      <c r="C2801" s="73"/>
      <c r="D2801" s="95"/>
      <c r="E2801" s="73"/>
      <c r="F2801" s="73"/>
      <c r="G2801" s="73"/>
      <c r="H2801" s="73"/>
      <c r="I2801" s="95"/>
      <c r="J2801" s="73"/>
      <c r="K2801" s="95"/>
      <c r="L2801" s="95"/>
      <c r="M2801" s="22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</row>
    <row r="2802">
      <c r="A2802" s="26"/>
      <c r="B2802" s="73"/>
      <c r="C2802" s="73"/>
      <c r="D2802" s="95"/>
      <c r="E2802" s="73"/>
      <c r="F2802" s="73"/>
      <c r="G2802" s="73"/>
      <c r="H2802" s="73"/>
      <c r="I2802" s="95"/>
      <c r="J2802" s="73"/>
      <c r="K2802" s="95"/>
      <c r="L2802" s="95"/>
      <c r="M2802" s="22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</row>
    <row r="2803">
      <c r="A2803" s="26"/>
      <c r="B2803" s="73"/>
      <c r="C2803" s="73"/>
      <c r="D2803" s="95"/>
      <c r="E2803" s="73"/>
      <c r="F2803" s="73"/>
      <c r="G2803" s="73"/>
      <c r="H2803" s="73"/>
      <c r="I2803" s="95"/>
      <c r="J2803" s="73"/>
      <c r="K2803" s="95"/>
      <c r="L2803" s="95"/>
      <c r="M2803" s="22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</row>
    <row r="2804">
      <c r="A2804" s="26"/>
      <c r="B2804" s="73"/>
      <c r="C2804" s="73"/>
      <c r="D2804" s="95"/>
      <c r="E2804" s="73"/>
      <c r="F2804" s="73"/>
      <c r="G2804" s="73"/>
      <c r="H2804" s="73"/>
      <c r="I2804" s="95"/>
      <c r="J2804" s="73"/>
      <c r="K2804" s="95"/>
      <c r="L2804" s="95"/>
      <c r="M2804" s="22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</row>
    <row r="2805">
      <c r="A2805" s="26"/>
      <c r="B2805" s="73"/>
      <c r="C2805" s="73"/>
      <c r="D2805" s="95"/>
      <c r="E2805" s="73"/>
      <c r="F2805" s="73"/>
      <c r="G2805" s="73"/>
      <c r="H2805" s="73"/>
      <c r="I2805" s="95"/>
      <c r="J2805" s="73"/>
      <c r="K2805" s="95"/>
      <c r="L2805" s="95"/>
      <c r="M2805" s="22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</row>
    <row r="2806">
      <c r="A2806" s="26"/>
      <c r="B2806" s="73"/>
      <c r="C2806" s="73"/>
      <c r="D2806" s="95"/>
      <c r="E2806" s="73"/>
      <c r="F2806" s="73"/>
      <c r="G2806" s="73"/>
      <c r="H2806" s="73"/>
      <c r="I2806" s="95"/>
      <c r="J2806" s="73"/>
      <c r="K2806" s="95"/>
      <c r="L2806" s="95"/>
      <c r="M2806" s="22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</row>
    <row r="2807">
      <c r="A2807" s="26"/>
      <c r="B2807" s="73"/>
      <c r="C2807" s="73"/>
      <c r="D2807" s="95"/>
      <c r="E2807" s="73"/>
      <c r="F2807" s="73"/>
      <c r="G2807" s="73"/>
      <c r="H2807" s="73"/>
      <c r="I2807" s="95"/>
      <c r="J2807" s="73"/>
      <c r="K2807" s="95"/>
      <c r="L2807" s="95"/>
      <c r="M2807" s="22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</row>
    <row r="2808">
      <c r="A2808" s="26"/>
      <c r="B2808" s="73"/>
      <c r="C2808" s="73"/>
      <c r="D2808" s="95"/>
      <c r="E2808" s="73"/>
      <c r="F2808" s="73"/>
      <c r="G2808" s="73"/>
      <c r="H2808" s="73"/>
      <c r="I2808" s="95"/>
      <c r="J2808" s="73"/>
      <c r="K2808" s="95"/>
      <c r="L2808" s="95"/>
      <c r="M2808" s="22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</row>
    <row r="2809">
      <c r="A2809" s="26"/>
      <c r="B2809" s="73"/>
      <c r="C2809" s="73"/>
      <c r="D2809" s="95"/>
      <c r="E2809" s="73"/>
      <c r="F2809" s="73"/>
      <c r="G2809" s="73"/>
      <c r="H2809" s="73"/>
      <c r="I2809" s="95"/>
      <c r="J2809" s="73"/>
      <c r="K2809" s="95"/>
      <c r="L2809" s="95"/>
      <c r="M2809" s="22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</row>
    <row r="2810">
      <c r="A2810" s="26"/>
      <c r="B2810" s="73"/>
      <c r="C2810" s="73"/>
      <c r="D2810" s="95"/>
      <c r="E2810" s="73"/>
      <c r="F2810" s="73"/>
      <c r="G2810" s="73"/>
      <c r="H2810" s="73"/>
      <c r="I2810" s="95"/>
      <c r="J2810" s="73"/>
      <c r="K2810" s="95"/>
      <c r="L2810" s="95"/>
      <c r="M2810" s="22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</row>
    <row r="2811">
      <c r="A2811" s="26"/>
      <c r="B2811" s="73"/>
      <c r="C2811" s="73"/>
      <c r="D2811" s="95"/>
      <c r="E2811" s="73"/>
      <c r="F2811" s="73"/>
      <c r="G2811" s="73"/>
      <c r="H2811" s="73"/>
      <c r="I2811" s="95"/>
      <c r="J2811" s="73"/>
      <c r="K2811" s="95"/>
      <c r="L2811" s="95"/>
      <c r="M2811" s="22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</row>
    <row r="2812">
      <c r="A2812" s="26"/>
      <c r="B2812" s="73"/>
      <c r="C2812" s="73"/>
      <c r="D2812" s="95"/>
      <c r="E2812" s="73"/>
      <c r="F2812" s="73"/>
      <c r="G2812" s="73"/>
      <c r="H2812" s="73"/>
      <c r="I2812" s="95"/>
      <c r="J2812" s="73"/>
      <c r="K2812" s="95"/>
      <c r="L2812" s="95"/>
      <c r="M2812" s="22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</row>
    <row r="2813">
      <c r="A2813" s="26"/>
      <c r="B2813" s="73"/>
      <c r="C2813" s="73"/>
      <c r="D2813" s="95"/>
      <c r="E2813" s="73"/>
      <c r="F2813" s="73"/>
      <c r="G2813" s="73"/>
      <c r="H2813" s="73"/>
      <c r="I2813" s="95"/>
      <c r="J2813" s="73"/>
      <c r="K2813" s="95"/>
      <c r="L2813" s="95"/>
      <c r="M2813" s="22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</row>
    <row r="2814">
      <c r="A2814" s="26"/>
      <c r="B2814" s="73"/>
      <c r="C2814" s="73"/>
      <c r="D2814" s="95"/>
      <c r="E2814" s="73"/>
      <c r="F2814" s="73"/>
      <c r="G2814" s="73"/>
      <c r="H2814" s="73"/>
      <c r="I2814" s="95"/>
      <c r="J2814" s="73"/>
      <c r="K2814" s="95"/>
      <c r="L2814" s="95"/>
      <c r="M2814" s="22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</row>
    <row r="2815">
      <c r="A2815" s="26"/>
      <c r="B2815" s="73"/>
      <c r="C2815" s="73"/>
      <c r="D2815" s="95"/>
      <c r="E2815" s="73"/>
      <c r="F2815" s="73"/>
      <c r="G2815" s="73"/>
      <c r="H2815" s="73"/>
      <c r="I2815" s="95"/>
      <c r="J2815" s="73"/>
      <c r="K2815" s="95"/>
      <c r="L2815" s="95"/>
      <c r="M2815" s="22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</row>
    <row r="2816">
      <c r="A2816" s="26"/>
      <c r="B2816" s="73"/>
      <c r="C2816" s="73"/>
      <c r="D2816" s="95"/>
      <c r="E2816" s="73"/>
      <c r="F2816" s="73"/>
      <c r="G2816" s="73"/>
      <c r="H2816" s="73"/>
      <c r="I2816" s="95"/>
      <c r="J2816" s="73"/>
      <c r="K2816" s="95"/>
      <c r="L2816" s="95"/>
      <c r="M2816" s="22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</row>
    <row r="2817">
      <c r="A2817" s="26"/>
      <c r="B2817" s="73"/>
      <c r="C2817" s="73"/>
      <c r="D2817" s="95"/>
      <c r="E2817" s="73"/>
      <c r="F2817" s="73"/>
      <c r="G2817" s="73"/>
      <c r="H2817" s="73"/>
      <c r="I2817" s="95"/>
      <c r="J2817" s="73"/>
      <c r="K2817" s="95"/>
      <c r="L2817" s="95"/>
      <c r="M2817" s="22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</row>
    <row r="2818">
      <c r="A2818" s="26"/>
      <c r="B2818" s="73"/>
      <c r="C2818" s="73"/>
      <c r="D2818" s="95"/>
      <c r="E2818" s="73"/>
      <c r="F2818" s="73"/>
      <c r="G2818" s="73"/>
      <c r="H2818" s="73"/>
      <c r="I2818" s="95"/>
      <c r="J2818" s="73"/>
      <c r="K2818" s="95"/>
      <c r="L2818" s="95"/>
      <c r="M2818" s="22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</row>
    <row r="2819">
      <c r="A2819" s="26"/>
      <c r="B2819" s="73"/>
      <c r="C2819" s="73"/>
      <c r="D2819" s="95"/>
      <c r="E2819" s="73"/>
      <c r="F2819" s="73"/>
      <c r="G2819" s="73"/>
      <c r="H2819" s="73"/>
      <c r="I2819" s="95"/>
      <c r="J2819" s="73"/>
      <c r="K2819" s="95"/>
      <c r="L2819" s="95"/>
      <c r="M2819" s="22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</row>
    <row r="2820">
      <c r="A2820" s="26"/>
      <c r="B2820" s="73"/>
      <c r="C2820" s="73"/>
      <c r="D2820" s="95"/>
      <c r="E2820" s="73"/>
      <c r="F2820" s="73"/>
      <c r="G2820" s="73"/>
      <c r="H2820" s="73"/>
      <c r="I2820" s="95"/>
      <c r="J2820" s="73"/>
      <c r="K2820" s="95"/>
      <c r="L2820" s="95"/>
      <c r="M2820" s="22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</row>
    <row r="2821">
      <c r="A2821" s="26"/>
      <c r="B2821" s="73"/>
      <c r="C2821" s="73"/>
      <c r="D2821" s="95"/>
      <c r="E2821" s="73"/>
      <c r="F2821" s="73"/>
      <c r="G2821" s="73"/>
      <c r="H2821" s="73"/>
      <c r="I2821" s="95"/>
      <c r="J2821" s="73"/>
      <c r="K2821" s="95"/>
      <c r="L2821" s="95"/>
      <c r="M2821" s="22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</row>
    <row r="2822">
      <c r="A2822" s="26"/>
      <c r="B2822" s="73"/>
      <c r="C2822" s="73"/>
      <c r="D2822" s="95"/>
      <c r="E2822" s="73"/>
      <c r="F2822" s="73"/>
      <c r="G2822" s="73"/>
      <c r="H2822" s="73"/>
      <c r="I2822" s="95"/>
      <c r="J2822" s="73"/>
      <c r="K2822" s="95"/>
      <c r="L2822" s="95"/>
      <c r="M2822" s="22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</row>
    <row r="2823">
      <c r="A2823" s="26"/>
      <c r="B2823" s="73"/>
      <c r="C2823" s="73"/>
      <c r="D2823" s="95"/>
      <c r="E2823" s="73"/>
      <c r="F2823" s="73"/>
      <c r="G2823" s="73"/>
      <c r="H2823" s="73"/>
      <c r="I2823" s="95"/>
      <c r="J2823" s="73"/>
      <c r="K2823" s="95"/>
      <c r="L2823" s="95"/>
      <c r="M2823" s="22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</row>
    <row r="2824">
      <c r="A2824" s="26"/>
      <c r="B2824" s="73"/>
      <c r="C2824" s="73"/>
      <c r="D2824" s="95"/>
      <c r="E2824" s="73"/>
      <c r="F2824" s="73"/>
      <c r="G2824" s="73"/>
      <c r="H2824" s="73"/>
      <c r="I2824" s="95"/>
      <c r="J2824" s="73"/>
      <c r="K2824" s="95"/>
      <c r="L2824" s="95"/>
      <c r="M2824" s="22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</row>
    <row r="2825">
      <c r="A2825" s="26"/>
      <c r="B2825" s="73"/>
      <c r="C2825" s="73"/>
      <c r="D2825" s="95"/>
      <c r="E2825" s="73"/>
      <c r="F2825" s="73"/>
      <c r="G2825" s="73"/>
      <c r="H2825" s="73"/>
      <c r="I2825" s="95"/>
      <c r="J2825" s="73"/>
      <c r="K2825" s="95"/>
      <c r="L2825" s="95"/>
      <c r="M2825" s="22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</row>
    <row r="2826">
      <c r="A2826" s="26"/>
      <c r="B2826" s="73"/>
      <c r="C2826" s="73"/>
      <c r="D2826" s="95"/>
      <c r="E2826" s="73"/>
      <c r="F2826" s="73"/>
      <c r="G2826" s="73"/>
      <c r="H2826" s="73"/>
      <c r="I2826" s="95"/>
      <c r="J2826" s="73"/>
      <c r="K2826" s="95"/>
      <c r="L2826" s="95"/>
      <c r="M2826" s="22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</row>
    <row r="2827">
      <c r="A2827" s="26"/>
      <c r="B2827" s="73"/>
      <c r="C2827" s="73"/>
      <c r="D2827" s="95"/>
      <c r="E2827" s="73"/>
      <c r="F2827" s="73"/>
      <c r="G2827" s="73"/>
      <c r="H2827" s="73"/>
      <c r="I2827" s="95"/>
      <c r="J2827" s="73"/>
      <c r="K2827" s="95"/>
      <c r="L2827" s="95"/>
      <c r="M2827" s="22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</row>
    <row r="2828">
      <c r="A2828" s="26"/>
      <c r="B2828" s="73"/>
      <c r="C2828" s="73"/>
      <c r="D2828" s="95"/>
      <c r="E2828" s="73"/>
      <c r="F2828" s="73"/>
      <c r="G2828" s="73"/>
      <c r="H2828" s="73"/>
      <c r="I2828" s="95"/>
      <c r="J2828" s="73"/>
      <c r="K2828" s="95"/>
      <c r="L2828" s="95"/>
      <c r="M2828" s="22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</row>
    <row r="2829">
      <c r="A2829" s="26"/>
      <c r="B2829" s="73"/>
      <c r="C2829" s="73"/>
      <c r="D2829" s="95"/>
      <c r="E2829" s="73"/>
      <c r="F2829" s="73"/>
      <c r="G2829" s="73"/>
      <c r="H2829" s="73"/>
      <c r="I2829" s="95"/>
      <c r="J2829" s="73"/>
      <c r="K2829" s="95"/>
      <c r="L2829" s="95"/>
      <c r="M2829" s="22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</row>
    <row r="2830">
      <c r="A2830" s="26"/>
      <c r="B2830" s="73"/>
      <c r="C2830" s="73"/>
      <c r="D2830" s="95"/>
      <c r="E2830" s="73"/>
      <c r="F2830" s="73"/>
      <c r="G2830" s="73"/>
      <c r="H2830" s="73"/>
      <c r="I2830" s="95"/>
      <c r="J2830" s="73"/>
      <c r="K2830" s="95"/>
      <c r="L2830" s="95"/>
      <c r="M2830" s="22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</row>
    <row r="2831">
      <c r="A2831" s="26"/>
      <c r="B2831" s="73"/>
      <c r="C2831" s="73"/>
      <c r="D2831" s="95"/>
      <c r="E2831" s="73"/>
      <c r="F2831" s="73"/>
      <c r="G2831" s="73"/>
      <c r="H2831" s="73"/>
      <c r="I2831" s="95"/>
      <c r="J2831" s="73"/>
      <c r="K2831" s="95"/>
      <c r="L2831" s="95"/>
      <c r="M2831" s="22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</row>
    <row r="2832">
      <c r="A2832" s="26"/>
      <c r="B2832" s="73"/>
      <c r="C2832" s="73"/>
      <c r="D2832" s="95"/>
      <c r="E2832" s="73"/>
      <c r="F2832" s="73"/>
      <c r="G2832" s="73"/>
      <c r="H2832" s="73"/>
      <c r="I2832" s="95"/>
      <c r="J2832" s="73"/>
      <c r="K2832" s="95"/>
      <c r="L2832" s="95"/>
      <c r="M2832" s="22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</row>
    <row r="2833">
      <c r="A2833" s="26"/>
      <c r="B2833" s="73"/>
      <c r="C2833" s="73"/>
      <c r="D2833" s="95"/>
      <c r="E2833" s="73"/>
      <c r="F2833" s="73"/>
      <c r="G2833" s="73"/>
      <c r="H2833" s="73"/>
      <c r="I2833" s="95"/>
      <c r="J2833" s="73"/>
      <c r="K2833" s="95"/>
      <c r="L2833" s="95"/>
      <c r="M2833" s="22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</row>
    <row r="2834">
      <c r="A2834" s="26"/>
      <c r="B2834" s="73"/>
      <c r="C2834" s="73"/>
      <c r="D2834" s="95"/>
      <c r="E2834" s="73"/>
      <c r="F2834" s="73"/>
      <c r="G2834" s="73"/>
      <c r="H2834" s="73"/>
      <c r="I2834" s="95"/>
      <c r="J2834" s="73"/>
      <c r="K2834" s="95"/>
      <c r="L2834" s="95"/>
      <c r="M2834" s="22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</row>
    <row r="2835">
      <c r="A2835" s="26"/>
      <c r="B2835" s="73"/>
      <c r="C2835" s="73"/>
      <c r="D2835" s="95"/>
      <c r="E2835" s="73"/>
      <c r="F2835" s="73"/>
      <c r="G2835" s="73"/>
      <c r="H2835" s="73"/>
      <c r="I2835" s="95"/>
      <c r="J2835" s="73"/>
      <c r="K2835" s="95"/>
      <c r="L2835" s="95"/>
      <c r="M2835" s="22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</row>
    <row r="2836">
      <c r="A2836" s="26"/>
      <c r="B2836" s="73"/>
      <c r="C2836" s="73"/>
      <c r="D2836" s="95"/>
      <c r="E2836" s="73"/>
      <c r="F2836" s="73"/>
      <c r="G2836" s="73"/>
      <c r="H2836" s="73"/>
      <c r="I2836" s="95"/>
      <c r="J2836" s="73"/>
      <c r="K2836" s="95"/>
      <c r="L2836" s="95"/>
      <c r="M2836" s="22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</row>
    <row r="2837">
      <c r="A2837" s="26"/>
      <c r="B2837" s="73"/>
      <c r="C2837" s="73"/>
      <c r="D2837" s="95"/>
      <c r="E2837" s="73"/>
      <c r="F2837" s="73"/>
      <c r="G2837" s="73"/>
      <c r="H2837" s="73"/>
      <c r="I2837" s="95"/>
      <c r="J2837" s="73"/>
      <c r="K2837" s="95"/>
      <c r="L2837" s="95"/>
      <c r="M2837" s="22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</row>
    <row r="2838">
      <c r="A2838" s="26"/>
      <c r="B2838" s="73"/>
      <c r="C2838" s="73"/>
      <c r="D2838" s="95"/>
      <c r="E2838" s="73"/>
      <c r="F2838" s="73"/>
      <c r="G2838" s="73"/>
      <c r="H2838" s="73"/>
      <c r="I2838" s="95"/>
      <c r="J2838" s="73"/>
      <c r="K2838" s="95"/>
      <c r="L2838" s="95"/>
      <c r="M2838" s="22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</row>
    <row r="2839">
      <c r="A2839" s="26"/>
      <c r="B2839" s="73"/>
      <c r="C2839" s="73"/>
      <c r="D2839" s="95"/>
      <c r="E2839" s="73"/>
      <c r="F2839" s="73"/>
      <c r="G2839" s="73"/>
      <c r="H2839" s="73"/>
      <c r="I2839" s="95"/>
      <c r="J2839" s="73"/>
      <c r="K2839" s="95"/>
      <c r="L2839" s="95"/>
      <c r="M2839" s="22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</row>
    <row r="2840">
      <c r="A2840" s="26"/>
      <c r="B2840" s="73"/>
      <c r="C2840" s="73"/>
      <c r="D2840" s="95"/>
      <c r="E2840" s="73"/>
      <c r="F2840" s="73"/>
      <c r="G2840" s="73"/>
      <c r="H2840" s="73"/>
      <c r="I2840" s="95"/>
      <c r="J2840" s="73"/>
      <c r="K2840" s="95"/>
      <c r="L2840" s="95"/>
      <c r="M2840" s="22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</row>
    <row r="2841">
      <c r="A2841" s="26"/>
      <c r="B2841" s="73"/>
      <c r="C2841" s="73"/>
      <c r="D2841" s="95"/>
      <c r="E2841" s="73"/>
      <c r="F2841" s="73"/>
      <c r="G2841" s="73"/>
      <c r="H2841" s="73"/>
      <c r="I2841" s="95"/>
      <c r="J2841" s="73"/>
      <c r="K2841" s="95"/>
      <c r="L2841" s="95"/>
      <c r="M2841" s="22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</row>
    <row r="2842">
      <c r="A2842" s="26"/>
      <c r="B2842" s="73"/>
      <c r="C2842" s="73"/>
      <c r="D2842" s="95"/>
      <c r="E2842" s="73"/>
      <c r="F2842" s="73"/>
      <c r="G2842" s="73"/>
      <c r="H2842" s="73"/>
      <c r="I2842" s="95"/>
      <c r="J2842" s="73"/>
      <c r="K2842" s="95"/>
      <c r="L2842" s="95"/>
      <c r="M2842" s="22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</row>
    <row r="2843">
      <c r="A2843" s="26"/>
      <c r="B2843" s="73"/>
      <c r="C2843" s="73"/>
      <c r="D2843" s="95"/>
      <c r="E2843" s="73"/>
      <c r="F2843" s="73"/>
      <c r="G2843" s="73"/>
      <c r="H2843" s="73"/>
      <c r="I2843" s="95"/>
      <c r="J2843" s="73"/>
      <c r="K2843" s="95"/>
      <c r="L2843" s="95"/>
      <c r="M2843" s="22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</row>
    <row r="2844">
      <c r="A2844" s="26"/>
      <c r="B2844" s="73"/>
      <c r="C2844" s="73"/>
      <c r="D2844" s="95"/>
      <c r="E2844" s="73"/>
      <c r="F2844" s="73"/>
      <c r="G2844" s="73"/>
      <c r="H2844" s="73"/>
      <c r="I2844" s="95"/>
      <c r="J2844" s="73"/>
      <c r="K2844" s="95"/>
      <c r="L2844" s="95"/>
      <c r="M2844" s="22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</row>
    <row r="2845">
      <c r="A2845" s="26"/>
      <c r="B2845" s="73"/>
      <c r="C2845" s="73"/>
      <c r="D2845" s="95"/>
      <c r="E2845" s="73"/>
      <c r="F2845" s="73"/>
      <c r="G2845" s="73"/>
      <c r="H2845" s="73"/>
      <c r="I2845" s="95"/>
      <c r="J2845" s="73"/>
      <c r="K2845" s="95"/>
      <c r="L2845" s="95"/>
      <c r="M2845" s="22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</row>
    <row r="2846">
      <c r="A2846" s="26"/>
      <c r="B2846" s="73"/>
      <c r="C2846" s="73"/>
      <c r="D2846" s="95"/>
      <c r="E2846" s="73"/>
      <c r="F2846" s="73"/>
      <c r="G2846" s="73"/>
      <c r="H2846" s="73"/>
      <c r="I2846" s="95"/>
      <c r="J2846" s="73"/>
      <c r="K2846" s="95"/>
      <c r="L2846" s="95"/>
      <c r="M2846" s="22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</row>
    <row r="2847">
      <c r="A2847" s="26"/>
      <c r="B2847" s="73"/>
      <c r="C2847" s="73"/>
      <c r="D2847" s="95"/>
      <c r="E2847" s="73"/>
      <c r="F2847" s="73"/>
      <c r="G2847" s="73"/>
      <c r="H2847" s="73"/>
      <c r="I2847" s="95"/>
      <c r="J2847" s="73"/>
      <c r="K2847" s="95"/>
      <c r="L2847" s="95"/>
      <c r="M2847" s="22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</row>
    <row r="2848">
      <c r="A2848" s="26"/>
      <c r="B2848" s="73"/>
      <c r="C2848" s="73"/>
      <c r="D2848" s="95"/>
      <c r="E2848" s="73"/>
      <c r="F2848" s="73"/>
      <c r="G2848" s="73"/>
      <c r="H2848" s="73"/>
      <c r="I2848" s="95"/>
      <c r="J2848" s="73"/>
      <c r="K2848" s="95"/>
      <c r="L2848" s="95"/>
      <c r="M2848" s="22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</row>
    <row r="2849">
      <c r="A2849" s="26"/>
      <c r="B2849" s="73"/>
      <c r="C2849" s="73"/>
      <c r="D2849" s="95"/>
      <c r="E2849" s="73"/>
      <c r="F2849" s="73"/>
      <c r="G2849" s="73"/>
      <c r="H2849" s="73"/>
      <c r="I2849" s="95"/>
      <c r="J2849" s="73"/>
      <c r="K2849" s="95"/>
      <c r="L2849" s="95"/>
      <c r="M2849" s="22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</row>
    <row r="2850">
      <c r="A2850" s="26"/>
      <c r="B2850" s="73"/>
      <c r="C2850" s="73"/>
      <c r="D2850" s="95"/>
      <c r="E2850" s="73"/>
      <c r="F2850" s="73"/>
      <c r="G2850" s="73"/>
      <c r="H2850" s="73"/>
      <c r="I2850" s="95"/>
      <c r="J2850" s="73"/>
      <c r="K2850" s="95"/>
      <c r="L2850" s="95"/>
      <c r="M2850" s="22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</row>
    <row r="2851">
      <c r="A2851" s="26"/>
      <c r="B2851" s="73"/>
      <c r="C2851" s="73"/>
      <c r="D2851" s="95"/>
      <c r="E2851" s="73"/>
      <c r="F2851" s="73"/>
      <c r="G2851" s="73"/>
      <c r="H2851" s="73"/>
      <c r="I2851" s="95"/>
      <c r="J2851" s="73"/>
      <c r="K2851" s="95"/>
      <c r="L2851" s="95"/>
      <c r="M2851" s="22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</row>
    <row r="2852">
      <c r="A2852" s="26"/>
      <c r="B2852" s="73"/>
      <c r="C2852" s="73"/>
      <c r="D2852" s="95"/>
      <c r="E2852" s="73"/>
      <c r="F2852" s="73"/>
      <c r="G2852" s="73"/>
      <c r="H2852" s="73"/>
      <c r="I2852" s="95"/>
      <c r="J2852" s="73"/>
      <c r="K2852" s="95"/>
      <c r="L2852" s="95"/>
      <c r="M2852" s="22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</row>
    <row r="2853">
      <c r="A2853" s="26"/>
      <c r="B2853" s="73"/>
      <c r="C2853" s="73"/>
      <c r="D2853" s="95"/>
      <c r="E2853" s="73"/>
      <c r="F2853" s="73"/>
      <c r="G2853" s="73"/>
      <c r="H2853" s="73"/>
      <c r="I2853" s="95"/>
      <c r="J2853" s="73"/>
      <c r="K2853" s="95"/>
      <c r="L2853" s="95"/>
      <c r="M2853" s="22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</row>
    <row r="2854">
      <c r="A2854" s="26"/>
      <c r="B2854" s="73"/>
      <c r="C2854" s="73"/>
      <c r="D2854" s="95"/>
      <c r="E2854" s="73"/>
      <c r="F2854" s="73"/>
      <c r="G2854" s="73"/>
      <c r="H2854" s="73"/>
      <c r="I2854" s="95"/>
      <c r="J2854" s="73"/>
      <c r="K2854" s="95"/>
      <c r="L2854" s="95"/>
      <c r="M2854" s="22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</row>
    <row r="2855">
      <c r="A2855" s="26"/>
      <c r="B2855" s="73"/>
      <c r="C2855" s="73"/>
      <c r="D2855" s="95"/>
      <c r="E2855" s="73"/>
      <c r="F2855" s="73"/>
      <c r="G2855" s="73"/>
      <c r="H2855" s="73"/>
      <c r="I2855" s="95"/>
      <c r="J2855" s="73"/>
      <c r="K2855" s="95"/>
      <c r="L2855" s="95"/>
      <c r="M2855" s="22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</row>
    <row r="2856">
      <c r="A2856" s="26"/>
      <c r="B2856" s="73"/>
      <c r="C2856" s="73"/>
      <c r="D2856" s="95"/>
      <c r="E2856" s="73"/>
      <c r="F2856" s="73"/>
      <c r="G2856" s="73"/>
      <c r="H2856" s="73"/>
      <c r="I2856" s="95"/>
      <c r="J2856" s="73"/>
      <c r="K2856" s="95"/>
      <c r="L2856" s="95"/>
      <c r="M2856" s="22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</row>
    <row r="2857">
      <c r="A2857" s="26"/>
      <c r="B2857" s="73"/>
      <c r="C2857" s="73"/>
      <c r="D2857" s="95"/>
      <c r="E2857" s="73"/>
      <c r="F2857" s="73"/>
      <c r="G2857" s="73"/>
      <c r="H2857" s="73"/>
      <c r="I2857" s="95"/>
      <c r="J2857" s="73"/>
      <c r="K2857" s="95"/>
      <c r="L2857" s="95"/>
      <c r="M2857" s="22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</row>
    <row r="2858">
      <c r="A2858" s="26"/>
      <c r="B2858" s="73"/>
      <c r="C2858" s="73"/>
      <c r="D2858" s="95"/>
      <c r="E2858" s="73"/>
      <c r="F2858" s="73"/>
      <c r="G2858" s="73"/>
      <c r="H2858" s="73"/>
      <c r="I2858" s="95"/>
      <c r="J2858" s="73"/>
      <c r="K2858" s="95"/>
      <c r="L2858" s="95"/>
      <c r="M2858" s="22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</row>
    <row r="2859">
      <c r="A2859" s="26"/>
      <c r="B2859" s="73"/>
      <c r="C2859" s="73"/>
      <c r="D2859" s="95"/>
      <c r="E2859" s="73"/>
      <c r="F2859" s="73"/>
      <c r="G2859" s="73"/>
      <c r="H2859" s="73"/>
      <c r="I2859" s="95"/>
      <c r="J2859" s="73"/>
      <c r="K2859" s="95"/>
      <c r="L2859" s="95"/>
      <c r="M2859" s="22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</row>
    <row r="2860">
      <c r="A2860" s="26"/>
      <c r="B2860" s="73"/>
      <c r="C2860" s="73"/>
      <c r="D2860" s="95"/>
      <c r="E2860" s="73"/>
      <c r="F2860" s="73"/>
      <c r="G2860" s="73"/>
      <c r="H2860" s="73"/>
      <c r="I2860" s="95"/>
      <c r="J2860" s="73"/>
      <c r="K2860" s="95"/>
      <c r="L2860" s="95"/>
      <c r="M2860" s="22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</row>
    <row r="2861">
      <c r="A2861" s="26"/>
      <c r="B2861" s="73"/>
      <c r="C2861" s="73"/>
      <c r="D2861" s="95"/>
      <c r="E2861" s="73"/>
      <c r="F2861" s="73"/>
      <c r="G2861" s="73"/>
      <c r="H2861" s="73"/>
      <c r="I2861" s="95"/>
      <c r="J2861" s="73"/>
      <c r="K2861" s="95"/>
      <c r="L2861" s="95"/>
      <c r="M2861" s="22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</row>
    <row r="2862">
      <c r="A2862" s="26"/>
      <c r="B2862" s="73"/>
      <c r="C2862" s="73"/>
      <c r="D2862" s="95"/>
      <c r="E2862" s="73"/>
      <c r="F2862" s="73"/>
      <c r="G2862" s="73"/>
      <c r="H2862" s="73"/>
      <c r="I2862" s="95"/>
      <c r="J2862" s="73"/>
      <c r="K2862" s="95"/>
      <c r="L2862" s="95"/>
      <c r="M2862" s="22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</row>
    <row r="2863">
      <c r="A2863" s="26"/>
      <c r="B2863" s="73"/>
      <c r="C2863" s="73"/>
      <c r="D2863" s="95"/>
      <c r="E2863" s="73"/>
      <c r="F2863" s="73"/>
      <c r="G2863" s="73"/>
      <c r="H2863" s="73"/>
      <c r="I2863" s="95"/>
      <c r="J2863" s="73"/>
      <c r="K2863" s="95"/>
      <c r="L2863" s="95"/>
      <c r="M2863" s="22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</row>
    <row r="2864">
      <c r="A2864" s="26"/>
      <c r="B2864" s="73"/>
      <c r="C2864" s="73"/>
      <c r="D2864" s="95"/>
      <c r="E2864" s="73"/>
      <c r="F2864" s="73"/>
      <c r="G2864" s="73"/>
      <c r="H2864" s="73"/>
      <c r="I2864" s="95"/>
      <c r="J2864" s="73"/>
      <c r="K2864" s="95"/>
      <c r="L2864" s="95"/>
      <c r="M2864" s="22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</row>
    <row r="2865">
      <c r="A2865" s="26"/>
      <c r="B2865" s="73"/>
      <c r="C2865" s="73"/>
      <c r="D2865" s="95"/>
      <c r="E2865" s="73"/>
      <c r="F2865" s="73"/>
      <c r="G2865" s="73"/>
      <c r="H2865" s="73"/>
      <c r="I2865" s="95"/>
      <c r="J2865" s="73"/>
      <c r="K2865" s="95"/>
      <c r="L2865" s="95"/>
      <c r="M2865" s="22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</row>
    <row r="2866">
      <c r="A2866" s="26"/>
      <c r="B2866" s="73"/>
      <c r="C2866" s="73"/>
      <c r="D2866" s="95"/>
      <c r="E2866" s="73"/>
      <c r="F2866" s="73"/>
      <c r="G2866" s="73"/>
      <c r="H2866" s="73"/>
      <c r="I2866" s="95"/>
      <c r="J2866" s="73"/>
      <c r="K2866" s="95"/>
      <c r="L2866" s="95"/>
      <c r="M2866" s="22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</row>
    <row r="2867">
      <c r="A2867" s="26"/>
      <c r="B2867" s="73"/>
      <c r="C2867" s="73"/>
      <c r="D2867" s="95"/>
      <c r="E2867" s="73"/>
      <c r="F2867" s="73"/>
      <c r="G2867" s="73"/>
      <c r="H2867" s="73"/>
      <c r="I2867" s="95"/>
      <c r="J2867" s="73"/>
      <c r="K2867" s="95"/>
      <c r="L2867" s="95"/>
      <c r="M2867" s="22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</row>
    <row r="2868">
      <c r="A2868" s="26"/>
      <c r="B2868" s="73"/>
      <c r="C2868" s="73"/>
      <c r="D2868" s="95"/>
      <c r="E2868" s="73"/>
      <c r="F2868" s="73"/>
      <c r="G2868" s="73"/>
      <c r="H2868" s="73"/>
      <c r="I2868" s="95"/>
      <c r="J2868" s="73"/>
      <c r="K2868" s="95"/>
      <c r="L2868" s="95"/>
      <c r="M2868" s="22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</row>
    <row r="2869">
      <c r="A2869" s="26"/>
      <c r="B2869" s="73"/>
      <c r="C2869" s="73"/>
      <c r="D2869" s="95"/>
      <c r="E2869" s="73"/>
      <c r="F2869" s="73"/>
      <c r="G2869" s="73"/>
      <c r="H2869" s="73"/>
      <c r="I2869" s="95"/>
      <c r="J2869" s="73"/>
      <c r="K2869" s="95"/>
      <c r="L2869" s="95"/>
      <c r="M2869" s="22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</row>
    <row r="2870">
      <c r="A2870" s="26"/>
      <c r="B2870" s="73"/>
      <c r="C2870" s="73"/>
      <c r="D2870" s="95"/>
      <c r="E2870" s="73"/>
      <c r="F2870" s="73"/>
      <c r="G2870" s="73"/>
      <c r="H2870" s="73"/>
      <c r="I2870" s="95"/>
      <c r="J2870" s="73"/>
      <c r="K2870" s="95"/>
      <c r="L2870" s="95"/>
      <c r="M2870" s="22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</row>
    <row r="2871">
      <c r="A2871" s="26"/>
      <c r="B2871" s="73"/>
      <c r="C2871" s="73"/>
      <c r="D2871" s="95"/>
      <c r="E2871" s="73"/>
      <c r="F2871" s="73"/>
      <c r="G2871" s="73"/>
      <c r="H2871" s="73"/>
      <c r="I2871" s="95"/>
      <c r="J2871" s="73"/>
      <c r="K2871" s="95"/>
      <c r="L2871" s="95"/>
      <c r="M2871" s="22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</row>
    <row r="2872">
      <c r="A2872" s="26"/>
      <c r="B2872" s="73"/>
      <c r="C2872" s="73"/>
      <c r="D2872" s="95"/>
      <c r="E2872" s="73"/>
      <c r="F2872" s="73"/>
      <c r="G2872" s="73"/>
      <c r="H2872" s="73"/>
      <c r="I2872" s="95"/>
      <c r="J2872" s="73"/>
      <c r="K2872" s="95"/>
      <c r="L2872" s="95"/>
      <c r="M2872" s="22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</row>
    <row r="2873">
      <c r="A2873" s="26"/>
      <c r="B2873" s="73"/>
      <c r="C2873" s="73"/>
      <c r="D2873" s="95"/>
      <c r="E2873" s="73"/>
      <c r="F2873" s="73"/>
      <c r="G2873" s="73"/>
      <c r="H2873" s="73"/>
      <c r="I2873" s="95"/>
      <c r="J2873" s="73"/>
      <c r="K2873" s="95"/>
      <c r="L2873" s="95"/>
      <c r="M2873" s="22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</row>
    <row r="2874">
      <c r="A2874" s="26"/>
      <c r="B2874" s="73"/>
      <c r="C2874" s="73"/>
      <c r="D2874" s="95"/>
      <c r="E2874" s="73"/>
      <c r="F2874" s="73"/>
      <c r="G2874" s="73"/>
      <c r="H2874" s="73"/>
      <c r="I2874" s="95"/>
      <c r="J2874" s="73"/>
      <c r="K2874" s="95"/>
      <c r="L2874" s="95"/>
      <c r="M2874" s="22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</row>
    <row r="2875">
      <c r="A2875" s="26"/>
      <c r="B2875" s="73"/>
      <c r="C2875" s="73"/>
      <c r="D2875" s="95"/>
      <c r="E2875" s="73"/>
      <c r="F2875" s="73"/>
      <c r="G2875" s="73"/>
      <c r="H2875" s="73"/>
      <c r="I2875" s="95"/>
      <c r="J2875" s="73"/>
      <c r="K2875" s="95"/>
      <c r="L2875" s="95"/>
      <c r="M2875" s="22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</row>
    <row r="2876">
      <c r="A2876" s="26"/>
      <c r="B2876" s="73"/>
      <c r="C2876" s="73"/>
      <c r="D2876" s="95"/>
      <c r="E2876" s="73"/>
      <c r="F2876" s="73"/>
      <c r="G2876" s="73"/>
      <c r="H2876" s="73"/>
      <c r="I2876" s="95"/>
      <c r="J2876" s="73"/>
      <c r="K2876" s="95"/>
      <c r="L2876" s="95"/>
      <c r="M2876" s="22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</row>
    <row r="2877">
      <c r="A2877" s="26"/>
      <c r="B2877" s="73"/>
      <c r="C2877" s="73"/>
      <c r="D2877" s="95"/>
      <c r="E2877" s="73"/>
      <c r="F2877" s="73"/>
      <c r="G2877" s="73"/>
      <c r="H2877" s="73"/>
      <c r="I2877" s="95"/>
      <c r="J2877" s="73"/>
      <c r="K2877" s="95"/>
      <c r="L2877" s="95"/>
      <c r="M2877" s="22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</row>
    <row r="2878">
      <c r="A2878" s="26"/>
      <c r="B2878" s="73"/>
      <c r="C2878" s="73"/>
      <c r="D2878" s="95"/>
      <c r="E2878" s="73"/>
      <c r="F2878" s="73"/>
      <c r="G2878" s="73"/>
      <c r="H2878" s="73"/>
      <c r="I2878" s="95"/>
      <c r="J2878" s="73"/>
      <c r="K2878" s="95"/>
      <c r="L2878" s="95"/>
      <c r="M2878" s="22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</row>
    <row r="2879">
      <c r="A2879" s="26"/>
      <c r="B2879" s="73"/>
      <c r="C2879" s="73"/>
      <c r="D2879" s="95"/>
      <c r="E2879" s="73"/>
      <c r="F2879" s="73"/>
      <c r="G2879" s="73"/>
      <c r="H2879" s="73"/>
      <c r="I2879" s="95"/>
      <c r="J2879" s="73"/>
      <c r="K2879" s="95"/>
      <c r="L2879" s="95"/>
      <c r="M2879" s="22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</row>
    <row r="2880">
      <c r="A2880" s="26"/>
      <c r="B2880" s="73"/>
      <c r="C2880" s="73"/>
      <c r="D2880" s="95"/>
      <c r="E2880" s="73"/>
      <c r="F2880" s="73"/>
      <c r="G2880" s="73"/>
      <c r="H2880" s="73"/>
      <c r="I2880" s="95"/>
      <c r="J2880" s="73"/>
      <c r="K2880" s="95"/>
      <c r="L2880" s="95"/>
      <c r="M2880" s="22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</row>
    <row r="2881">
      <c r="A2881" s="26"/>
      <c r="B2881" s="73"/>
      <c r="C2881" s="73"/>
      <c r="D2881" s="95"/>
      <c r="E2881" s="73"/>
      <c r="F2881" s="73"/>
      <c r="G2881" s="73"/>
      <c r="H2881" s="73"/>
      <c r="I2881" s="95"/>
      <c r="J2881" s="73"/>
      <c r="K2881" s="95"/>
      <c r="L2881" s="95"/>
      <c r="M2881" s="22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</row>
    <row r="2882">
      <c r="A2882" s="26"/>
      <c r="B2882" s="73"/>
      <c r="C2882" s="73"/>
      <c r="D2882" s="95"/>
      <c r="E2882" s="73"/>
      <c r="F2882" s="73"/>
      <c r="G2882" s="73"/>
      <c r="H2882" s="73"/>
      <c r="I2882" s="95"/>
      <c r="J2882" s="73"/>
      <c r="K2882" s="95"/>
      <c r="L2882" s="95"/>
      <c r="M2882" s="22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</row>
    <row r="2883">
      <c r="A2883" s="26"/>
      <c r="B2883" s="73"/>
      <c r="C2883" s="73"/>
      <c r="D2883" s="95"/>
      <c r="E2883" s="73"/>
      <c r="F2883" s="73"/>
      <c r="G2883" s="73"/>
      <c r="H2883" s="73"/>
      <c r="I2883" s="95"/>
      <c r="J2883" s="73"/>
      <c r="K2883" s="95"/>
      <c r="L2883" s="95"/>
      <c r="M2883" s="22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</row>
    <row r="2884">
      <c r="A2884" s="26"/>
      <c r="B2884" s="73"/>
      <c r="C2884" s="73"/>
      <c r="D2884" s="95"/>
      <c r="E2884" s="73"/>
      <c r="F2884" s="73"/>
      <c r="G2884" s="73"/>
      <c r="H2884" s="73"/>
      <c r="I2884" s="95"/>
      <c r="J2884" s="73"/>
      <c r="K2884" s="95"/>
      <c r="L2884" s="95"/>
      <c r="M2884" s="22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</row>
    <row r="2885">
      <c r="A2885" s="26"/>
      <c r="B2885" s="73"/>
      <c r="C2885" s="73"/>
      <c r="D2885" s="95"/>
      <c r="E2885" s="73"/>
      <c r="F2885" s="73"/>
      <c r="G2885" s="73"/>
      <c r="H2885" s="73"/>
      <c r="I2885" s="95"/>
      <c r="J2885" s="73"/>
      <c r="K2885" s="95"/>
      <c r="L2885" s="95"/>
      <c r="M2885" s="22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</row>
    <row r="2886">
      <c r="A2886" s="26"/>
      <c r="B2886" s="73"/>
      <c r="C2886" s="73"/>
      <c r="D2886" s="95"/>
      <c r="E2886" s="73"/>
      <c r="F2886" s="73"/>
      <c r="G2886" s="73"/>
      <c r="H2886" s="73"/>
      <c r="I2886" s="95"/>
      <c r="J2886" s="73"/>
      <c r="K2886" s="95"/>
      <c r="L2886" s="95"/>
      <c r="M2886" s="22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</row>
    <row r="2887">
      <c r="A2887" s="26"/>
      <c r="B2887" s="73"/>
      <c r="C2887" s="73"/>
      <c r="D2887" s="95"/>
      <c r="E2887" s="73"/>
      <c r="F2887" s="73"/>
      <c r="G2887" s="73"/>
      <c r="H2887" s="73"/>
      <c r="I2887" s="95"/>
      <c r="J2887" s="73"/>
      <c r="K2887" s="95"/>
      <c r="L2887" s="95"/>
      <c r="M2887" s="22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</row>
    <row r="2888">
      <c r="A2888" s="26"/>
      <c r="B2888" s="73"/>
      <c r="C2888" s="73"/>
      <c r="D2888" s="95"/>
      <c r="E2888" s="73"/>
      <c r="F2888" s="73"/>
      <c r="G2888" s="73"/>
      <c r="H2888" s="73"/>
      <c r="I2888" s="95"/>
      <c r="J2888" s="73"/>
      <c r="K2888" s="95"/>
      <c r="L2888" s="95"/>
      <c r="M2888" s="22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</row>
    <row r="2889">
      <c r="A2889" s="26"/>
      <c r="B2889" s="73"/>
      <c r="C2889" s="73"/>
      <c r="D2889" s="95"/>
      <c r="E2889" s="73"/>
      <c r="F2889" s="73"/>
      <c r="G2889" s="73"/>
      <c r="H2889" s="73"/>
      <c r="I2889" s="95"/>
      <c r="J2889" s="73"/>
      <c r="K2889" s="95"/>
      <c r="L2889" s="95"/>
      <c r="M2889" s="22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</row>
    <row r="2890">
      <c r="A2890" s="26"/>
      <c r="B2890" s="73"/>
      <c r="C2890" s="73"/>
      <c r="D2890" s="95"/>
      <c r="E2890" s="73"/>
      <c r="F2890" s="73"/>
      <c r="G2890" s="73"/>
      <c r="H2890" s="73"/>
      <c r="I2890" s="95"/>
      <c r="J2890" s="73"/>
      <c r="K2890" s="95"/>
      <c r="L2890" s="95"/>
      <c r="M2890" s="22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</row>
    <row r="2891">
      <c r="A2891" s="26"/>
      <c r="B2891" s="73"/>
      <c r="C2891" s="73"/>
      <c r="D2891" s="95"/>
      <c r="E2891" s="73"/>
      <c r="F2891" s="73"/>
      <c r="G2891" s="73"/>
      <c r="H2891" s="73"/>
      <c r="I2891" s="95"/>
      <c r="J2891" s="73"/>
      <c r="K2891" s="95"/>
      <c r="L2891" s="95"/>
      <c r="M2891" s="22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</row>
    <row r="2892">
      <c r="A2892" s="26"/>
      <c r="B2892" s="73"/>
      <c r="C2892" s="73"/>
      <c r="D2892" s="95"/>
      <c r="E2892" s="73"/>
      <c r="F2892" s="73"/>
      <c r="G2892" s="73"/>
      <c r="H2892" s="73"/>
      <c r="I2892" s="95"/>
      <c r="J2892" s="73"/>
      <c r="K2892" s="95"/>
      <c r="L2892" s="95"/>
      <c r="M2892" s="22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</row>
    <row r="2893">
      <c r="A2893" s="26"/>
      <c r="B2893" s="73"/>
      <c r="C2893" s="73"/>
      <c r="D2893" s="95"/>
      <c r="E2893" s="73"/>
      <c r="F2893" s="73"/>
      <c r="G2893" s="73"/>
      <c r="H2893" s="73"/>
      <c r="I2893" s="95"/>
      <c r="J2893" s="73"/>
      <c r="K2893" s="95"/>
      <c r="L2893" s="95"/>
      <c r="M2893" s="22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</row>
    <row r="2894">
      <c r="A2894" s="26"/>
      <c r="B2894" s="73"/>
      <c r="C2894" s="73"/>
      <c r="D2894" s="95"/>
      <c r="E2894" s="73"/>
      <c r="F2894" s="73"/>
      <c r="G2894" s="73"/>
      <c r="H2894" s="73"/>
      <c r="I2894" s="95"/>
      <c r="J2894" s="73"/>
      <c r="K2894" s="95"/>
      <c r="L2894" s="95"/>
      <c r="M2894" s="22"/>
      <c r="N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</row>
    <row r="2895">
      <c r="A2895" s="26"/>
      <c r="B2895" s="73"/>
      <c r="C2895" s="73"/>
      <c r="D2895" s="95"/>
      <c r="E2895" s="73"/>
      <c r="F2895" s="73"/>
      <c r="G2895" s="73"/>
      <c r="H2895" s="73"/>
      <c r="I2895" s="95"/>
      <c r="J2895" s="73"/>
      <c r="K2895" s="95"/>
      <c r="L2895" s="95"/>
      <c r="M2895" s="22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</row>
    <row r="2896">
      <c r="A2896" s="26"/>
      <c r="B2896" s="73"/>
      <c r="C2896" s="73"/>
      <c r="D2896" s="95"/>
      <c r="E2896" s="73"/>
      <c r="F2896" s="73"/>
      <c r="G2896" s="73"/>
      <c r="H2896" s="73"/>
      <c r="I2896" s="95"/>
      <c r="J2896" s="73"/>
      <c r="K2896" s="95"/>
      <c r="L2896" s="95"/>
      <c r="M2896" s="22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</row>
    <row r="2897">
      <c r="A2897" s="26"/>
      <c r="B2897" s="73"/>
      <c r="C2897" s="73"/>
      <c r="D2897" s="95"/>
      <c r="E2897" s="73"/>
      <c r="F2897" s="73"/>
      <c r="G2897" s="73"/>
      <c r="H2897" s="73"/>
      <c r="I2897" s="95"/>
      <c r="J2897" s="73"/>
      <c r="K2897" s="95"/>
      <c r="L2897" s="95"/>
      <c r="M2897" s="22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</row>
    <row r="2898">
      <c r="A2898" s="26"/>
      <c r="B2898" s="73"/>
      <c r="C2898" s="73"/>
      <c r="D2898" s="95"/>
      <c r="E2898" s="73"/>
      <c r="F2898" s="73"/>
      <c r="G2898" s="73"/>
      <c r="H2898" s="73"/>
      <c r="I2898" s="95"/>
      <c r="J2898" s="73"/>
      <c r="K2898" s="95"/>
      <c r="L2898" s="95"/>
      <c r="M2898" s="22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</row>
    <row r="2899">
      <c r="A2899" s="26"/>
      <c r="B2899" s="73"/>
      <c r="C2899" s="73"/>
      <c r="D2899" s="95"/>
      <c r="E2899" s="73"/>
      <c r="F2899" s="73"/>
      <c r="G2899" s="73"/>
      <c r="H2899" s="73"/>
      <c r="I2899" s="95"/>
      <c r="J2899" s="73"/>
      <c r="K2899" s="95"/>
      <c r="L2899" s="95"/>
      <c r="M2899" s="22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</row>
    <row r="2900">
      <c r="A2900" s="26"/>
      <c r="B2900" s="73"/>
      <c r="C2900" s="73"/>
      <c r="D2900" s="95"/>
      <c r="E2900" s="73"/>
      <c r="F2900" s="73"/>
      <c r="G2900" s="73"/>
      <c r="H2900" s="73"/>
      <c r="I2900" s="95"/>
      <c r="J2900" s="73"/>
      <c r="K2900" s="95"/>
      <c r="L2900" s="95"/>
      <c r="M2900" s="22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</row>
    <row r="2901">
      <c r="A2901" s="26"/>
      <c r="B2901" s="73"/>
      <c r="C2901" s="73"/>
      <c r="D2901" s="95"/>
      <c r="E2901" s="73"/>
      <c r="F2901" s="73"/>
      <c r="G2901" s="73"/>
      <c r="H2901" s="73"/>
      <c r="I2901" s="95"/>
      <c r="J2901" s="73"/>
      <c r="K2901" s="95"/>
      <c r="L2901" s="95"/>
      <c r="M2901" s="22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</row>
    <row r="2902">
      <c r="A2902" s="26"/>
      <c r="B2902" s="73"/>
      <c r="C2902" s="73"/>
      <c r="D2902" s="95"/>
      <c r="E2902" s="73"/>
      <c r="F2902" s="73"/>
      <c r="G2902" s="73"/>
      <c r="H2902" s="73"/>
      <c r="I2902" s="95"/>
      <c r="J2902" s="73"/>
      <c r="K2902" s="95"/>
      <c r="L2902" s="95"/>
      <c r="M2902" s="22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</row>
    <row r="2903">
      <c r="A2903" s="26"/>
      <c r="B2903" s="73"/>
      <c r="C2903" s="73"/>
      <c r="D2903" s="95"/>
      <c r="E2903" s="73"/>
      <c r="F2903" s="73"/>
      <c r="G2903" s="73"/>
      <c r="H2903" s="73"/>
      <c r="I2903" s="95"/>
      <c r="J2903" s="73"/>
      <c r="K2903" s="95"/>
      <c r="L2903" s="95"/>
      <c r="M2903" s="22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</row>
    <row r="2904">
      <c r="A2904" s="26"/>
      <c r="B2904" s="73"/>
      <c r="C2904" s="73"/>
      <c r="D2904" s="95"/>
      <c r="E2904" s="73"/>
      <c r="F2904" s="73"/>
      <c r="G2904" s="73"/>
      <c r="H2904" s="73"/>
      <c r="I2904" s="95"/>
      <c r="J2904" s="73"/>
      <c r="K2904" s="95"/>
      <c r="L2904" s="95"/>
      <c r="M2904" s="22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</row>
    <row r="2905">
      <c r="A2905" s="26"/>
      <c r="B2905" s="73"/>
      <c r="C2905" s="73"/>
      <c r="D2905" s="95"/>
      <c r="E2905" s="73"/>
      <c r="F2905" s="73"/>
      <c r="G2905" s="73"/>
      <c r="H2905" s="73"/>
      <c r="I2905" s="95"/>
      <c r="J2905" s="73"/>
      <c r="K2905" s="95"/>
      <c r="L2905" s="95"/>
      <c r="M2905" s="22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</row>
    <row r="2906">
      <c r="A2906" s="26"/>
      <c r="B2906" s="73"/>
      <c r="C2906" s="73"/>
      <c r="D2906" s="95"/>
      <c r="E2906" s="73"/>
      <c r="F2906" s="73"/>
      <c r="G2906" s="73"/>
      <c r="H2906" s="73"/>
      <c r="I2906" s="95"/>
      <c r="J2906" s="73"/>
      <c r="K2906" s="95"/>
      <c r="L2906" s="95"/>
      <c r="M2906" s="22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</row>
    <row r="2907">
      <c r="A2907" s="26"/>
      <c r="B2907" s="73"/>
      <c r="C2907" s="73"/>
      <c r="D2907" s="95"/>
      <c r="E2907" s="73"/>
      <c r="F2907" s="73"/>
      <c r="G2907" s="73"/>
      <c r="H2907" s="73"/>
      <c r="I2907" s="95"/>
      <c r="J2907" s="73"/>
      <c r="K2907" s="95"/>
      <c r="L2907" s="95"/>
      <c r="M2907" s="22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</row>
    <row r="2908">
      <c r="A2908" s="26"/>
      <c r="B2908" s="73"/>
      <c r="C2908" s="73"/>
      <c r="D2908" s="95"/>
      <c r="E2908" s="73"/>
      <c r="F2908" s="73"/>
      <c r="G2908" s="73"/>
      <c r="H2908" s="73"/>
      <c r="I2908" s="95"/>
      <c r="J2908" s="73"/>
      <c r="K2908" s="95"/>
      <c r="L2908" s="95"/>
      <c r="M2908" s="22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</row>
    <row r="2909">
      <c r="A2909" s="26"/>
      <c r="B2909" s="73"/>
      <c r="C2909" s="73"/>
      <c r="D2909" s="95"/>
      <c r="E2909" s="73"/>
      <c r="F2909" s="73"/>
      <c r="G2909" s="73"/>
      <c r="H2909" s="73"/>
      <c r="I2909" s="95"/>
      <c r="J2909" s="73"/>
      <c r="K2909" s="95"/>
      <c r="L2909" s="95"/>
      <c r="M2909" s="22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</row>
    <row r="2910">
      <c r="A2910" s="26"/>
      <c r="B2910" s="73"/>
      <c r="C2910" s="73"/>
      <c r="D2910" s="95"/>
      <c r="E2910" s="73"/>
      <c r="F2910" s="73"/>
      <c r="G2910" s="73"/>
      <c r="H2910" s="73"/>
      <c r="I2910" s="95"/>
      <c r="J2910" s="73"/>
      <c r="K2910" s="95"/>
      <c r="L2910" s="95"/>
      <c r="M2910" s="22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</row>
    <row r="2911">
      <c r="A2911" s="26"/>
      <c r="B2911" s="73"/>
      <c r="C2911" s="73"/>
      <c r="D2911" s="95"/>
      <c r="E2911" s="73"/>
      <c r="F2911" s="73"/>
      <c r="G2911" s="73"/>
      <c r="H2911" s="73"/>
      <c r="I2911" s="95"/>
      <c r="J2911" s="73"/>
      <c r="K2911" s="95"/>
      <c r="L2911" s="95"/>
      <c r="M2911" s="22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</row>
    <row r="2912">
      <c r="A2912" s="26"/>
      <c r="B2912" s="73"/>
      <c r="C2912" s="73"/>
      <c r="D2912" s="95"/>
      <c r="E2912" s="73"/>
      <c r="F2912" s="73"/>
      <c r="G2912" s="73"/>
      <c r="H2912" s="73"/>
      <c r="I2912" s="95"/>
      <c r="J2912" s="73"/>
      <c r="K2912" s="95"/>
      <c r="L2912" s="95"/>
      <c r="M2912" s="22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</row>
    <row r="2913">
      <c r="A2913" s="26"/>
      <c r="B2913" s="73"/>
      <c r="C2913" s="73"/>
      <c r="D2913" s="95"/>
      <c r="E2913" s="73"/>
      <c r="F2913" s="73"/>
      <c r="G2913" s="73"/>
      <c r="H2913" s="73"/>
      <c r="I2913" s="95"/>
      <c r="J2913" s="73"/>
      <c r="K2913" s="95"/>
      <c r="L2913" s="95"/>
      <c r="M2913" s="22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</row>
    <row r="2914">
      <c r="A2914" s="26"/>
      <c r="B2914" s="73"/>
      <c r="C2914" s="73"/>
      <c r="D2914" s="95"/>
      <c r="E2914" s="73"/>
      <c r="F2914" s="73"/>
      <c r="G2914" s="73"/>
      <c r="H2914" s="73"/>
      <c r="I2914" s="95"/>
      <c r="J2914" s="73"/>
      <c r="K2914" s="95"/>
      <c r="L2914" s="95"/>
      <c r="M2914" s="22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</row>
    <row r="2915">
      <c r="A2915" s="26"/>
      <c r="B2915" s="73"/>
      <c r="C2915" s="73"/>
      <c r="D2915" s="95"/>
      <c r="E2915" s="73"/>
      <c r="F2915" s="73"/>
      <c r="G2915" s="73"/>
      <c r="H2915" s="73"/>
      <c r="I2915" s="95"/>
      <c r="J2915" s="73"/>
      <c r="K2915" s="95"/>
      <c r="L2915" s="95"/>
      <c r="M2915" s="22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</row>
    <row r="2916">
      <c r="A2916" s="26"/>
      <c r="B2916" s="73"/>
      <c r="C2916" s="73"/>
      <c r="D2916" s="95"/>
      <c r="E2916" s="73"/>
      <c r="F2916" s="73"/>
      <c r="G2916" s="73"/>
      <c r="H2916" s="73"/>
      <c r="I2916" s="95"/>
      <c r="J2916" s="73"/>
      <c r="K2916" s="95"/>
      <c r="L2916" s="95"/>
      <c r="M2916" s="22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</row>
    <row r="2917">
      <c r="A2917" s="26"/>
      <c r="B2917" s="73"/>
      <c r="C2917" s="73"/>
      <c r="D2917" s="95"/>
      <c r="E2917" s="73"/>
      <c r="F2917" s="73"/>
      <c r="G2917" s="73"/>
      <c r="H2917" s="73"/>
      <c r="I2917" s="95"/>
      <c r="J2917" s="73"/>
      <c r="K2917" s="95"/>
      <c r="L2917" s="95"/>
      <c r="M2917" s="22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</row>
    <row r="2918">
      <c r="A2918" s="26"/>
      <c r="B2918" s="73"/>
      <c r="C2918" s="73"/>
      <c r="D2918" s="95"/>
      <c r="E2918" s="73"/>
      <c r="F2918" s="73"/>
      <c r="G2918" s="73"/>
      <c r="H2918" s="73"/>
      <c r="I2918" s="95"/>
      <c r="J2918" s="73"/>
      <c r="K2918" s="95"/>
      <c r="L2918" s="95"/>
      <c r="M2918" s="22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</row>
    <row r="2919">
      <c r="A2919" s="26"/>
      <c r="B2919" s="73"/>
      <c r="C2919" s="73"/>
      <c r="D2919" s="95"/>
      <c r="E2919" s="73"/>
      <c r="F2919" s="73"/>
      <c r="G2919" s="73"/>
      <c r="H2919" s="73"/>
      <c r="I2919" s="95"/>
      <c r="J2919" s="73"/>
      <c r="K2919" s="95"/>
      <c r="L2919" s="95"/>
      <c r="M2919" s="22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</row>
    <row r="2920">
      <c r="A2920" s="26"/>
      <c r="B2920" s="73"/>
      <c r="C2920" s="73"/>
      <c r="D2920" s="95"/>
      <c r="E2920" s="73"/>
      <c r="F2920" s="73"/>
      <c r="G2920" s="73"/>
      <c r="H2920" s="73"/>
      <c r="I2920" s="95"/>
      <c r="J2920" s="73"/>
      <c r="K2920" s="95"/>
      <c r="L2920" s="95"/>
      <c r="M2920" s="22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</row>
    <row r="2921">
      <c r="A2921" s="26"/>
      <c r="B2921" s="73"/>
      <c r="C2921" s="73"/>
      <c r="D2921" s="95"/>
      <c r="E2921" s="73"/>
      <c r="F2921" s="73"/>
      <c r="G2921" s="73"/>
      <c r="H2921" s="73"/>
      <c r="I2921" s="95"/>
      <c r="J2921" s="73"/>
      <c r="K2921" s="95"/>
      <c r="L2921" s="95"/>
      <c r="M2921" s="22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</row>
    <row r="2922">
      <c r="A2922" s="26"/>
      <c r="B2922" s="73"/>
      <c r="C2922" s="73"/>
      <c r="D2922" s="95"/>
      <c r="E2922" s="73"/>
      <c r="F2922" s="73"/>
      <c r="G2922" s="73"/>
      <c r="H2922" s="73"/>
      <c r="I2922" s="95"/>
      <c r="J2922" s="73"/>
      <c r="K2922" s="95"/>
      <c r="L2922" s="95"/>
      <c r="M2922" s="22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</row>
    <row r="2923">
      <c r="A2923" s="26"/>
      <c r="B2923" s="73"/>
      <c r="C2923" s="73"/>
      <c r="D2923" s="95"/>
      <c r="E2923" s="73"/>
      <c r="F2923" s="73"/>
      <c r="G2923" s="73"/>
      <c r="H2923" s="73"/>
      <c r="I2923" s="95"/>
      <c r="J2923" s="73"/>
      <c r="K2923" s="95"/>
      <c r="L2923" s="95"/>
      <c r="M2923" s="22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</row>
    <row r="2924">
      <c r="A2924" s="26"/>
      <c r="B2924" s="73"/>
      <c r="C2924" s="73"/>
      <c r="D2924" s="95"/>
      <c r="E2924" s="73"/>
      <c r="F2924" s="73"/>
      <c r="G2924" s="73"/>
      <c r="H2924" s="73"/>
      <c r="I2924" s="95"/>
      <c r="J2924" s="73"/>
      <c r="K2924" s="95"/>
      <c r="L2924" s="95"/>
      <c r="M2924" s="22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</row>
    <row r="2925">
      <c r="A2925" s="26"/>
      <c r="B2925" s="73"/>
      <c r="C2925" s="73"/>
      <c r="D2925" s="95"/>
      <c r="E2925" s="73"/>
      <c r="F2925" s="73"/>
      <c r="G2925" s="73"/>
      <c r="H2925" s="73"/>
      <c r="I2925" s="95"/>
      <c r="J2925" s="73"/>
      <c r="K2925" s="95"/>
      <c r="L2925" s="95"/>
      <c r="M2925" s="22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</row>
    <row r="2926">
      <c r="A2926" s="26"/>
      <c r="B2926" s="73"/>
      <c r="C2926" s="73"/>
      <c r="D2926" s="95"/>
      <c r="E2926" s="73"/>
      <c r="F2926" s="73"/>
      <c r="G2926" s="73"/>
      <c r="H2926" s="73"/>
      <c r="I2926" s="95"/>
      <c r="J2926" s="73"/>
      <c r="K2926" s="95"/>
      <c r="L2926" s="95"/>
      <c r="M2926" s="22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</row>
    <row r="2927">
      <c r="A2927" s="26"/>
      <c r="B2927" s="73"/>
      <c r="C2927" s="73"/>
      <c r="D2927" s="95"/>
      <c r="E2927" s="73"/>
      <c r="F2927" s="73"/>
      <c r="G2927" s="73"/>
      <c r="H2927" s="73"/>
      <c r="I2927" s="95"/>
      <c r="J2927" s="73"/>
      <c r="K2927" s="95"/>
      <c r="L2927" s="95"/>
      <c r="M2927" s="22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</row>
    <row r="2928">
      <c r="A2928" s="26"/>
      <c r="B2928" s="73"/>
      <c r="C2928" s="73"/>
      <c r="D2928" s="95"/>
      <c r="E2928" s="73"/>
      <c r="F2928" s="73"/>
      <c r="G2928" s="73"/>
      <c r="H2928" s="73"/>
      <c r="I2928" s="95"/>
      <c r="J2928" s="73"/>
      <c r="K2928" s="95"/>
      <c r="L2928" s="95"/>
      <c r="M2928" s="22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</row>
    <row r="2929">
      <c r="A2929" s="26"/>
      <c r="B2929" s="73"/>
      <c r="C2929" s="73"/>
      <c r="D2929" s="95"/>
      <c r="E2929" s="73"/>
      <c r="F2929" s="73"/>
      <c r="G2929" s="73"/>
      <c r="H2929" s="73"/>
      <c r="I2929" s="95"/>
      <c r="J2929" s="73"/>
      <c r="K2929" s="95"/>
      <c r="L2929" s="95"/>
      <c r="M2929" s="22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</row>
    <row r="2930">
      <c r="A2930" s="26"/>
      <c r="B2930" s="73"/>
      <c r="C2930" s="73"/>
      <c r="D2930" s="95"/>
      <c r="E2930" s="73"/>
      <c r="F2930" s="73"/>
      <c r="G2930" s="73"/>
      <c r="H2930" s="73"/>
      <c r="I2930" s="95"/>
      <c r="J2930" s="73"/>
      <c r="K2930" s="95"/>
      <c r="L2930" s="95"/>
      <c r="M2930" s="22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</row>
    <row r="2931">
      <c r="A2931" s="26"/>
      <c r="B2931" s="73"/>
      <c r="C2931" s="73"/>
      <c r="D2931" s="95"/>
      <c r="E2931" s="73"/>
      <c r="F2931" s="73"/>
      <c r="G2931" s="73"/>
      <c r="H2931" s="73"/>
      <c r="I2931" s="95"/>
      <c r="J2931" s="73"/>
      <c r="K2931" s="95"/>
      <c r="L2931" s="95"/>
      <c r="M2931" s="22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</row>
    <row r="2932">
      <c r="A2932" s="26"/>
      <c r="B2932" s="73"/>
      <c r="C2932" s="73"/>
      <c r="D2932" s="95"/>
      <c r="E2932" s="73"/>
      <c r="F2932" s="73"/>
      <c r="G2932" s="73"/>
      <c r="H2932" s="73"/>
      <c r="I2932" s="95"/>
      <c r="J2932" s="73"/>
      <c r="K2932" s="95"/>
      <c r="L2932" s="95"/>
      <c r="M2932" s="22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</row>
    <row r="2933">
      <c r="A2933" s="26"/>
      <c r="B2933" s="73"/>
      <c r="C2933" s="73"/>
      <c r="D2933" s="95"/>
      <c r="E2933" s="73"/>
      <c r="F2933" s="73"/>
      <c r="G2933" s="73"/>
      <c r="H2933" s="73"/>
      <c r="I2933" s="95"/>
      <c r="J2933" s="73"/>
      <c r="K2933" s="95"/>
      <c r="L2933" s="95"/>
      <c r="M2933" s="22"/>
      <c r="N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</row>
    <row r="2934">
      <c r="A2934" s="26"/>
      <c r="B2934" s="73"/>
      <c r="C2934" s="73"/>
      <c r="D2934" s="95"/>
      <c r="E2934" s="73"/>
      <c r="F2934" s="73"/>
      <c r="G2934" s="73"/>
      <c r="H2934" s="73"/>
      <c r="I2934" s="95"/>
      <c r="J2934" s="73"/>
      <c r="K2934" s="95"/>
      <c r="L2934" s="95"/>
      <c r="M2934" s="22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</row>
    <row r="2935">
      <c r="A2935" s="26"/>
      <c r="B2935" s="73"/>
      <c r="C2935" s="73"/>
      <c r="D2935" s="95"/>
      <c r="E2935" s="73"/>
      <c r="F2935" s="73"/>
      <c r="G2935" s="73"/>
      <c r="H2935" s="73"/>
      <c r="I2935" s="95"/>
      <c r="J2935" s="73"/>
      <c r="K2935" s="95"/>
      <c r="L2935" s="95"/>
      <c r="M2935" s="22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</row>
    <row r="2936">
      <c r="A2936" s="26"/>
      <c r="B2936" s="73"/>
      <c r="C2936" s="73"/>
      <c r="D2936" s="95"/>
      <c r="E2936" s="73"/>
      <c r="F2936" s="73"/>
      <c r="G2936" s="73"/>
      <c r="H2936" s="73"/>
      <c r="I2936" s="95"/>
      <c r="J2936" s="73"/>
      <c r="K2936" s="95"/>
      <c r="L2936" s="95"/>
      <c r="M2936" s="22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</row>
    <row r="2937">
      <c r="A2937" s="26"/>
      <c r="B2937" s="73"/>
      <c r="C2937" s="73"/>
      <c r="D2937" s="95"/>
      <c r="E2937" s="73"/>
      <c r="F2937" s="73"/>
      <c r="G2937" s="73"/>
      <c r="H2937" s="73"/>
      <c r="I2937" s="95"/>
      <c r="J2937" s="73"/>
      <c r="K2937" s="95"/>
      <c r="L2937" s="95"/>
      <c r="M2937" s="22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</row>
    <row r="2938">
      <c r="A2938" s="26"/>
      <c r="B2938" s="73"/>
      <c r="C2938" s="73"/>
      <c r="D2938" s="95"/>
      <c r="E2938" s="73"/>
      <c r="F2938" s="73"/>
      <c r="G2938" s="73"/>
      <c r="H2938" s="73"/>
      <c r="I2938" s="95"/>
      <c r="J2938" s="73"/>
      <c r="K2938" s="95"/>
      <c r="L2938" s="95"/>
      <c r="M2938" s="22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</row>
    <row r="2939">
      <c r="A2939" s="26"/>
      <c r="B2939" s="73"/>
      <c r="C2939" s="73"/>
      <c r="D2939" s="95"/>
      <c r="E2939" s="73"/>
      <c r="F2939" s="73"/>
      <c r="G2939" s="73"/>
      <c r="H2939" s="73"/>
      <c r="I2939" s="95"/>
      <c r="J2939" s="73"/>
      <c r="K2939" s="95"/>
      <c r="L2939" s="95"/>
      <c r="M2939" s="22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</row>
    <row r="2940">
      <c r="A2940" s="26"/>
      <c r="B2940" s="73"/>
      <c r="C2940" s="73"/>
      <c r="D2940" s="95"/>
      <c r="E2940" s="73"/>
      <c r="F2940" s="73"/>
      <c r="G2940" s="73"/>
      <c r="H2940" s="73"/>
      <c r="I2940" s="95"/>
      <c r="J2940" s="73"/>
      <c r="K2940" s="95"/>
      <c r="L2940" s="95"/>
      <c r="M2940" s="22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</row>
    <row r="2941">
      <c r="A2941" s="26"/>
      <c r="B2941" s="73"/>
      <c r="C2941" s="73"/>
      <c r="D2941" s="95"/>
      <c r="E2941" s="73"/>
      <c r="F2941" s="73"/>
      <c r="G2941" s="73"/>
      <c r="H2941" s="73"/>
      <c r="I2941" s="95"/>
      <c r="J2941" s="73"/>
      <c r="K2941" s="95"/>
      <c r="L2941" s="95"/>
      <c r="M2941" s="22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</row>
    <row r="2942">
      <c r="A2942" s="26"/>
      <c r="B2942" s="73"/>
      <c r="C2942" s="73"/>
      <c r="D2942" s="95"/>
      <c r="E2942" s="73"/>
      <c r="F2942" s="73"/>
      <c r="G2942" s="73"/>
      <c r="H2942" s="73"/>
      <c r="I2942" s="95"/>
      <c r="J2942" s="73"/>
      <c r="K2942" s="95"/>
      <c r="L2942" s="95"/>
      <c r="M2942" s="22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</row>
    <row r="2943">
      <c r="A2943" s="26"/>
      <c r="B2943" s="73"/>
      <c r="C2943" s="73"/>
      <c r="D2943" s="95"/>
      <c r="E2943" s="73"/>
      <c r="F2943" s="73"/>
      <c r="G2943" s="73"/>
      <c r="H2943" s="73"/>
      <c r="I2943" s="95"/>
      <c r="J2943" s="73"/>
      <c r="K2943" s="95"/>
      <c r="L2943" s="95"/>
      <c r="M2943" s="22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</row>
    <row r="2944">
      <c r="A2944" s="26"/>
      <c r="B2944" s="73"/>
      <c r="C2944" s="73"/>
      <c r="D2944" s="95"/>
      <c r="E2944" s="73"/>
      <c r="F2944" s="73"/>
      <c r="G2944" s="73"/>
      <c r="H2944" s="73"/>
      <c r="I2944" s="95"/>
      <c r="J2944" s="73"/>
      <c r="K2944" s="95"/>
      <c r="L2944" s="95"/>
      <c r="M2944" s="22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</row>
    <row r="2945">
      <c r="A2945" s="26"/>
      <c r="B2945" s="73"/>
      <c r="C2945" s="73"/>
      <c r="D2945" s="95"/>
      <c r="E2945" s="73"/>
      <c r="F2945" s="73"/>
      <c r="G2945" s="73"/>
      <c r="H2945" s="73"/>
      <c r="I2945" s="95"/>
      <c r="J2945" s="73"/>
      <c r="K2945" s="95"/>
      <c r="L2945" s="95"/>
      <c r="M2945" s="22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</row>
    <row r="2946">
      <c r="A2946" s="26"/>
      <c r="B2946" s="73"/>
      <c r="C2946" s="73"/>
      <c r="D2946" s="95"/>
      <c r="E2946" s="73"/>
      <c r="F2946" s="73"/>
      <c r="G2946" s="73"/>
      <c r="H2946" s="73"/>
      <c r="I2946" s="95"/>
      <c r="J2946" s="73"/>
      <c r="K2946" s="95"/>
      <c r="L2946" s="95"/>
      <c r="M2946" s="22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</row>
    <row r="2947">
      <c r="A2947" s="26"/>
      <c r="B2947" s="73"/>
      <c r="C2947" s="73"/>
      <c r="D2947" s="95"/>
      <c r="E2947" s="73"/>
      <c r="F2947" s="73"/>
      <c r="G2947" s="73"/>
      <c r="H2947" s="73"/>
      <c r="I2947" s="95"/>
      <c r="J2947" s="73"/>
      <c r="K2947" s="95"/>
      <c r="L2947" s="95"/>
      <c r="M2947" s="22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</row>
    <row r="2948">
      <c r="A2948" s="26"/>
      <c r="B2948" s="73"/>
      <c r="C2948" s="73"/>
      <c r="D2948" s="95"/>
      <c r="E2948" s="73"/>
      <c r="F2948" s="73"/>
      <c r="G2948" s="73"/>
      <c r="H2948" s="73"/>
      <c r="I2948" s="95"/>
      <c r="J2948" s="73"/>
      <c r="K2948" s="95"/>
      <c r="L2948" s="95"/>
      <c r="M2948" s="22"/>
      <c r="N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</row>
    <row r="2949">
      <c r="A2949" s="26"/>
      <c r="B2949" s="73"/>
      <c r="C2949" s="73"/>
      <c r="D2949" s="95"/>
      <c r="E2949" s="73"/>
      <c r="F2949" s="73"/>
      <c r="G2949" s="73"/>
      <c r="H2949" s="73"/>
      <c r="I2949" s="95"/>
      <c r="J2949" s="73"/>
      <c r="K2949" s="95"/>
      <c r="L2949" s="95"/>
      <c r="M2949" s="22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</row>
    <row r="2950">
      <c r="A2950" s="26"/>
      <c r="B2950" s="73"/>
      <c r="C2950" s="73"/>
      <c r="D2950" s="95"/>
      <c r="E2950" s="73"/>
      <c r="F2950" s="73"/>
      <c r="G2950" s="73"/>
      <c r="H2950" s="73"/>
      <c r="I2950" s="95"/>
      <c r="J2950" s="73"/>
      <c r="K2950" s="95"/>
      <c r="L2950" s="95"/>
      <c r="M2950" s="22"/>
      <c r="N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6"/>
    </row>
    <row r="2951">
      <c r="A2951" s="26"/>
      <c r="B2951" s="73"/>
      <c r="C2951" s="73"/>
      <c r="D2951" s="95"/>
      <c r="E2951" s="73"/>
      <c r="F2951" s="73"/>
      <c r="G2951" s="73"/>
      <c r="H2951" s="73"/>
      <c r="I2951" s="95"/>
      <c r="J2951" s="73"/>
      <c r="K2951" s="95"/>
      <c r="L2951" s="95"/>
      <c r="M2951" s="22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</row>
    <row r="2952">
      <c r="A2952" s="26"/>
      <c r="B2952" s="73"/>
      <c r="C2952" s="73"/>
      <c r="D2952" s="95"/>
      <c r="E2952" s="73"/>
      <c r="F2952" s="73"/>
      <c r="G2952" s="73"/>
      <c r="H2952" s="73"/>
      <c r="I2952" s="95"/>
      <c r="J2952" s="73"/>
      <c r="K2952" s="95"/>
      <c r="L2952" s="95"/>
      <c r="M2952" s="22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</row>
    <row r="2953">
      <c r="A2953" s="26"/>
      <c r="B2953" s="73"/>
      <c r="C2953" s="73"/>
      <c r="D2953" s="95"/>
      <c r="E2953" s="73"/>
      <c r="F2953" s="73"/>
      <c r="G2953" s="73"/>
      <c r="H2953" s="73"/>
      <c r="I2953" s="95"/>
      <c r="J2953" s="73"/>
      <c r="K2953" s="95"/>
      <c r="L2953" s="95"/>
      <c r="M2953" s="22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</row>
    <row r="2954">
      <c r="A2954" s="26"/>
      <c r="B2954" s="73"/>
      <c r="C2954" s="73"/>
      <c r="D2954" s="95"/>
      <c r="E2954" s="73"/>
      <c r="F2954" s="73"/>
      <c r="G2954" s="73"/>
      <c r="H2954" s="73"/>
      <c r="I2954" s="95"/>
      <c r="J2954" s="73"/>
      <c r="K2954" s="95"/>
      <c r="L2954" s="95"/>
      <c r="M2954" s="22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</row>
    <row r="2955">
      <c r="A2955" s="26"/>
      <c r="B2955" s="73"/>
      <c r="C2955" s="73"/>
      <c r="D2955" s="95"/>
      <c r="E2955" s="73"/>
      <c r="F2955" s="73"/>
      <c r="G2955" s="73"/>
      <c r="H2955" s="73"/>
      <c r="I2955" s="95"/>
      <c r="J2955" s="73"/>
      <c r="K2955" s="95"/>
      <c r="L2955" s="95"/>
      <c r="M2955" s="22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</row>
    <row r="2956">
      <c r="A2956" s="26"/>
      <c r="B2956" s="73"/>
      <c r="C2956" s="73"/>
      <c r="D2956" s="95"/>
      <c r="E2956" s="73"/>
      <c r="F2956" s="73"/>
      <c r="G2956" s="73"/>
      <c r="H2956" s="73"/>
      <c r="I2956" s="95"/>
      <c r="J2956" s="73"/>
      <c r="K2956" s="95"/>
      <c r="L2956" s="95"/>
      <c r="M2956" s="22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</row>
    <row r="2957">
      <c r="A2957" s="26"/>
      <c r="B2957" s="73"/>
      <c r="C2957" s="73"/>
      <c r="D2957" s="95"/>
      <c r="E2957" s="73"/>
      <c r="F2957" s="73"/>
      <c r="G2957" s="73"/>
      <c r="H2957" s="73"/>
      <c r="I2957" s="95"/>
      <c r="J2957" s="73"/>
      <c r="K2957" s="95"/>
      <c r="L2957" s="95"/>
      <c r="M2957" s="22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</row>
    <row r="2958">
      <c r="A2958" s="26"/>
      <c r="B2958" s="73"/>
      <c r="C2958" s="73"/>
      <c r="D2958" s="95"/>
      <c r="E2958" s="73"/>
      <c r="F2958" s="73"/>
      <c r="G2958" s="73"/>
      <c r="H2958" s="73"/>
      <c r="I2958" s="95"/>
      <c r="J2958" s="73"/>
      <c r="K2958" s="95"/>
      <c r="L2958" s="95"/>
      <c r="M2958" s="22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</row>
    <row r="2959">
      <c r="A2959" s="26"/>
      <c r="B2959" s="73"/>
      <c r="C2959" s="73"/>
      <c r="D2959" s="95"/>
      <c r="E2959" s="73"/>
      <c r="F2959" s="73"/>
      <c r="G2959" s="73"/>
      <c r="H2959" s="73"/>
      <c r="I2959" s="95"/>
      <c r="J2959" s="73"/>
      <c r="K2959" s="95"/>
      <c r="L2959" s="95"/>
      <c r="M2959" s="22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</row>
    <row r="2960">
      <c r="A2960" s="26"/>
      <c r="B2960" s="73"/>
      <c r="C2960" s="73"/>
      <c r="D2960" s="95"/>
      <c r="E2960" s="73"/>
      <c r="F2960" s="73"/>
      <c r="G2960" s="73"/>
      <c r="H2960" s="73"/>
      <c r="I2960" s="95"/>
      <c r="J2960" s="73"/>
      <c r="K2960" s="95"/>
      <c r="L2960" s="95"/>
      <c r="M2960" s="22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</row>
    <row r="2961">
      <c r="A2961" s="26"/>
      <c r="B2961" s="73"/>
      <c r="C2961" s="73"/>
      <c r="D2961" s="95"/>
      <c r="E2961" s="73"/>
      <c r="F2961" s="73"/>
      <c r="G2961" s="73"/>
      <c r="H2961" s="73"/>
      <c r="I2961" s="95"/>
      <c r="J2961" s="73"/>
      <c r="K2961" s="95"/>
      <c r="L2961" s="95"/>
      <c r="M2961" s="22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</row>
    <row r="2962">
      <c r="A2962" s="26"/>
      <c r="B2962" s="73"/>
      <c r="C2962" s="73"/>
      <c r="D2962" s="95"/>
      <c r="E2962" s="73"/>
      <c r="F2962" s="73"/>
      <c r="G2962" s="73"/>
      <c r="H2962" s="73"/>
      <c r="I2962" s="95"/>
      <c r="J2962" s="73"/>
      <c r="K2962" s="95"/>
      <c r="L2962" s="95"/>
      <c r="M2962" s="22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</row>
    <row r="2963">
      <c r="A2963" s="26"/>
      <c r="B2963" s="73"/>
      <c r="C2963" s="73"/>
      <c r="D2963" s="95"/>
      <c r="E2963" s="73"/>
      <c r="F2963" s="73"/>
      <c r="G2963" s="73"/>
      <c r="H2963" s="73"/>
      <c r="I2963" s="95"/>
      <c r="J2963" s="73"/>
      <c r="K2963" s="95"/>
      <c r="L2963" s="95"/>
      <c r="M2963" s="22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</row>
    <row r="2964">
      <c r="A2964" s="26"/>
      <c r="B2964" s="73"/>
      <c r="C2964" s="73"/>
      <c r="D2964" s="95"/>
      <c r="E2964" s="73"/>
      <c r="F2964" s="73"/>
      <c r="G2964" s="73"/>
      <c r="H2964" s="73"/>
      <c r="I2964" s="95"/>
      <c r="J2964" s="73"/>
      <c r="K2964" s="95"/>
      <c r="L2964" s="95"/>
      <c r="M2964" s="22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</row>
    <row r="2965">
      <c r="A2965" s="26"/>
      <c r="B2965" s="73"/>
      <c r="C2965" s="73"/>
      <c r="D2965" s="95"/>
      <c r="E2965" s="73"/>
      <c r="F2965" s="73"/>
      <c r="G2965" s="73"/>
      <c r="H2965" s="73"/>
      <c r="I2965" s="95"/>
      <c r="J2965" s="73"/>
      <c r="K2965" s="95"/>
      <c r="L2965" s="95"/>
      <c r="M2965" s="22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</row>
    <row r="2966">
      <c r="A2966" s="26"/>
      <c r="B2966" s="73"/>
      <c r="C2966" s="73"/>
      <c r="D2966" s="95"/>
      <c r="E2966" s="73"/>
      <c r="F2966" s="73"/>
      <c r="G2966" s="73"/>
      <c r="H2966" s="73"/>
      <c r="I2966" s="95"/>
      <c r="J2966" s="73"/>
      <c r="K2966" s="95"/>
      <c r="L2966" s="95"/>
      <c r="M2966" s="22"/>
      <c r="N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6"/>
    </row>
    <row r="2967">
      <c r="A2967" s="26"/>
      <c r="B2967" s="73"/>
      <c r="C2967" s="73"/>
      <c r="D2967" s="95"/>
      <c r="E2967" s="73"/>
      <c r="F2967" s="73"/>
      <c r="G2967" s="73"/>
      <c r="H2967" s="73"/>
      <c r="I2967" s="95"/>
      <c r="J2967" s="73"/>
      <c r="K2967" s="95"/>
      <c r="L2967" s="95"/>
      <c r="M2967" s="22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</row>
    <row r="2968">
      <c r="A2968" s="26"/>
      <c r="B2968" s="73"/>
      <c r="C2968" s="73"/>
      <c r="D2968" s="95"/>
      <c r="E2968" s="73"/>
      <c r="F2968" s="73"/>
      <c r="G2968" s="73"/>
      <c r="H2968" s="73"/>
      <c r="I2968" s="95"/>
      <c r="J2968" s="73"/>
      <c r="K2968" s="95"/>
      <c r="L2968" s="95"/>
      <c r="M2968" s="22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</row>
    <row r="2969">
      <c r="A2969" s="26"/>
      <c r="B2969" s="73"/>
      <c r="C2969" s="73"/>
      <c r="D2969" s="95"/>
      <c r="E2969" s="73"/>
      <c r="F2969" s="73"/>
      <c r="G2969" s="73"/>
      <c r="H2969" s="73"/>
      <c r="I2969" s="95"/>
      <c r="J2969" s="73"/>
      <c r="K2969" s="95"/>
      <c r="L2969" s="95"/>
      <c r="M2969" s="22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</row>
    <row r="2970">
      <c r="A2970" s="26"/>
      <c r="B2970" s="73"/>
      <c r="C2970" s="73"/>
      <c r="D2970" s="95"/>
      <c r="E2970" s="73"/>
      <c r="F2970" s="73"/>
      <c r="G2970" s="73"/>
      <c r="H2970" s="73"/>
      <c r="I2970" s="95"/>
      <c r="J2970" s="73"/>
      <c r="K2970" s="95"/>
      <c r="L2970" s="95"/>
      <c r="M2970" s="22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</row>
    <row r="2971">
      <c r="A2971" s="26"/>
      <c r="B2971" s="73"/>
      <c r="C2971" s="73"/>
      <c r="D2971" s="95"/>
      <c r="E2971" s="73"/>
      <c r="F2971" s="73"/>
      <c r="G2971" s="73"/>
      <c r="H2971" s="73"/>
      <c r="I2971" s="95"/>
      <c r="J2971" s="73"/>
      <c r="K2971" s="95"/>
      <c r="L2971" s="95"/>
      <c r="M2971" s="22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</row>
    <row r="2972">
      <c r="A2972" s="26"/>
      <c r="B2972" s="73"/>
      <c r="C2972" s="73"/>
      <c r="D2972" s="95"/>
      <c r="E2972" s="73"/>
      <c r="F2972" s="73"/>
      <c r="G2972" s="73"/>
      <c r="H2972" s="73"/>
      <c r="I2972" s="95"/>
      <c r="J2972" s="73"/>
      <c r="K2972" s="95"/>
      <c r="L2972" s="95"/>
      <c r="M2972" s="22"/>
      <c r="N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6"/>
    </row>
    <row r="2973">
      <c r="A2973" s="26"/>
      <c r="B2973" s="73"/>
      <c r="C2973" s="73"/>
      <c r="D2973" s="95"/>
      <c r="E2973" s="73"/>
      <c r="F2973" s="73"/>
      <c r="G2973" s="73"/>
      <c r="H2973" s="73"/>
      <c r="I2973" s="95"/>
      <c r="J2973" s="73"/>
      <c r="K2973" s="95"/>
      <c r="L2973" s="95"/>
      <c r="M2973" s="22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</row>
    <row r="2974">
      <c r="A2974" s="26"/>
      <c r="B2974" s="73"/>
      <c r="C2974" s="73"/>
      <c r="D2974" s="95"/>
      <c r="E2974" s="73"/>
      <c r="F2974" s="73"/>
      <c r="G2974" s="73"/>
      <c r="H2974" s="73"/>
      <c r="I2974" s="95"/>
      <c r="J2974" s="73"/>
      <c r="K2974" s="95"/>
      <c r="L2974" s="95"/>
      <c r="M2974" s="22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</row>
    <row r="2975">
      <c r="A2975" s="26"/>
      <c r="B2975" s="73"/>
      <c r="C2975" s="73"/>
      <c r="D2975" s="95"/>
      <c r="E2975" s="73"/>
      <c r="F2975" s="73"/>
      <c r="G2975" s="73"/>
      <c r="H2975" s="73"/>
      <c r="I2975" s="95"/>
      <c r="J2975" s="73"/>
      <c r="K2975" s="95"/>
      <c r="L2975" s="95"/>
      <c r="M2975" s="22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</row>
    <row r="2976">
      <c r="A2976" s="26"/>
      <c r="B2976" s="73"/>
      <c r="C2976" s="73"/>
      <c r="D2976" s="95"/>
      <c r="E2976" s="73"/>
      <c r="F2976" s="73"/>
      <c r="G2976" s="73"/>
      <c r="H2976" s="73"/>
      <c r="I2976" s="95"/>
      <c r="J2976" s="73"/>
      <c r="K2976" s="95"/>
      <c r="L2976" s="95"/>
      <c r="M2976" s="22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</row>
    <row r="2977">
      <c r="A2977" s="26"/>
      <c r="B2977" s="73"/>
      <c r="C2977" s="73"/>
      <c r="D2977" s="95"/>
      <c r="E2977" s="73"/>
      <c r="F2977" s="73"/>
      <c r="G2977" s="73"/>
      <c r="H2977" s="73"/>
      <c r="I2977" s="95"/>
      <c r="J2977" s="73"/>
      <c r="K2977" s="95"/>
      <c r="L2977" s="95"/>
      <c r="M2977" s="22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</row>
    <row r="2978">
      <c r="A2978" s="26"/>
      <c r="B2978" s="73"/>
      <c r="C2978" s="73"/>
      <c r="D2978" s="95"/>
      <c r="E2978" s="73"/>
      <c r="F2978" s="73"/>
      <c r="G2978" s="73"/>
      <c r="H2978" s="73"/>
      <c r="I2978" s="95"/>
      <c r="J2978" s="73"/>
      <c r="K2978" s="95"/>
      <c r="L2978" s="95"/>
      <c r="M2978" s="22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</row>
    <row r="2979">
      <c r="A2979" s="26"/>
      <c r="B2979" s="73"/>
      <c r="C2979" s="73"/>
      <c r="D2979" s="95"/>
      <c r="E2979" s="73"/>
      <c r="F2979" s="73"/>
      <c r="G2979" s="73"/>
      <c r="H2979" s="73"/>
      <c r="I2979" s="95"/>
      <c r="J2979" s="73"/>
      <c r="K2979" s="95"/>
      <c r="L2979" s="95"/>
      <c r="M2979" s="22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</row>
    <row r="2980">
      <c r="A2980" s="26"/>
      <c r="B2980" s="73"/>
      <c r="C2980" s="73"/>
      <c r="D2980" s="95"/>
      <c r="E2980" s="73"/>
      <c r="F2980" s="73"/>
      <c r="G2980" s="73"/>
      <c r="H2980" s="73"/>
      <c r="I2980" s="95"/>
      <c r="J2980" s="73"/>
      <c r="K2980" s="95"/>
      <c r="L2980" s="95"/>
      <c r="M2980" s="22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</row>
    <row r="2981">
      <c r="A2981" s="26"/>
      <c r="B2981" s="73"/>
      <c r="C2981" s="73"/>
      <c r="D2981" s="95"/>
      <c r="E2981" s="73"/>
      <c r="F2981" s="73"/>
      <c r="G2981" s="73"/>
      <c r="H2981" s="73"/>
      <c r="I2981" s="95"/>
      <c r="J2981" s="73"/>
      <c r="K2981" s="95"/>
      <c r="L2981" s="95"/>
      <c r="M2981" s="22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</row>
    <row r="2982">
      <c r="A2982" s="26"/>
      <c r="B2982" s="73"/>
      <c r="C2982" s="73"/>
      <c r="D2982" s="95"/>
      <c r="E2982" s="73"/>
      <c r="F2982" s="73"/>
      <c r="G2982" s="73"/>
      <c r="H2982" s="73"/>
      <c r="I2982" s="95"/>
      <c r="J2982" s="73"/>
      <c r="K2982" s="95"/>
      <c r="L2982" s="95"/>
      <c r="M2982" s="22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</row>
    <row r="2983">
      <c r="A2983" s="26"/>
      <c r="B2983" s="73"/>
      <c r="C2983" s="73"/>
      <c r="D2983" s="95"/>
      <c r="E2983" s="73"/>
      <c r="F2983" s="73"/>
      <c r="G2983" s="73"/>
      <c r="H2983" s="73"/>
      <c r="I2983" s="95"/>
      <c r="J2983" s="73"/>
      <c r="K2983" s="95"/>
      <c r="L2983" s="95"/>
      <c r="M2983" s="22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</row>
    <row r="2984">
      <c r="A2984" s="26"/>
      <c r="B2984" s="73"/>
      <c r="C2984" s="73"/>
      <c r="D2984" s="95"/>
      <c r="E2984" s="73"/>
      <c r="F2984" s="73"/>
      <c r="G2984" s="73"/>
      <c r="H2984" s="73"/>
      <c r="I2984" s="95"/>
      <c r="J2984" s="73"/>
      <c r="K2984" s="95"/>
      <c r="L2984" s="95"/>
      <c r="M2984" s="22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</row>
    <row r="2985">
      <c r="A2985" s="26"/>
      <c r="B2985" s="73"/>
      <c r="C2985" s="73"/>
      <c r="D2985" s="95"/>
      <c r="E2985" s="73"/>
      <c r="F2985" s="73"/>
      <c r="G2985" s="73"/>
      <c r="H2985" s="73"/>
      <c r="I2985" s="95"/>
      <c r="J2985" s="73"/>
      <c r="K2985" s="95"/>
      <c r="L2985" s="95"/>
      <c r="M2985" s="22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</row>
    <row r="2986">
      <c r="A2986" s="26"/>
      <c r="B2986" s="73"/>
      <c r="C2986" s="73"/>
      <c r="D2986" s="95"/>
      <c r="E2986" s="73"/>
      <c r="F2986" s="73"/>
      <c r="G2986" s="73"/>
      <c r="H2986" s="73"/>
      <c r="I2986" s="95"/>
      <c r="J2986" s="73"/>
      <c r="K2986" s="95"/>
      <c r="L2986" s="95"/>
      <c r="M2986" s="22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</row>
    <row r="2987">
      <c r="A2987" s="26"/>
      <c r="B2987" s="73"/>
      <c r="C2987" s="73"/>
      <c r="D2987" s="95"/>
      <c r="E2987" s="73"/>
      <c r="F2987" s="73"/>
      <c r="G2987" s="73"/>
      <c r="H2987" s="73"/>
      <c r="I2987" s="95"/>
      <c r="J2987" s="73"/>
      <c r="K2987" s="95"/>
      <c r="L2987" s="95"/>
      <c r="M2987" s="22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</row>
    <row r="2988">
      <c r="A2988" s="26"/>
      <c r="B2988" s="73"/>
      <c r="C2988" s="73"/>
      <c r="D2988" s="95"/>
      <c r="E2988" s="73"/>
      <c r="F2988" s="73"/>
      <c r="G2988" s="73"/>
      <c r="H2988" s="73"/>
      <c r="I2988" s="95"/>
      <c r="J2988" s="73"/>
      <c r="K2988" s="95"/>
      <c r="L2988" s="95"/>
      <c r="M2988" s="22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</row>
    <row r="2989">
      <c r="A2989" s="26"/>
      <c r="B2989" s="73"/>
      <c r="C2989" s="73"/>
      <c r="D2989" s="95"/>
      <c r="E2989" s="73"/>
      <c r="F2989" s="73"/>
      <c r="G2989" s="73"/>
      <c r="H2989" s="73"/>
      <c r="I2989" s="95"/>
      <c r="J2989" s="73"/>
      <c r="K2989" s="95"/>
      <c r="L2989" s="95"/>
      <c r="M2989" s="22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</row>
    <row r="2990">
      <c r="A2990" s="26"/>
      <c r="B2990" s="73"/>
      <c r="C2990" s="73"/>
      <c r="D2990" s="95"/>
      <c r="E2990" s="73"/>
      <c r="F2990" s="73"/>
      <c r="G2990" s="73"/>
      <c r="H2990" s="73"/>
      <c r="I2990" s="95"/>
      <c r="J2990" s="73"/>
      <c r="K2990" s="95"/>
      <c r="L2990" s="95"/>
      <c r="M2990" s="22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</row>
    <row r="2991">
      <c r="A2991" s="26"/>
      <c r="B2991" s="73"/>
      <c r="C2991" s="73"/>
      <c r="D2991" s="95"/>
      <c r="E2991" s="73"/>
      <c r="F2991" s="73"/>
      <c r="G2991" s="73"/>
      <c r="H2991" s="73"/>
      <c r="I2991" s="95"/>
      <c r="J2991" s="73"/>
      <c r="K2991" s="95"/>
      <c r="L2991" s="95"/>
      <c r="M2991" s="22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</row>
    <row r="2992">
      <c r="A2992" s="26"/>
      <c r="B2992" s="73"/>
      <c r="C2992" s="73"/>
      <c r="D2992" s="95"/>
      <c r="E2992" s="73"/>
      <c r="F2992" s="73"/>
      <c r="G2992" s="73"/>
      <c r="H2992" s="73"/>
      <c r="I2992" s="95"/>
      <c r="J2992" s="73"/>
      <c r="K2992" s="95"/>
      <c r="L2992" s="95"/>
      <c r="M2992" s="22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</row>
    <row r="2993">
      <c r="A2993" s="26"/>
      <c r="B2993" s="73"/>
      <c r="C2993" s="73"/>
      <c r="D2993" s="95"/>
      <c r="E2993" s="73"/>
      <c r="F2993" s="73"/>
      <c r="G2993" s="73"/>
      <c r="H2993" s="73"/>
      <c r="I2993" s="95"/>
      <c r="J2993" s="73"/>
      <c r="K2993" s="95"/>
      <c r="L2993" s="95"/>
      <c r="M2993" s="22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</row>
    <row r="2994">
      <c r="A2994" s="26"/>
      <c r="B2994" s="73"/>
      <c r="C2994" s="73"/>
      <c r="D2994" s="95"/>
      <c r="E2994" s="73"/>
      <c r="F2994" s="73"/>
      <c r="G2994" s="73"/>
      <c r="H2994" s="73"/>
      <c r="I2994" s="95"/>
      <c r="J2994" s="73"/>
      <c r="K2994" s="95"/>
      <c r="L2994" s="95"/>
      <c r="M2994" s="22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</row>
    <row r="2995">
      <c r="A2995" s="26"/>
      <c r="B2995" s="73"/>
      <c r="C2995" s="73"/>
      <c r="D2995" s="95"/>
      <c r="E2995" s="73"/>
      <c r="F2995" s="73"/>
      <c r="G2995" s="73"/>
      <c r="H2995" s="73"/>
      <c r="I2995" s="95"/>
      <c r="J2995" s="73"/>
      <c r="K2995" s="95"/>
      <c r="L2995" s="95"/>
      <c r="M2995" s="22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</row>
    <row r="2996">
      <c r="A2996" s="26"/>
      <c r="B2996" s="73"/>
      <c r="C2996" s="73"/>
      <c r="D2996" s="95"/>
      <c r="E2996" s="73"/>
      <c r="F2996" s="73"/>
      <c r="G2996" s="73"/>
      <c r="H2996" s="73"/>
      <c r="I2996" s="95"/>
      <c r="J2996" s="73"/>
      <c r="K2996" s="95"/>
      <c r="L2996" s="95"/>
      <c r="M2996" s="22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</row>
    <row r="2997">
      <c r="A2997" s="26"/>
      <c r="B2997" s="73"/>
      <c r="C2997" s="73"/>
      <c r="D2997" s="95"/>
      <c r="E2997" s="73"/>
      <c r="F2997" s="73"/>
      <c r="G2997" s="73"/>
      <c r="H2997" s="73"/>
      <c r="I2997" s="95"/>
      <c r="J2997" s="73"/>
      <c r="K2997" s="95"/>
      <c r="L2997" s="95"/>
      <c r="M2997" s="22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</row>
    <row r="2998">
      <c r="A2998" s="26"/>
      <c r="B2998" s="73"/>
      <c r="C2998" s="73"/>
      <c r="D2998" s="95"/>
      <c r="E2998" s="73"/>
      <c r="F2998" s="73"/>
      <c r="G2998" s="73"/>
      <c r="H2998" s="73"/>
      <c r="I2998" s="95"/>
      <c r="J2998" s="73"/>
      <c r="K2998" s="95"/>
      <c r="L2998" s="95"/>
      <c r="M2998" s="22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</row>
    <row r="2999">
      <c r="A2999" s="26"/>
      <c r="B2999" s="73"/>
      <c r="C2999" s="73"/>
      <c r="D2999" s="95"/>
      <c r="E2999" s="73"/>
      <c r="F2999" s="73"/>
      <c r="G2999" s="73"/>
      <c r="H2999" s="73"/>
      <c r="I2999" s="95"/>
      <c r="J2999" s="73"/>
      <c r="K2999" s="95"/>
      <c r="L2999" s="95"/>
      <c r="M2999" s="22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</row>
    <row r="3000">
      <c r="A3000" s="26"/>
      <c r="D3000" s="120"/>
      <c r="M3000" s="22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</row>
    <row r="3001">
      <c r="A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</row>
    <row r="3002">
      <c r="A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</row>
  </sheetData>
  <autoFilter ref="$A$1:$N$3002"/>
  <customSheetViews>
    <customSheetView guid="{09B636C8-FE7A-43DD-AC47-05471FF9A175}" filter="1" showAutoFilter="1">
      <autoFilter ref="$A$1:$N$3002"/>
    </customSheetView>
    <customSheetView guid="{E32ADFDF-A5FF-47E0-AEA9-FC15DD1BFC8D}" filter="1" showAutoFilter="1">
      <autoFilter ref="$A$1:$L$1514"/>
    </customSheetView>
  </customSheetViews>
  <conditionalFormatting sqref="C1:C3002 P1">
    <cfRule type="containsText" dxfId="3" priority="1" operator="containsText" text="000 | KARYA UMUM">
      <formula>NOT(ISERROR(SEARCH(("000 | KARYA UMUM"),(C1))))</formula>
    </cfRule>
  </conditionalFormatting>
  <conditionalFormatting sqref="C1:C3002 P1">
    <cfRule type="containsText" dxfId="4" priority="2" operator="containsText" text="100 | FILSAFAT &amp; PSIKOLOGI">
      <formula>NOT(ISERROR(SEARCH(("100 | FILSAFAT &amp; PSIKOLOGI"),(C1))))</formula>
    </cfRule>
  </conditionalFormatting>
  <conditionalFormatting sqref="C1:C3002 P1">
    <cfRule type="containsText" dxfId="5" priority="3" operator="containsText" text="200 | AGAMA">
      <formula>NOT(ISERROR(SEARCH(("200 | AGAMA"),(C1))))</formula>
    </cfRule>
  </conditionalFormatting>
  <conditionalFormatting sqref="C1:C3002 P1">
    <cfRule type="containsText" dxfId="6" priority="4" operator="containsText" text="300 | ILMU SOSIAL">
      <formula>NOT(ISERROR(SEARCH(("300 | ILMU SOSIAL"),(C1))))</formula>
    </cfRule>
  </conditionalFormatting>
  <conditionalFormatting sqref="C1:C3002 P1">
    <cfRule type="containsText" dxfId="7" priority="5" operator="containsText" text="400 | BAHASA">
      <formula>NOT(ISERROR(SEARCH(("400 | BAHASA"),(C1))))</formula>
    </cfRule>
  </conditionalFormatting>
  <conditionalFormatting sqref="C1:C3002 P1">
    <cfRule type="containsText" dxfId="8" priority="6" operator="containsText" text="500 | ILMU MURNI">
      <formula>NOT(ISERROR(SEARCH(("500 | ILMU MURNI"),(C1))))</formula>
    </cfRule>
  </conditionalFormatting>
  <conditionalFormatting sqref="C1:C3002 P1">
    <cfRule type="containsText" dxfId="9" priority="7" operator="containsText" text="600 | ILMU TERAPAN">
      <formula>NOT(ISERROR(SEARCH(("600 | ILMU TERAPAN"),(C1))))</formula>
    </cfRule>
  </conditionalFormatting>
  <conditionalFormatting sqref="C1:C3002 P1">
    <cfRule type="containsText" dxfId="10" priority="8" operator="containsText" text="700 | SENI DAN OLAHRAGA">
      <formula>NOT(ISERROR(SEARCH(("700 | SENI DAN OLAHRAGA"),(C1))))</formula>
    </cfRule>
  </conditionalFormatting>
  <conditionalFormatting sqref="C1:C3002 P1">
    <cfRule type="containsText" dxfId="11" priority="9" operator="containsText" text="800 | KESUSASTRAAN">
      <formula>NOT(ISERROR(SEARCH(("800 | KESUSASTRAAN"),(C1))))</formula>
    </cfRule>
  </conditionalFormatting>
  <conditionalFormatting sqref="C1:C3002 P1">
    <cfRule type="containsText" dxfId="12" priority="10" operator="containsText" text="900 | SEJARAH &amp; GEOGRAFI">
      <formula>NOT(ISERROR(SEARCH(("900 | SEJARAH &amp; GEOGRAFI"),(C1))))</formula>
    </cfRule>
  </conditionalFormatting>
  <conditionalFormatting sqref="E17">
    <cfRule type="notContainsBlanks" dxfId="13" priority="11">
      <formula>LEN(TRIM(E17))&gt;0</formula>
    </cfRule>
  </conditionalFormatting>
  <conditionalFormatting sqref="A1">
    <cfRule type="notContainsBlanks" dxfId="13" priority="12">
      <formula>LEN(TRIM(A1))&gt;0</formula>
    </cfRule>
  </conditionalFormatting>
  <dataValidations>
    <dataValidation type="list" allowBlank="1" showErrorMessage="1" sqref="P1 C2:C2999">
      <formula1>"000 | KARYA UMUM,100 | FILSAFAT &amp; PSIKOLOGI,200 | AGAMA,300 | ILMU SOSIAL,400 | BAHASA,500 | ILMU MURNI,600 | ILMU TERAPAN,700 | SENI DAN OLAHRAGA,800 | KESUSASTRAAN,900 | SEJARAH &amp; GEOGRAFI"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9"/>
    <hyperlink r:id="rId19" ref="M20"/>
    <hyperlink r:id="rId20" ref="M21"/>
    <hyperlink r:id="rId21" ref="M22"/>
    <hyperlink r:id="rId22" ref="M25"/>
    <hyperlink r:id="rId23" ref="M27"/>
    <hyperlink r:id="rId24" ref="M28"/>
    <hyperlink r:id="rId25" ref="M31"/>
    <hyperlink r:id="rId26" ref="M33"/>
    <hyperlink r:id="rId27" ref="M34"/>
    <hyperlink r:id="rId28" ref="M36"/>
    <hyperlink r:id="rId29" ref="M39"/>
    <hyperlink r:id="rId30" ref="M40"/>
    <hyperlink r:id="rId31" ref="M42"/>
    <hyperlink r:id="rId32" ref="M43"/>
    <hyperlink r:id="rId33" ref="M45"/>
    <hyperlink r:id="rId34" ref="M46"/>
    <hyperlink r:id="rId35" ref="M47"/>
    <hyperlink r:id="rId36" ref="M49"/>
    <hyperlink r:id="rId37" ref="M50"/>
    <hyperlink r:id="rId38" ref="M52"/>
    <hyperlink r:id="rId39" ref="M53"/>
    <hyperlink r:id="rId40" ref="M54"/>
    <hyperlink r:id="rId41" ref="M55"/>
    <hyperlink r:id="rId42" ref="M56"/>
    <hyperlink r:id="rId43" ref="M57"/>
    <hyperlink r:id="rId44" ref="M59"/>
    <hyperlink r:id="rId45" ref="M62"/>
    <hyperlink r:id="rId46" ref="M63"/>
    <hyperlink r:id="rId47" ref="M65"/>
    <hyperlink r:id="rId48" ref="M67"/>
    <hyperlink r:id="rId49" ref="M69"/>
    <hyperlink r:id="rId50" ref="M71"/>
    <hyperlink r:id="rId51" ref="M74"/>
    <hyperlink r:id="rId52" ref="M75"/>
    <hyperlink r:id="rId53" ref="M76"/>
    <hyperlink r:id="rId54" ref="M77"/>
    <hyperlink r:id="rId55" ref="M78"/>
    <hyperlink r:id="rId56" ref="M80"/>
    <hyperlink r:id="rId57" ref="M81"/>
    <hyperlink r:id="rId58" ref="M82"/>
    <hyperlink r:id="rId59" ref="M83"/>
    <hyperlink r:id="rId60" ref="M84"/>
    <hyperlink r:id="rId61" ref="M86"/>
    <hyperlink r:id="rId62" ref="M90"/>
    <hyperlink r:id="rId63" ref="M91"/>
    <hyperlink r:id="rId64" ref="M94"/>
    <hyperlink r:id="rId65" ref="M95"/>
    <hyperlink r:id="rId66" ref="M97"/>
    <hyperlink r:id="rId67" ref="M98"/>
    <hyperlink r:id="rId68" ref="M101"/>
    <hyperlink r:id="rId69" ref="M105"/>
    <hyperlink r:id="rId70" ref="M107"/>
    <hyperlink r:id="rId71" ref="M108"/>
    <hyperlink r:id="rId72" ref="M110"/>
    <hyperlink r:id="rId73" ref="M111"/>
    <hyperlink r:id="rId74" ref="M113"/>
    <hyperlink r:id="rId75" ref="M114"/>
    <hyperlink r:id="rId76" ref="M123"/>
    <hyperlink r:id="rId77" ref="M124"/>
    <hyperlink r:id="rId78" ref="M125"/>
    <hyperlink r:id="rId79" ref="M127"/>
    <hyperlink r:id="rId80" ref="M128"/>
    <hyperlink r:id="rId81" ref="M129"/>
    <hyperlink r:id="rId82" ref="M130"/>
    <hyperlink r:id="rId83" ref="M131"/>
    <hyperlink r:id="rId84" ref="M132"/>
    <hyperlink r:id="rId85" ref="M133"/>
    <hyperlink r:id="rId86" ref="M134"/>
    <hyperlink r:id="rId87" ref="M135"/>
    <hyperlink r:id="rId88" ref="M136"/>
    <hyperlink r:id="rId89" ref="M137"/>
    <hyperlink r:id="rId90" ref="M139"/>
    <hyperlink r:id="rId91" ref="M140"/>
    <hyperlink r:id="rId92" ref="M141"/>
    <hyperlink r:id="rId93" ref="M142"/>
    <hyperlink r:id="rId94" ref="M145"/>
    <hyperlink r:id="rId95" ref="M146"/>
    <hyperlink r:id="rId96" ref="M147"/>
    <hyperlink r:id="rId97" ref="M148"/>
    <hyperlink r:id="rId98" ref="M150"/>
    <hyperlink r:id="rId99" ref="M151"/>
    <hyperlink r:id="rId100" ref="M154"/>
    <hyperlink r:id="rId101" ref="M155"/>
    <hyperlink r:id="rId102" ref="M158"/>
    <hyperlink r:id="rId103" ref="M160"/>
    <hyperlink r:id="rId104" ref="M161"/>
    <hyperlink r:id="rId105" ref="M162"/>
    <hyperlink r:id="rId106" ref="M164"/>
    <hyperlink r:id="rId107" ref="M165"/>
    <hyperlink r:id="rId108" ref="M166"/>
    <hyperlink r:id="rId109" ref="M167"/>
    <hyperlink r:id="rId110" ref="M169"/>
    <hyperlink r:id="rId111" ref="M170"/>
    <hyperlink r:id="rId112" ref="M172"/>
    <hyperlink r:id="rId113" ref="M175"/>
    <hyperlink r:id="rId114" ref="M176"/>
    <hyperlink r:id="rId115" ref="M177"/>
    <hyperlink r:id="rId116" ref="M178"/>
    <hyperlink r:id="rId117" ref="M181"/>
    <hyperlink r:id="rId118" ref="M182"/>
    <hyperlink r:id="rId119" ref="M183"/>
    <hyperlink r:id="rId120" ref="M184"/>
    <hyperlink r:id="rId121" ref="M185"/>
    <hyperlink r:id="rId122" ref="M186"/>
    <hyperlink r:id="rId123" ref="M187"/>
    <hyperlink r:id="rId124" ref="M189"/>
    <hyperlink r:id="rId125" ref="M190"/>
    <hyperlink r:id="rId126" ref="M191"/>
    <hyperlink r:id="rId127" ref="M192"/>
    <hyperlink r:id="rId128" ref="M194"/>
    <hyperlink r:id="rId129" ref="M196"/>
    <hyperlink r:id="rId130" ref="M198"/>
    <hyperlink r:id="rId131" ref="M199"/>
    <hyperlink r:id="rId132" ref="M200"/>
    <hyperlink r:id="rId133" ref="M201"/>
    <hyperlink r:id="rId134" ref="M202"/>
    <hyperlink r:id="rId135" ref="M203"/>
    <hyperlink r:id="rId136" ref="M204"/>
    <hyperlink r:id="rId137" ref="M205"/>
    <hyperlink r:id="rId138" ref="M206"/>
    <hyperlink r:id="rId139" ref="M207"/>
    <hyperlink r:id="rId140" ref="M208"/>
    <hyperlink r:id="rId141" ref="M214"/>
    <hyperlink r:id="rId142" ref="M215"/>
    <hyperlink r:id="rId143" ref="M217"/>
    <hyperlink r:id="rId144" ref="M218"/>
    <hyperlink r:id="rId145" ref="M220"/>
    <hyperlink r:id="rId146" ref="M223"/>
    <hyperlink r:id="rId147" ref="M224"/>
    <hyperlink r:id="rId148" ref="M225"/>
    <hyperlink r:id="rId149" ref="M228"/>
    <hyperlink r:id="rId150" ref="M230"/>
    <hyperlink r:id="rId151" ref="M231"/>
    <hyperlink r:id="rId152" ref="M232"/>
    <hyperlink r:id="rId153" ref="M233"/>
    <hyperlink r:id="rId154" ref="M234"/>
    <hyperlink r:id="rId155" ref="M235"/>
    <hyperlink r:id="rId156" ref="M236"/>
    <hyperlink r:id="rId157" ref="M237"/>
    <hyperlink r:id="rId158" ref="M238"/>
    <hyperlink r:id="rId159" ref="M239"/>
    <hyperlink r:id="rId160" ref="M240"/>
    <hyperlink r:id="rId161" ref="M241"/>
    <hyperlink r:id="rId162" ref="M242"/>
    <hyperlink r:id="rId163" ref="M243"/>
    <hyperlink r:id="rId164" ref="M244"/>
    <hyperlink r:id="rId165" ref="M245"/>
    <hyperlink r:id="rId166" ref="M246"/>
    <hyperlink r:id="rId167" ref="M248"/>
    <hyperlink r:id="rId168" ref="M249"/>
    <hyperlink r:id="rId169" ref="M250"/>
    <hyperlink r:id="rId170" ref="M251"/>
    <hyperlink r:id="rId171" ref="M252"/>
    <hyperlink r:id="rId172" ref="M253"/>
    <hyperlink r:id="rId173" ref="M255"/>
    <hyperlink r:id="rId174" ref="M256"/>
    <hyperlink r:id="rId175" ref="M258"/>
    <hyperlink r:id="rId176" ref="M259"/>
    <hyperlink r:id="rId177" ref="M260"/>
    <hyperlink r:id="rId178" ref="M262"/>
    <hyperlink r:id="rId179" ref="M263"/>
    <hyperlink r:id="rId180" ref="M264"/>
    <hyperlink r:id="rId181" ref="M265"/>
    <hyperlink r:id="rId182" ref="M266"/>
    <hyperlink r:id="rId183" ref="M267"/>
    <hyperlink r:id="rId184" ref="M268"/>
    <hyperlink r:id="rId185" ref="M269"/>
    <hyperlink r:id="rId186" ref="M271"/>
    <hyperlink r:id="rId187" ref="M272"/>
    <hyperlink r:id="rId188" ref="M273"/>
    <hyperlink r:id="rId189" ref="M274"/>
    <hyperlink r:id="rId190" ref="M275"/>
    <hyperlink r:id="rId191" ref="M276"/>
    <hyperlink r:id="rId192" ref="M278"/>
    <hyperlink r:id="rId193" ref="M280"/>
    <hyperlink r:id="rId194" ref="M281"/>
    <hyperlink r:id="rId195" ref="M282"/>
    <hyperlink r:id="rId196" ref="M289"/>
    <hyperlink r:id="rId197" ref="M290"/>
    <hyperlink r:id="rId198" ref="M291"/>
    <hyperlink r:id="rId199" ref="M296"/>
    <hyperlink r:id="rId200" ref="M297"/>
    <hyperlink r:id="rId201" ref="M298"/>
    <hyperlink r:id="rId202" ref="M300"/>
    <hyperlink r:id="rId203" ref="M302"/>
    <hyperlink r:id="rId204" ref="M308"/>
    <hyperlink r:id="rId205" ref="M310"/>
    <hyperlink r:id="rId206" ref="M311"/>
    <hyperlink r:id="rId207" ref="M312"/>
    <hyperlink r:id="rId208" ref="M313"/>
    <hyperlink r:id="rId209" ref="M314"/>
    <hyperlink r:id="rId210" ref="M315"/>
    <hyperlink r:id="rId211" ref="M316"/>
    <hyperlink r:id="rId212" ref="M317"/>
    <hyperlink r:id="rId213" ref="M318"/>
    <hyperlink r:id="rId214" ref="M319"/>
    <hyperlink r:id="rId215" ref="M320"/>
    <hyperlink r:id="rId216" ref="M322"/>
    <hyperlink r:id="rId217" ref="M323"/>
    <hyperlink r:id="rId218" ref="M324"/>
    <hyperlink r:id="rId219" ref="M325"/>
    <hyperlink r:id="rId220" ref="M327"/>
    <hyperlink r:id="rId221" ref="M328"/>
    <hyperlink r:id="rId222" ref="M329"/>
    <hyperlink r:id="rId223" ref="M330"/>
    <hyperlink r:id="rId224" ref="M331"/>
    <hyperlink r:id="rId225" ref="M333"/>
    <hyperlink r:id="rId226" ref="M334"/>
    <hyperlink r:id="rId227" ref="M335"/>
    <hyperlink r:id="rId228" ref="M337"/>
    <hyperlink r:id="rId229" ref="M338"/>
    <hyperlink r:id="rId230" ref="M339"/>
    <hyperlink r:id="rId231" ref="M340"/>
    <hyperlink r:id="rId232" ref="M341"/>
    <hyperlink r:id="rId233" ref="M342"/>
    <hyperlink r:id="rId234" ref="M343"/>
    <hyperlink r:id="rId235" ref="M344"/>
    <hyperlink r:id="rId236" ref="M345"/>
    <hyperlink r:id="rId237" ref="M346"/>
    <hyperlink r:id="rId238" ref="M347"/>
    <hyperlink r:id="rId239" ref="M348"/>
    <hyperlink r:id="rId240" ref="M349"/>
    <hyperlink r:id="rId241" ref="M350"/>
    <hyperlink r:id="rId242" ref="M351"/>
    <hyperlink r:id="rId243" ref="M352"/>
    <hyperlink r:id="rId244" ref="M353"/>
    <hyperlink r:id="rId245" ref="M354"/>
    <hyperlink r:id="rId246" ref="M355"/>
    <hyperlink r:id="rId247" ref="M356"/>
    <hyperlink r:id="rId248" ref="M357"/>
    <hyperlink r:id="rId249" ref="M358"/>
    <hyperlink r:id="rId250" ref="M359"/>
    <hyperlink r:id="rId251" ref="M360"/>
    <hyperlink r:id="rId252" ref="M361"/>
    <hyperlink r:id="rId253" ref="M362"/>
    <hyperlink r:id="rId254" ref="M363"/>
    <hyperlink r:id="rId255" ref="M364"/>
    <hyperlink r:id="rId256" ref="M365"/>
    <hyperlink r:id="rId257" ref="M366"/>
    <hyperlink r:id="rId258" ref="M367"/>
    <hyperlink r:id="rId259" ref="M368"/>
    <hyperlink r:id="rId260" ref="M369"/>
    <hyperlink r:id="rId261" ref="M370"/>
    <hyperlink r:id="rId262" ref="M371"/>
    <hyperlink r:id="rId263" ref="M372"/>
    <hyperlink r:id="rId264" ref="M374"/>
    <hyperlink r:id="rId265" ref="M375"/>
    <hyperlink r:id="rId266" ref="M376"/>
    <hyperlink r:id="rId267" ref="M377"/>
    <hyperlink r:id="rId268" ref="M378"/>
    <hyperlink r:id="rId269" ref="M379"/>
    <hyperlink r:id="rId270" ref="M380"/>
    <hyperlink r:id="rId271" ref="M381"/>
    <hyperlink r:id="rId272" ref="M382"/>
    <hyperlink r:id="rId273" ref="M384"/>
    <hyperlink r:id="rId274" ref="M386"/>
    <hyperlink r:id="rId275" ref="M387"/>
    <hyperlink r:id="rId276" ref="M388"/>
    <hyperlink r:id="rId277" ref="M389"/>
    <hyperlink r:id="rId278" ref="M390"/>
    <hyperlink r:id="rId279" ref="M391"/>
    <hyperlink r:id="rId280" ref="M392"/>
    <hyperlink r:id="rId281" ref="M393"/>
    <hyperlink r:id="rId282" ref="M396"/>
    <hyperlink r:id="rId283" ref="M397"/>
    <hyperlink r:id="rId284" ref="M400"/>
    <hyperlink r:id="rId285" ref="M404"/>
    <hyperlink r:id="rId286" ref="M408"/>
    <hyperlink r:id="rId287" ref="M409"/>
    <hyperlink r:id="rId288" ref="M410"/>
    <hyperlink r:id="rId289" ref="M411"/>
    <hyperlink r:id="rId290" ref="M415"/>
    <hyperlink r:id="rId291" ref="M416"/>
    <hyperlink r:id="rId292" ref="M419"/>
    <hyperlink r:id="rId293" ref="M420"/>
    <hyperlink r:id="rId294" ref="M423"/>
    <hyperlink r:id="rId295" ref="M425"/>
    <hyperlink r:id="rId296" ref="M426"/>
    <hyperlink r:id="rId297" ref="M428"/>
    <hyperlink r:id="rId298" ref="M429"/>
    <hyperlink r:id="rId299" ref="M431"/>
    <hyperlink r:id="rId300" ref="M439"/>
    <hyperlink r:id="rId301" ref="M440"/>
    <hyperlink r:id="rId302" ref="M442"/>
    <hyperlink r:id="rId303" ref="M443"/>
    <hyperlink r:id="rId304" ref="M445"/>
    <hyperlink r:id="rId305" ref="M446"/>
    <hyperlink r:id="rId306" ref="M449"/>
    <hyperlink r:id="rId307" ref="M453"/>
    <hyperlink r:id="rId308" ref="M457"/>
    <hyperlink r:id="rId309" ref="M458"/>
    <hyperlink r:id="rId310" ref="M459"/>
    <hyperlink r:id="rId311" ref="M460"/>
    <hyperlink r:id="rId312" ref="M461"/>
    <hyperlink r:id="rId313" ref="M463"/>
    <hyperlink r:id="rId314" ref="M464"/>
    <hyperlink r:id="rId315" ref="M466"/>
    <hyperlink r:id="rId316" ref="M468"/>
    <hyperlink r:id="rId317" ref="M469"/>
    <hyperlink r:id="rId318" ref="M470"/>
    <hyperlink r:id="rId319" ref="M471"/>
    <hyperlink r:id="rId320" ref="M472"/>
    <hyperlink r:id="rId321" ref="M473"/>
    <hyperlink r:id="rId322" ref="M474"/>
    <hyperlink r:id="rId323" ref="M475"/>
    <hyperlink r:id="rId324" ref="M481"/>
    <hyperlink r:id="rId325" ref="M482"/>
    <hyperlink r:id="rId326" ref="M483"/>
    <hyperlink r:id="rId327" ref="M484"/>
    <hyperlink r:id="rId328" ref="M488"/>
    <hyperlink r:id="rId329" ref="M490"/>
    <hyperlink r:id="rId330" ref="M492"/>
    <hyperlink r:id="rId331" ref="M493"/>
    <hyperlink r:id="rId332" ref="M494"/>
    <hyperlink r:id="rId333" ref="M495"/>
    <hyperlink r:id="rId334" ref="F497"/>
    <hyperlink r:id="rId335" ref="M497"/>
    <hyperlink r:id="rId336" ref="M498"/>
    <hyperlink r:id="rId337" ref="M499"/>
    <hyperlink r:id="rId338" ref="M501"/>
    <hyperlink r:id="rId339" ref="M502"/>
    <hyperlink r:id="rId340" ref="M503"/>
    <hyperlink r:id="rId341" ref="M505"/>
    <hyperlink r:id="rId342" ref="M506"/>
    <hyperlink r:id="rId343" ref="M507"/>
    <hyperlink r:id="rId344" ref="M508"/>
    <hyperlink r:id="rId345" ref="M509"/>
    <hyperlink r:id="rId346" ref="M510"/>
    <hyperlink r:id="rId347" ref="M511"/>
    <hyperlink r:id="rId348" ref="M513"/>
    <hyperlink r:id="rId349" ref="M514"/>
    <hyperlink r:id="rId350" ref="M516"/>
    <hyperlink r:id="rId351" ref="M518"/>
    <hyperlink r:id="rId352" ref="M521"/>
    <hyperlink r:id="rId353" ref="M522"/>
    <hyperlink r:id="rId354" ref="M523"/>
    <hyperlink r:id="rId355" ref="M525"/>
    <hyperlink r:id="rId356" ref="M527"/>
    <hyperlink r:id="rId357" ref="M528"/>
    <hyperlink r:id="rId358" ref="M531"/>
    <hyperlink r:id="rId359" ref="M533"/>
    <hyperlink r:id="rId360" ref="M534"/>
    <hyperlink r:id="rId361" ref="M537"/>
    <hyperlink r:id="rId362" ref="M538"/>
    <hyperlink r:id="rId363" ref="M540"/>
    <hyperlink r:id="rId364" ref="M544"/>
    <hyperlink r:id="rId365" ref="M546"/>
    <hyperlink r:id="rId366" ref="M547"/>
    <hyperlink r:id="rId367" ref="M552"/>
    <hyperlink r:id="rId368" ref="M555"/>
    <hyperlink r:id="rId369" ref="M557"/>
    <hyperlink r:id="rId370" ref="M559"/>
    <hyperlink r:id="rId371" ref="M561"/>
    <hyperlink r:id="rId372" ref="M563"/>
    <hyperlink r:id="rId373" ref="M564"/>
    <hyperlink r:id="rId374" ref="M573"/>
    <hyperlink r:id="rId375" ref="M581"/>
    <hyperlink r:id="rId376" ref="M582"/>
    <hyperlink r:id="rId377" ref="M587"/>
    <hyperlink r:id="rId378" ref="M589"/>
    <hyperlink r:id="rId379" ref="M590"/>
    <hyperlink r:id="rId380" ref="M591"/>
    <hyperlink r:id="rId381" ref="M592"/>
    <hyperlink r:id="rId382" ref="M593"/>
    <hyperlink r:id="rId383" ref="M594"/>
    <hyperlink r:id="rId384" ref="M595"/>
    <hyperlink r:id="rId385" ref="M596"/>
    <hyperlink r:id="rId386" ref="M597"/>
    <hyperlink r:id="rId387" ref="M598"/>
    <hyperlink r:id="rId388" ref="M599"/>
    <hyperlink r:id="rId389" ref="M600"/>
    <hyperlink r:id="rId390" ref="M601"/>
    <hyperlink r:id="rId391" ref="M602"/>
    <hyperlink r:id="rId392" ref="M603"/>
    <hyperlink r:id="rId393" ref="M604"/>
    <hyperlink r:id="rId394" ref="M605"/>
    <hyperlink r:id="rId395" ref="M606"/>
    <hyperlink r:id="rId396" ref="M607"/>
    <hyperlink r:id="rId397" ref="M609"/>
    <hyperlink r:id="rId398" ref="M610"/>
    <hyperlink r:id="rId399" ref="M611"/>
    <hyperlink r:id="rId400" ref="M613"/>
    <hyperlink r:id="rId401" ref="M616"/>
    <hyperlink r:id="rId402" ref="M619"/>
    <hyperlink r:id="rId403" ref="M620"/>
    <hyperlink r:id="rId404" ref="M621"/>
    <hyperlink r:id="rId405" ref="M622"/>
    <hyperlink r:id="rId406" ref="M624"/>
    <hyperlink r:id="rId407" ref="M625"/>
    <hyperlink r:id="rId408" ref="M627"/>
    <hyperlink r:id="rId409" ref="M628"/>
    <hyperlink r:id="rId410" ref="M629"/>
    <hyperlink r:id="rId411" ref="M630"/>
    <hyperlink r:id="rId412" ref="M631"/>
    <hyperlink r:id="rId413" ref="M632"/>
    <hyperlink r:id="rId414" ref="M633"/>
    <hyperlink r:id="rId415" ref="M634"/>
    <hyperlink r:id="rId416" ref="M639"/>
    <hyperlink r:id="rId417" ref="M640"/>
    <hyperlink r:id="rId418" ref="M641"/>
    <hyperlink r:id="rId419" ref="M642"/>
    <hyperlink r:id="rId420" ref="M643"/>
    <hyperlink r:id="rId421" ref="M644"/>
    <hyperlink r:id="rId422" ref="M645"/>
    <hyperlink r:id="rId423" ref="M646"/>
    <hyperlink r:id="rId424" ref="M647"/>
    <hyperlink r:id="rId425" ref="M648"/>
    <hyperlink r:id="rId426" ref="M649"/>
    <hyperlink r:id="rId427" ref="M650"/>
    <hyperlink r:id="rId428" ref="M651"/>
    <hyperlink r:id="rId429" ref="M652"/>
    <hyperlink r:id="rId430" ref="M653"/>
    <hyperlink r:id="rId431" ref="M654"/>
    <hyperlink r:id="rId432" ref="M656"/>
    <hyperlink r:id="rId433" ref="M657"/>
    <hyperlink r:id="rId434" ref="M661"/>
    <hyperlink r:id="rId435" ref="M662"/>
    <hyperlink r:id="rId436" ref="M663"/>
    <hyperlink r:id="rId437" ref="M664"/>
    <hyperlink r:id="rId438" ref="M666"/>
    <hyperlink r:id="rId439" ref="M667"/>
    <hyperlink r:id="rId440" ref="M668"/>
    <hyperlink r:id="rId441" ref="M671"/>
    <hyperlink r:id="rId442" ref="M672"/>
    <hyperlink r:id="rId443" ref="M674"/>
    <hyperlink r:id="rId444" ref="M677"/>
    <hyperlink r:id="rId445" ref="M678"/>
    <hyperlink r:id="rId446" ref="M679"/>
    <hyperlink r:id="rId447" ref="M680"/>
    <hyperlink r:id="rId448" ref="M691"/>
    <hyperlink r:id="rId449" ref="M692"/>
    <hyperlink r:id="rId450" ref="M694"/>
    <hyperlink r:id="rId451" ref="M696"/>
    <hyperlink r:id="rId452" ref="M710"/>
    <hyperlink r:id="rId453" ref="M717"/>
    <hyperlink r:id="rId454" ref="M722"/>
    <hyperlink r:id="rId455" ref="M724"/>
    <hyperlink r:id="rId456" ref="M725"/>
    <hyperlink r:id="rId457" ref="M726"/>
    <hyperlink r:id="rId458" ref="M728"/>
    <hyperlink r:id="rId459" ref="M729"/>
    <hyperlink r:id="rId460" ref="M730"/>
    <hyperlink r:id="rId461" ref="M731"/>
    <hyperlink r:id="rId462" ref="M732"/>
    <hyperlink r:id="rId463" ref="M734"/>
    <hyperlink r:id="rId464" ref="M737"/>
    <hyperlink r:id="rId465" ref="M738"/>
    <hyperlink r:id="rId466" ref="M740"/>
    <hyperlink r:id="rId467" ref="M741"/>
    <hyperlink r:id="rId468" ref="M742"/>
    <hyperlink r:id="rId469" ref="M749"/>
    <hyperlink r:id="rId470" ref="M753"/>
    <hyperlink r:id="rId471" ref="M754"/>
    <hyperlink r:id="rId472" ref="M756"/>
    <hyperlink r:id="rId473" ref="M759"/>
    <hyperlink r:id="rId474" ref="M760"/>
    <hyperlink r:id="rId475" ref="M761"/>
    <hyperlink r:id="rId476" ref="M762"/>
    <hyperlink r:id="rId477" ref="M763"/>
    <hyperlink r:id="rId478" ref="M764"/>
    <hyperlink r:id="rId479" ref="M765"/>
    <hyperlink r:id="rId480" ref="M769"/>
    <hyperlink r:id="rId481" ref="M770"/>
    <hyperlink r:id="rId482" ref="M773"/>
    <hyperlink r:id="rId483" ref="M775"/>
    <hyperlink r:id="rId484" ref="M777"/>
    <hyperlink r:id="rId485" ref="M780"/>
    <hyperlink r:id="rId486" ref="M781"/>
    <hyperlink r:id="rId487" ref="M783"/>
    <hyperlink r:id="rId488" ref="M788"/>
    <hyperlink r:id="rId489" ref="M789"/>
    <hyperlink r:id="rId490" ref="M790"/>
    <hyperlink r:id="rId491" ref="M791"/>
    <hyperlink r:id="rId492" ref="M792"/>
    <hyperlink r:id="rId493" ref="M799"/>
    <hyperlink r:id="rId494" ref="M800"/>
    <hyperlink r:id="rId495" ref="M802"/>
    <hyperlink r:id="rId496" ref="M810"/>
    <hyperlink r:id="rId497" ref="M811"/>
    <hyperlink r:id="rId498" ref="M814"/>
    <hyperlink r:id="rId499" ref="M823"/>
    <hyperlink r:id="rId500" ref="M824"/>
    <hyperlink r:id="rId501" ref="M826"/>
    <hyperlink r:id="rId502" ref="M828"/>
    <hyperlink r:id="rId503" ref="M833"/>
    <hyperlink r:id="rId504" ref="M834"/>
    <hyperlink r:id="rId505" ref="M835"/>
    <hyperlink r:id="rId506" ref="M837"/>
    <hyperlink r:id="rId507" ref="M840"/>
    <hyperlink r:id="rId508" ref="M841"/>
    <hyperlink r:id="rId509" ref="M843"/>
    <hyperlink r:id="rId510" ref="M844"/>
    <hyperlink r:id="rId511" ref="M845"/>
    <hyperlink r:id="rId512" ref="M846"/>
    <hyperlink r:id="rId513" ref="M847"/>
    <hyperlink r:id="rId514" ref="M848"/>
    <hyperlink r:id="rId515" ref="M854"/>
    <hyperlink r:id="rId516" ref="M856"/>
    <hyperlink r:id="rId517" ref="M857"/>
    <hyperlink r:id="rId518" ref="M858"/>
    <hyperlink r:id="rId519" ref="M860"/>
    <hyperlink r:id="rId520" ref="M862"/>
    <hyperlink r:id="rId521" ref="M863"/>
    <hyperlink r:id="rId522" ref="M864"/>
    <hyperlink r:id="rId523" ref="M865"/>
    <hyperlink r:id="rId524" ref="M866"/>
    <hyperlink r:id="rId525" ref="M867"/>
    <hyperlink r:id="rId526" ref="M868"/>
    <hyperlink r:id="rId527" ref="M869"/>
    <hyperlink r:id="rId528" ref="M870"/>
    <hyperlink r:id="rId529" ref="M871"/>
    <hyperlink r:id="rId530" ref="M872"/>
    <hyperlink r:id="rId531" ref="M873"/>
    <hyperlink r:id="rId532" ref="M874"/>
    <hyperlink r:id="rId533" ref="M875"/>
    <hyperlink r:id="rId534" ref="M876"/>
    <hyperlink r:id="rId535" ref="M882"/>
    <hyperlink r:id="rId536" ref="M884"/>
    <hyperlink r:id="rId537" ref="M885"/>
    <hyperlink r:id="rId538" ref="M890"/>
    <hyperlink r:id="rId539" ref="M893"/>
    <hyperlink r:id="rId540" ref="M895"/>
    <hyperlink r:id="rId541" ref="M896"/>
    <hyperlink r:id="rId542" ref="M900"/>
    <hyperlink r:id="rId543" ref="M901"/>
    <hyperlink r:id="rId544" ref="M903"/>
    <hyperlink r:id="rId545" ref="M904"/>
    <hyperlink r:id="rId546" ref="M914"/>
    <hyperlink r:id="rId547" ref="M915"/>
    <hyperlink r:id="rId548" ref="M916"/>
    <hyperlink r:id="rId549" ref="M917"/>
    <hyperlink r:id="rId550" ref="M919"/>
    <hyperlink r:id="rId551" ref="M920"/>
    <hyperlink r:id="rId552" ref="M921"/>
    <hyperlink r:id="rId553" ref="M925"/>
    <hyperlink r:id="rId554" ref="M926"/>
    <hyperlink r:id="rId555" ref="M927"/>
    <hyperlink r:id="rId556" ref="M929"/>
    <hyperlink r:id="rId557" ref="M930"/>
    <hyperlink r:id="rId558" ref="M931"/>
    <hyperlink r:id="rId559" ref="M933"/>
    <hyperlink r:id="rId560" ref="M934"/>
    <hyperlink r:id="rId561" ref="M937"/>
    <hyperlink r:id="rId562" ref="M940"/>
    <hyperlink r:id="rId563" ref="M942"/>
    <hyperlink r:id="rId564" ref="M943"/>
    <hyperlink r:id="rId565" ref="M946"/>
    <hyperlink r:id="rId566" ref="M947"/>
    <hyperlink r:id="rId567" ref="M948"/>
    <hyperlink r:id="rId568" ref="M949"/>
    <hyperlink r:id="rId569" ref="M950"/>
    <hyperlink r:id="rId570" ref="M953"/>
    <hyperlink r:id="rId571" ref="M955"/>
    <hyperlink r:id="rId572" ref="M956"/>
    <hyperlink r:id="rId573" ref="M962"/>
    <hyperlink r:id="rId574" ref="M965"/>
    <hyperlink r:id="rId575" ref="M967"/>
    <hyperlink r:id="rId576" ref="M974"/>
    <hyperlink r:id="rId577" ref="M975"/>
    <hyperlink r:id="rId578" ref="M976"/>
    <hyperlink r:id="rId579" ref="M979"/>
    <hyperlink r:id="rId580" ref="M980"/>
    <hyperlink r:id="rId581" ref="M981"/>
    <hyperlink r:id="rId582" ref="M984"/>
    <hyperlink r:id="rId583" ref="M985"/>
    <hyperlink r:id="rId584" ref="M986"/>
    <hyperlink r:id="rId585" ref="M987"/>
    <hyperlink r:id="rId586" ref="M988"/>
    <hyperlink r:id="rId587" ref="M989"/>
    <hyperlink r:id="rId588" ref="M990"/>
    <hyperlink r:id="rId589" ref="M991"/>
    <hyperlink r:id="rId590" ref="M992"/>
    <hyperlink r:id="rId591" ref="M996"/>
    <hyperlink r:id="rId592" ref="M997"/>
    <hyperlink r:id="rId593" ref="M1000"/>
    <hyperlink r:id="rId594" ref="M1001"/>
    <hyperlink r:id="rId595" ref="M1002"/>
    <hyperlink r:id="rId596" ref="M1003"/>
    <hyperlink r:id="rId597" ref="M1005"/>
    <hyperlink r:id="rId598" ref="M1007"/>
    <hyperlink r:id="rId599" ref="M1008"/>
    <hyperlink r:id="rId600" ref="M1009"/>
    <hyperlink r:id="rId601" ref="M1010"/>
    <hyperlink r:id="rId602" ref="M1011"/>
    <hyperlink r:id="rId603" ref="M1013"/>
    <hyperlink r:id="rId604" ref="M1015"/>
    <hyperlink r:id="rId605" ref="M1016"/>
    <hyperlink r:id="rId606" ref="M1017"/>
    <hyperlink r:id="rId607" ref="M1018"/>
    <hyperlink r:id="rId608" ref="M1020"/>
    <hyperlink r:id="rId609" ref="M1021"/>
    <hyperlink r:id="rId610" ref="M1022"/>
    <hyperlink r:id="rId611" ref="M1023"/>
    <hyperlink r:id="rId612" ref="M1024"/>
    <hyperlink r:id="rId613" ref="M1025"/>
    <hyperlink r:id="rId614" ref="M1026"/>
    <hyperlink r:id="rId615" ref="M1028"/>
    <hyperlink r:id="rId616" ref="M1029"/>
    <hyperlink r:id="rId617" ref="M1030"/>
    <hyperlink r:id="rId618" ref="M1031"/>
    <hyperlink r:id="rId619" ref="M1032"/>
    <hyperlink r:id="rId620" ref="M1033"/>
    <hyperlink r:id="rId621" ref="M1034"/>
    <hyperlink r:id="rId622" ref="M1035"/>
    <hyperlink r:id="rId623" ref="M1036"/>
    <hyperlink r:id="rId624" ref="M1040"/>
    <hyperlink r:id="rId625" ref="M1042"/>
    <hyperlink r:id="rId626" ref="M1043"/>
    <hyperlink r:id="rId627" ref="M1044"/>
    <hyperlink r:id="rId628" ref="M1045"/>
    <hyperlink r:id="rId629" ref="M1046"/>
    <hyperlink r:id="rId630" ref="M1048"/>
    <hyperlink r:id="rId631" ref="M1050"/>
    <hyperlink r:id="rId632" ref="M1052"/>
    <hyperlink r:id="rId633" ref="M1053"/>
    <hyperlink r:id="rId634" ref="M1054"/>
    <hyperlink r:id="rId635" ref="M1056"/>
    <hyperlink r:id="rId636" ref="M1057"/>
    <hyperlink r:id="rId637" ref="M1058"/>
    <hyperlink r:id="rId638" ref="M1060"/>
    <hyperlink r:id="rId639" ref="M1061"/>
    <hyperlink r:id="rId640" ref="M1063"/>
    <hyperlink r:id="rId641" ref="M1065"/>
    <hyperlink r:id="rId642" ref="M1066"/>
    <hyperlink r:id="rId643" ref="M1067"/>
    <hyperlink r:id="rId644" ref="M1069"/>
    <hyperlink r:id="rId645" ref="M1071"/>
    <hyperlink r:id="rId646" ref="M1072"/>
    <hyperlink r:id="rId647" ref="M1073"/>
    <hyperlink r:id="rId648" ref="M1074"/>
    <hyperlink r:id="rId649" ref="M1075"/>
    <hyperlink r:id="rId650" ref="M1076"/>
    <hyperlink r:id="rId651" ref="M1079"/>
    <hyperlink r:id="rId652" ref="M1080"/>
    <hyperlink r:id="rId653" ref="M1081"/>
    <hyperlink r:id="rId654" ref="M1082"/>
    <hyperlink r:id="rId655" ref="M1084"/>
    <hyperlink r:id="rId656" ref="M1086"/>
    <hyperlink r:id="rId657" ref="M1088"/>
    <hyperlink r:id="rId658" ref="M1089"/>
    <hyperlink r:id="rId659" ref="M1090"/>
    <hyperlink r:id="rId660" ref="M1091"/>
    <hyperlink r:id="rId661" ref="M1092"/>
    <hyperlink r:id="rId662" ref="M1093"/>
    <hyperlink r:id="rId663" ref="M1094"/>
    <hyperlink r:id="rId664" ref="M1095"/>
    <hyperlink r:id="rId665" ref="M1096"/>
    <hyperlink r:id="rId666" ref="M1098"/>
    <hyperlink r:id="rId667" ref="M1099"/>
    <hyperlink r:id="rId668" ref="M1100"/>
    <hyperlink r:id="rId669" ref="M1101"/>
    <hyperlink r:id="rId670" ref="M1102"/>
    <hyperlink r:id="rId671" ref="M1103"/>
    <hyperlink r:id="rId672" ref="M1104"/>
    <hyperlink r:id="rId673" ref="M1105"/>
    <hyperlink r:id="rId674" ref="M1106"/>
    <hyperlink r:id="rId675" ref="M1107"/>
    <hyperlink r:id="rId676" ref="M1108"/>
    <hyperlink r:id="rId677" ref="M1109"/>
    <hyperlink r:id="rId678" ref="M1110"/>
    <hyperlink r:id="rId679" ref="M1111"/>
    <hyperlink r:id="rId680" ref="M1113"/>
    <hyperlink r:id="rId681" ref="M1116"/>
    <hyperlink r:id="rId682" ref="M1118"/>
    <hyperlink r:id="rId683" ref="M1119"/>
    <hyperlink r:id="rId684" ref="M1121"/>
    <hyperlink r:id="rId685" ref="M1123"/>
    <hyperlink r:id="rId686" ref="M1124"/>
    <hyperlink r:id="rId687" ref="M1125"/>
    <hyperlink r:id="rId688" ref="M1126"/>
    <hyperlink r:id="rId689" ref="M1127"/>
    <hyperlink r:id="rId690" ref="M1128"/>
    <hyperlink r:id="rId691" ref="M1129"/>
    <hyperlink r:id="rId692" ref="M1130"/>
    <hyperlink r:id="rId693" ref="M1131"/>
    <hyperlink r:id="rId694" ref="M1132"/>
    <hyperlink r:id="rId695" ref="M1133"/>
    <hyperlink r:id="rId696" ref="M1135"/>
    <hyperlink r:id="rId697" ref="M1136"/>
    <hyperlink r:id="rId698" ref="M1137"/>
    <hyperlink r:id="rId699" ref="M1138"/>
    <hyperlink r:id="rId700" ref="M1140"/>
    <hyperlink r:id="rId701" ref="M1141"/>
    <hyperlink r:id="rId702" ref="M1142"/>
    <hyperlink r:id="rId703" ref="M1143"/>
    <hyperlink r:id="rId704" ref="M1144"/>
    <hyperlink r:id="rId705" ref="M1145"/>
    <hyperlink r:id="rId706" ref="M1147"/>
    <hyperlink r:id="rId707" ref="M1149"/>
    <hyperlink r:id="rId708" ref="M1150"/>
    <hyperlink r:id="rId709" ref="M1151"/>
    <hyperlink r:id="rId710" ref="M1152"/>
    <hyperlink r:id="rId711" ref="M1153"/>
    <hyperlink r:id="rId712" ref="M1155"/>
    <hyperlink r:id="rId713" ref="M1156"/>
    <hyperlink r:id="rId714" ref="M1157"/>
    <hyperlink r:id="rId715" ref="M1158"/>
    <hyperlink r:id="rId716" ref="M1159"/>
    <hyperlink r:id="rId717" ref="M1161"/>
    <hyperlink r:id="rId718" ref="M1162"/>
    <hyperlink r:id="rId719" ref="M1163"/>
    <hyperlink r:id="rId720" ref="M1166"/>
    <hyperlink r:id="rId721" ref="M1167"/>
    <hyperlink r:id="rId722" ref="M1168"/>
    <hyperlink r:id="rId723" ref="M1170"/>
    <hyperlink r:id="rId724" ref="M1172"/>
    <hyperlink r:id="rId725" ref="M1173"/>
    <hyperlink r:id="rId726" ref="M1174"/>
    <hyperlink r:id="rId727" ref="M1175"/>
    <hyperlink r:id="rId728" ref="M1176"/>
    <hyperlink r:id="rId729" ref="M1178"/>
    <hyperlink r:id="rId730" ref="M1179"/>
    <hyperlink r:id="rId731" ref="M1181"/>
    <hyperlink r:id="rId732" ref="M1182"/>
    <hyperlink r:id="rId733" ref="M1183"/>
    <hyperlink r:id="rId734" ref="M1184"/>
    <hyperlink r:id="rId735" ref="M1185"/>
    <hyperlink r:id="rId736" ref="M1186"/>
    <hyperlink r:id="rId737" ref="M1187"/>
    <hyperlink r:id="rId738" ref="M1189"/>
    <hyperlink r:id="rId739" ref="M1190"/>
    <hyperlink r:id="rId740" ref="M1192"/>
    <hyperlink r:id="rId741" ref="M1193"/>
    <hyperlink r:id="rId742" ref="M1195"/>
    <hyperlink r:id="rId743" ref="M1197"/>
    <hyperlink r:id="rId744" ref="M1202"/>
    <hyperlink r:id="rId745" ref="M1207"/>
    <hyperlink r:id="rId746" ref="M1212"/>
    <hyperlink r:id="rId747" ref="M1214"/>
    <hyperlink r:id="rId748" ref="M1216"/>
    <hyperlink r:id="rId749" ref="M1218"/>
    <hyperlink r:id="rId750" ref="M1220"/>
    <hyperlink r:id="rId751" ref="M1221"/>
    <hyperlink r:id="rId752" ref="M1222"/>
    <hyperlink r:id="rId753" ref="M1223"/>
    <hyperlink r:id="rId754" ref="M1224"/>
    <hyperlink r:id="rId755" ref="M1225"/>
    <hyperlink r:id="rId756" ref="M1228"/>
    <hyperlink r:id="rId757" ref="M1229"/>
    <hyperlink r:id="rId758" ref="M1230"/>
    <hyperlink r:id="rId759" ref="M1233"/>
    <hyperlink r:id="rId760" ref="M1234"/>
    <hyperlink r:id="rId761" ref="M1235"/>
    <hyperlink r:id="rId762" ref="M1236"/>
    <hyperlink r:id="rId763" ref="M1239"/>
    <hyperlink r:id="rId764" ref="M1240"/>
    <hyperlink r:id="rId765" ref="M1241"/>
    <hyperlink r:id="rId766" ref="M1242"/>
    <hyperlink r:id="rId767" ref="M1243"/>
    <hyperlink r:id="rId768" ref="M1244"/>
    <hyperlink r:id="rId769" ref="M1245"/>
    <hyperlink r:id="rId770" ref="M1246"/>
    <hyperlink r:id="rId771" ref="M1247"/>
    <hyperlink r:id="rId772" ref="M1248"/>
    <hyperlink r:id="rId773" ref="M1250"/>
    <hyperlink r:id="rId774" ref="M1252"/>
    <hyperlink r:id="rId775" ref="M1253"/>
    <hyperlink r:id="rId776" ref="M1254"/>
    <hyperlink r:id="rId777" ref="M1255"/>
    <hyperlink r:id="rId778" ref="M1257"/>
    <hyperlink r:id="rId779" ref="M1258"/>
    <hyperlink r:id="rId780" ref="M1259"/>
    <hyperlink r:id="rId781" ref="M1260"/>
    <hyperlink r:id="rId782" ref="M1262"/>
    <hyperlink r:id="rId783" ref="M1265"/>
    <hyperlink r:id="rId784" ref="M1266"/>
    <hyperlink r:id="rId785" ref="M1267"/>
    <hyperlink r:id="rId786" ref="M1268"/>
    <hyperlink r:id="rId787" ref="M1270"/>
    <hyperlink r:id="rId788" ref="M1272"/>
    <hyperlink r:id="rId789" ref="M1274"/>
    <hyperlink r:id="rId790" ref="M1276"/>
    <hyperlink r:id="rId791" ref="M1277"/>
    <hyperlink r:id="rId792" ref="M1278"/>
    <hyperlink r:id="rId793" ref="M1280"/>
    <hyperlink r:id="rId794" ref="M1281"/>
    <hyperlink r:id="rId795" ref="M1282"/>
    <hyperlink r:id="rId796" ref="M1283"/>
    <hyperlink r:id="rId797" ref="M1284"/>
    <hyperlink r:id="rId798" ref="M1285"/>
    <hyperlink r:id="rId799" ref="M1286"/>
    <hyperlink r:id="rId800" ref="M1287"/>
    <hyperlink r:id="rId801" ref="M1288"/>
    <hyperlink r:id="rId802" ref="M1289"/>
    <hyperlink r:id="rId803" ref="M1290"/>
    <hyperlink r:id="rId804" ref="M1291"/>
    <hyperlink r:id="rId805" ref="M1292"/>
    <hyperlink r:id="rId806" ref="M1293"/>
    <hyperlink r:id="rId807" ref="M1302"/>
    <hyperlink r:id="rId808" ref="M1305"/>
    <hyperlink r:id="rId809" ref="M1306"/>
    <hyperlink r:id="rId810" ref="M1308"/>
    <hyperlink r:id="rId811" ref="M1309"/>
    <hyperlink r:id="rId812" ref="M1310"/>
    <hyperlink r:id="rId813" ref="M1311"/>
    <hyperlink r:id="rId814" ref="M1312"/>
    <hyperlink r:id="rId815" ref="M1313"/>
    <hyperlink r:id="rId816" ref="M1314"/>
    <hyperlink r:id="rId817" ref="M1315"/>
    <hyperlink r:id="rId818" ref="M1316"/>
    <hyperlink r:id="rId819" ref="M1317"/>
    <hyperlink r:id="rId820" ref="M1318"/>
    <hyperlink r:id="rId821" ref="M1319"/>
    <hyperlink r:id="rId822" ref="M1320"/>
    <hyperlink r:id="rId823" ref="M1321"/>
    <hyperlink r:id="rId824" ref="M1322"/>
    <hyperlink r:id="rId825" ref="M1323"/>
    <hyperlink r:id="rId826" ref="M1324"/>
    <hyperlink r:id="rId827" ref="M1325"/>
    <hyperlink r:id="rId828" ref="M1326"/>
    <hyperlink r:id="rId829" ref="M1327"/>
    <hyperlink r:id="rId830" ref="M1328"/>
    <hyperlink r:id="rId831" ref="M1329"/>
    <hyperlink r:id="rId832" ref="M1332"/>
    <hyperlink r:id="rId833" ref="M1333"/>
    <hyperlink r:id="rId834" ref="M1335"/>
    <hyperlink r:id="rId835" ref="M1336"/>
    <hyperlink r:id="rId836" ref="M1337"/>
    <hyperlink r:id="rId837" ref="M1338"/>
    <hyperlink r:id="rId838" ref="M1339"/>
    <hyperlink r:id="rId839" ref="M1342"/>
    <hyperlink r:id="rId840" ref="M1343"/>
    <hyperlink r:id="rId841" ref="M1345"/>
    <hyperlink r:id="rId842" ref="M1346"/>
    <hyperlink r:id="rId843" ref="M1348"/>
    <hyperlink r:id="rId844" ref="M1349"/>
    <hyperlink r:id="rId845" ref="M1350"/>
    <hyperlink r:id="rId846" ref="M1351"/>
    <hyperlink r:id="rId847" ref="M1352"/>
    <hyperlink r:id="rId848" ref="M1353"/>
    <hyperlink r:id="rId849" ref="M1354"/>
    <hyperlink r:id="rId850" ref="M1355"/>
    <hyperlink r:id="rId851" ref="M1356"/>
    <hyperlink r:id="rId852" ref="M1357"/>
    <hyperlink r:id="rId853" ref="M1358"/>
    <hyperlink r:id="rId854" ref="M1359"/>
    <hyperlink r:id="rId855" ref="M1360"/>
    <hyperlink r:id="rId856" ref="M1363"/>
    <hyperlink r:id="rId857" ref="M1364"/>
    <hyperlink r:id="rId858" ref="M1365"/>
    <hyperlink r:id="rId859" ref="M1366"/>
    <hyperlink r:id="rId860" ref="M1368"/>
    <hyperlink r:id="rId861" ref="M1370"/>
    <hyperlink r:id="rId862" ref="M1371"/>
    <hyperlink r:id="rId863" ref="M1372"/>
    <hyperlink r:id="rId864" ref="M1373"/>
    <hyperlink r:id="rId865" ref="M1374"/>
    <hyperlink r:id="rId866" ref="M1375"/>
    <hyperlink r:id="rId867" ref="M1376"/>
    <hyperlink r:id="rId868" ref="M1378"/>
    <hyperlink r:id="rId869" ref="M1380"/>
    <hyperlink r:id="rId870" ref="M1381"/>
    <hyperlink r:id="rId871" ref="M1382"/>
    <hyperlink r:id="rId872" ref="M1384"/>
    <hyperlink r:id="rId873" ref="M1385"/>
    <hyperlink r:id="rId874" ref="M1391"/>
    <hyperlink r:id="rId875" ref="M1392"/>
    <hyperlink r:id="rId876" ref="M1393"/>
    <hyperlink r:id="rId877" ref="M1394"/>
    <hyperlink r:id="rId878" ref="M1395"/>
    <hyperlink r:id="rId879" ref="M1396"/>
    <hyperlink r:id="rId880" ref="M1397"/>
    <hyperlink r:id="rId881" ref="M1399"/>
    <hyperlink r:id="rId882" ref="M1400"/>
    <hyperlink r:id="rId883" ref="M1403"/>
    <hyperlink r:id="rId884" ref="M1404"/>
    <hyperlink r:id="rId885" ref="M1405"/>
    <hyperlink r:id="rId886" ref="M1407"/>
    <hyperlink r:id="rId887" ref="M1408"/>
    <hyperlink r:id="rId888" ref="M1409"/>
    <hyperlink r:id="rId889" ref="M1410"/>
    <hyperlink r:id="rId890" ref="M1411"/>
    <hyperlink r:id="rId891" ref="M1412"/>
    <hyperlink r:id="rId892" ref="M1414"/>
    <hyperlink r:id="rId893" ref="M1415"/>
    <hyperlink r:id="rId894" ref="M1419"/>
    <hyperlink r:id="rId895" ref="M1423"/>
    <hyperlink r:id="rId896" ref="M1424"/>
    <hyperlink r:id="rId897" ref="M1426"/>
    <hyperlink r:id="rId898" ref="M1432"/>
    <hyperlink r:id="rId899" ref="M1433"/>
    <hyperlink r:id="rId900" ref="M1436"/>
    <hyperlink r:id="rId901" ref="H1438"/>
    <hyperlink r:id="rId902" ref="M1441"/>
    <hyperlink r:id="rId903" ref="M1442"/>
    <hyperlink r:id="rId904" ref="M1444"/>
    <hyperlink r:id="rId905" ref="M1448"/>
    <hyperlink r:id="rId906" ref="M1449"/>
    <hyperlink r:id="rId907" ref="M1450"/>
    <hyperlink r:id="rId908" ref="M1452"/>
    <hyperlink r:id="rId909" ref="M1455"/>
    <hyperlink r:id="rId910" ref="M1459"/>
    <hyperlink r:id="rId911" ref="M1460"/>
    <hyperlink r:id="rId912" ref="M1461"/>
    <hyperlink r:id="rId913" ref="M1464"/>
    <hyperlink r:id="rId914" ref="M1465"/>
    <hyperlink r:id="rId915" ref="M1469"/>
    <hyperlink r:id="rId916" ref="M1470"/>
    <hyperlink r:id="rId917" ref="M1471"/>
    <hyperlink r:id="rId918" ref="M1472"/>
    <hyperlink r:id="rId919" ref="M1474"/>
    <hyperlink r:id="rId920" ref="M1475"/>
    <hyperlink r:id="rId921" ref="M1476"/>
    <hyperlink r:id="rId922" ref="M1478"/>
    <hyperlink r:id="rId923" ref="M1479"/>
    <hyperlink r:id="rId924" ref="M1480"/>
    <hyperlink r:id="rId925" ref="M1481"/>
    <hyperlink r:id="rId926" ref="M1482"/>
    <hyperlink r:id="rId927" ref="M1483"/>
    <hyperlink r:id="rId928" ref="M1484"/>
    <hyperlink r:id="rId929" ref="M1486"/>
    <hyperlink r:id="rId930" ref="M1487"/>
    <hyperlink r:id="rId931" ref="M1490"/>
    <hyperlink r:id="rId932" ref="M1491"/>
    <hyperlink r:id="rId933" ref="M1493"/>
    <hyperlink r:id="rId934" ref="M1496"/>
    <hyperlink r:id="rId935" ref="M1497"/>
    <hyperlink r:id="rId936" ref="M1499"/>
    <hyperlink r:id="rId937" ref="M1500"/>
    <hyperlink r:id="rId938" ref="M1501"/>
    <hyperlink r:id="rId939" ref="M1502"/>
    <hyperlink r:id="rId940" ref="M1503"/>
    <hyperlink r:id="rId941" ref="M1504"/>
    <hyperlink r:id="rId942" ref="M1505"/>
    <hyperlink r:id="rId943" ref="M1511"/>
    <hyperlink r:id="rId944" ref="M1512"/>
    <hyperlink r:id="rId945" ref="M1513"/>
    <hyperlink r:id="rId946" ref="M1514"/>
    <hyperlink r:id="rId947" ref="M1515"/>
    <hyperlink r:id="rId948" ref="M1516"/>
    <hyperlink r:id="rId949" ref="M1517"/>
    <hyperlink r:id="rId950" ref="M1518"/>
    <hyperlink r:id="rId951" ref="M1519"/>
    <hyperlink r:id="rId952" ref="M1520"/>
    <hyperlink r:id="rId953" ref="M1521"/>
    <hyperlink r:id="rId954" ref="M1522"/>
    <hyperlink r:id="rId955" ref="M1523"/>
    <hyperlink r:id="rId956" ref="M1524"/>
    <hyperlink r:id="rId957" ref="M1525"/>
    <hyperlink r:id="rId958" ref="M1526"/>
    <hyperlink r:id="rId959" ref="M1527"/>
    <hyperlink r:id="rId960" ref="M1528"/>
    <hyperlink r:id="rId961" ref="M1529"/>
    <hyperlink r:id="rId962" ref="M1530"/>
    <hyperlink r:id="rId963" ref="M1531"/>
    <hyperlink r:id="rId964" ref="M1532"/>
    <hyperlink r:id="rId965" ref="M1533"/>
    <hyperlink r:id="rId966" ref="M1534"/>
    <hyperlink r:id="rId967" ref="M1535"/>
    <hyperlink r:id="rId968" ref="M1536"/>
    <hyperlink r:id="rId969" ref="M1537"/>
    <hyperlink r:id="rId970" ref="M1538"/>
    <hyperlink r:id="rId971" ref="M1539"/>
    <hyperlink r:id="rId972" ref="M1540"/>
    <hyperlink r:id="rId973" ref="M1541"/>
    <hyperlink r:id="rId974" ref="M1542"/>
    <hyperlink r:id="rId975" ref="M1543"/>
    <hyperlink r:id="rId976" ref="M1544"/>
    <hyperlink r:id="rId977" ref="M1545"/>
    <hyperlink r:id="rId978" ref="M1547"/>
    <hyperlink r:id="rId979" ref="M1548"/>
    <hyperlink r:id="rId980" ref="M1549"/>
    <hyperlink r:id="rId981" ref="M1550"/>
    <hyperlink r:id="rId982" ref="M1551"/>
    <hyperlink r:id="rId983" ref="M1552"/>
    <hyperlink r:id="rId984" ref="M1553"/>
    <hyperlink r:id="rId985" ref="M1554"/>
    <hyperlink r:id="rId986" ref="M1555"/>
    <hyperlink r:id="rId987" ref="M1556"/>
    <hyperlink r:id="rId988" ref="M1558"/>
    <hyperlink r:id="rId989" ref="M1559"/>
    <hyperlink r:id="rId990" ref="M1560"/>
    <hyperlink r:id="rId991" ref="G1561"/>
    <hyperlink r:id="rId992" ref="M1561"/>
    <hyperlink r:id="rId993" ref="M1562"/>
    <hyperlink r:id="rId994" ref="M1564"/>
    <hyperlink r:id="rId995" ref="M1565"/>
    <hyperlink r:id="rId996" ref="M1566"/>
    <hyperlink r:id="rId997" ref="M1567"/>
    <hyperlink r:id="rId998" ref="M1568"/>
    <hyperlink r:id="rId999" ref="M1569"/>
    <hyperlink r:id="rId1000" ref="M1570"/>
    <hyperlink r:id="rId1001" ref="M1571"/>
    <hyperlink r:id="rId1002" ref="M1572"/>
    <hyperlink r:id="rId1003" ref="M1573"/>
    <hyperlink r:id="rId1004" ref="M1574"/>
    <hyperlink r:id="rId1005" ref="M1575"/>
    <hyperlink r:id="rId1006" ref="M1576"/>
    <hyperlink r:id="rId1007" ref="M1577"/>
    <hyperlink r:id="rId1008" ref="M1578"/>
    <hyperlink r:id="rId1009" ref="M1579"/>
    <hyperlink r:id="rId1010" ref="M1580"/>
    <hyperlink r:id="rId1011" ref="M1581"/>
    <hyperlink r:id="rId1012" ref="M1582"/>
    <hyperlink r:id="rId1013" ref="M1583"/>
    <hyperlink r:id="rId1014" ref="M1584"/>
    <hyperlink r:id="rId1015" ref="M1585"/>
    <hyperlink r:id="rId1016" ref="M1586"/>
    <hyperlink r:id="rId1017" ref="M1587"/>
    <hyperlink r:id="rId1018" ref="M1588"/>
    <hyperlink r:id="rId1019" ref="M1589"/>
    <hyperlink r:id="rId1020" ref="M1590"/>
    <hyperlink r:id="rId1021" ref="M1591"/>
    <hyperlink r:id="rId1022" ref="M1592"/>
    <hyperlink r:id="rId1023" ref="M1593"/>
    <hyperlink r:id="rId1024" ref="M1594"/>
    <hyperlink r:id="rId1025" ref="M1595"/>
    <hyperlink r:id="rId1026" ref="M1596"/>
    <hyperlink r:id="rId1027" ref="M1597"/>
    <hyperlink r:id="rId1028" ref="M1598"/>
    <hyperlink r:id="rId1029" ref="M1599"/>
    <hyperlink r:id="rId1030" ref="M1600"/>
    <hyperlink r:id="rId1031" ref="M1601"/>
    <hyperlink r:id="rId1032" ref="M1602"/>
    <hyperlink r:id="rId1033" ref="M1603"/>
    <hyperlink r:id="rId1034" ref="M1604"/>
    <hyperlink r:id="rId1035" ref="M1605"/>
    <hyperlink r:id="rId1036" ref="M1606"/>
    <hyperlink r:id="rId1037" ref="M1607"/>
    <hyperlink r:id="rId1038" ref="M1608"/>
    <hyperlink r:id="rId1039" ref="M1609"/>
    <hyperlink r:id="rId1040" ref="M1610"/>
    <hyperlink r:id="rId1041" ref="M1611"/>
    <hyperlink r:id="rId1042" ref="M1612"/>
    <hyperlink r:id="rId1043" ref="M1613"/>
    <hyperlink r:id="rId1044" ref="M1614"/>
    <hyperlink r:id="rId1045" ref="M1615"/>
    <hyperlink r:id="rId1046" ref="M1616"/>
    <hyperlink r:id="rId1047" ref="M1617"/>
    <hyperlink r:id="rId1048" ref="M1618"/>
    <hyperlink r:id="rId1049" ref="M1620"/>
    <hyperlink r:id="rId1050" ref="M1621"/>
    <hyperlink r:id="rId1051" ref="M1622"/>
    <hyperlink r:id="rId1052" ref="M1623"/>
    <hyperlink r:id="rId1053" ref="M1624"/>
    <hyperlink r:id="rId1054" ref="M1625"/>
    <hyperlink r:id="rId1055" ref="M1626"/>
    <hyperlink r:id="rId1056" ref="M1627"/>
    <hyperlink r:id="rId1057" ref="M1628"/>
    <hyperlink r:id="rId1058" ref="M1629"/>
    <hyperlink r:id="rId1059" ref="M1630"/>
    <hyperlink r:id="rId1060" ref="M1631"/>
    <hyperlink r:id="rId1061" ref="M1632"/>
    <hyperlink r:id="rId1062" ref="M1633"/>
    <hyperlink r:id="rId1063" ref="M1634"/>
    <hyperlink r:id="rId1064" ref="M1635"/>
    <hyperlink r:id="rId1065" ref="M1636"/>
    <hyperlink r:id="rId1066" ref="M1637"/>
    <hyperlink r:id="rId1067" ref="M1638"/>
    <hyperlink r:id="rId1068" ref="M1639"/>
    <hyperlink r:id="rId1069" ref="M1640"/>
    <hyperlink r:id="rId1070" ref="M1641"/>
    <hyperlink r:id="rId1071" ref="M1642"/>
    <hyperlink r:id="rId1072" ref="M1643"/>
    <hyperlink r:id="rId1073" ref="M1644"/>
    <hyperlink r:id="rId1074" ref="M1645"/>
    <hyperlink r:id="rId1075" ref="M1646"/>
    <hyperlink r:id="rId1076" ref="M1647"/>
    <hyperlink r:id="rId1077" ref="M1648"/>
    <hyperlink r:id="rId1078" ref="M1649"/>
    <hyperlink r:id="rId1079" ref="M1650"/>
    <hyperlink r:id="rId1080" ref="M1651"/>
    <hyperlink r:id="rId1081" ref="M1652"/>
    <hyperlink r:id="rId1082" ref="M1653"/>
    <hyperlink r:id="rId1083" ref="M1654"/>
    <hyperlink r:id="rId1084" ref="M1655"/>
    <hyperlink r:id="rId1085" ref="M1656"/>
    <hyperlink r:id="rId1086" ref="M1657"/>
    <hyperlink r:id="rId1087" ref="M1658"/>
    <hyperlink r:id="rId1088" ref="M1659"/>
    <hyperlink r:id="rId1089" ref="M1660"/>
    <hyperlink r:id="rId1090" ref="M1661"/>
    <hyperlink r:id="rId1091" ref="M1662"/>
    <hyperlink r:id="rId1092" ref="M1663"/>
    <hyperlink r:id="rId1093" ref="M1664"/>
    <hyperlink r:id="rId1094" ref="M1665"/>
    <hyperlink r:id="rId1095" ref="M1666"/>
    <hyperlink r:id="rId1096" ref="M1667"/>
    <hyperlink r:id="rId1097" ref="M1668"/>
    <hyperlink r:id="rId1098" ref="M1669"/>
    <hyperlink r:id="rId1099" ref="M1670"/>
    <hyperlink r:id="rId1100" ref="M1671"/>
    <hyperlink r:id="rId1101" ref="M1672"/>
    <hyperlink r:id="rId1102" ref="M1673"/>
    <hyperlink r:id="rId1103" ref="M1674"/>
    <hyperlink r:id="rId1104" ref="M1675"/>
    <hyperlink r:id="rId1105" ref="M1676"/>
    <hyperlink r:id="rId1106" ref="M1677"/>
    <hyperlink r:id="rId1107" ref="M1678"/>
    <hyperlink r:id="rId1108" ref="M1679"/>
    <hyperlink r:id="rId1109" ref="M1680"/>
    <hyperlink r:id="rId1110" ref="M1681"/>
    <hyperlink r:id="rId1111" ref="M1682"/>
    <hyperlink r:id="rId1112" ref="M1683"/>
    <hyperlink r:id="rId1113" ref="M1684"/>
    <hyperlink r:id="rId1114" ref="M1685"/>
    <hyperlink r:id="rId1115" ref="M1686"/>
    <hyperlink r:id="rId1116" ref="M1687"/>
    <hyperlink r:id="rId1117" ref="M1688"/>
    <hyperlink r:id="rId1118" ref="M1689"/>
    <hyperlink r:id="rId1119" ref="M1690"/>
    <hyperlink r:id="rId1120" ref="M1691"/>
    <hyperlink r:id="rId1121" ref="M1692"/>
    <hyperlink r:id="rId1122" ref="M1693"/>
    <hyperlink r:id="rId1123" ref="M1694"/>
    <hyperlink r:id="rId1124" ref="M1695"/>
    <hyperlink r:id="rId1125" ref="M1696"/>
    <hyperlink r:id="rId1126" ref="M1697"/>
    <hyperlink r:id="rId1127" ref="M1698"/>
    <hyperlink r:id="rId1128" ref="M1699"/>
    <hyperlink r:id="rId1129" ref="M1700"/>
    <hyperlink r:id="rId1130" ref="M1701"/>
    <hyperlink r:id="rId1131" ref="M1702"/>
    <hyperlink r:id="rId1132" ref="M1703"/>
    <hyperlink r:id="rId1133" ref="M1704"/>
    <hyperlink r:id="rId1134" ref="M1705"/>
    <hyperlink r:id="rId1135" ref="M1706"/>
    <hyperlink r:id="rId1136" ref="M1707"/>
    <hyperlink r:id="rId1137" ref="M1708"/>
    <hyperlink r:id="rId1138" ref="M1709"/>
    <hyperlink r:id="rId1139" ref="M1710"/>
    <hyperlink r:id="rId1140" ref="M1711"/>
    <hyperlink r:id="rId1141" ref="M1712"/>
    <hyperlink r:id="rId1142" ref="M1713"/>
    <hyperlink r:id="rId1143" ref="M1714"/>
    <hyperlink r:id="rId1144" ref="M1715"/>
    <hyperlink r:id="rId1145" ref="M1716"/>
    <hyperlink r:id="rId1146" ref="M1717"/>
    <hyperlink r:id="rId1147" ref="M1718"/>
    <hyperlink r:id="rId1148" ref="M1719"/>
    <hyperlink r:id="rId1149" ref="M1720"/>
    <hyperlink r:id="rId1150" ref="M1721"/>
    <hyperlink r:id="rId1151" ref="M1722"/>
    <hyperlink r:id="rId1152" ref="M1723"/>
    <hyperlink r:id="rId1153" ref="M1724"/>
    <hyperlink r:id="rId1154" ref="M1725"/>
    <hyperlink r:id="rId1155" ref="M1726"/>
    <hyperlink r:id="rId1156" ref="M1727"/>
    <hyperlink r:id="rId1157" ref="M1728"/>
    <hyperlink r:id="rId1158" ref="M1729"/>
    <hyperlink r:id="rId1159" ref="M1730"/>
    <hyperlink r:id="rId1160" ref="M1731"/>
    <hyperlink r:id="rId1161" ref="M1732"/>
    <hyperlink r:id="rId1162" ref="M1733"/>
    <hyperlink r:id="rId1163" ref="M1734"/>
    <hyperlink r:id="rId1164" ref="M1735"/>
    <hyperlink r:id="rId1165" ref="M1736"/>
  </hyperlinks>
  <drawing r:id="rId1166"/>
  <legacyDrawing r:id="rId11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31.38"/>
    <col customWidth="1" min="3" max="3" width="20.13"/>
    <col customWidth="1" min="4" max="4" width="8.25"/>
    <col customWidth="1" min="5" max="5" width="20.0"/>
    <col customWidth="1" min="6" max="6" width="18.88"/>
    <col customWidth="1" min="7" max="7" width="16.25"/>
    <col customWidth="1" min="8" max="8" width="16.5"/>
    <col customWidth="1" min="9" max="9" width="15.75"/>
    <col customWidth="1" min="10" max="10" width="6.63"/>
    <col customWidth="1" min="11" max="11" width="8.63"/>
    <col customWidth="1" min="12" max="12" width="6.0"/>
    <col customWidth="1" min="13" max="13" width="17.0"/>
    <col customWidth="1" min="15" max="15" width="7.0"/>
    <col customWidth="1" min="16" max="16" width="23.63"/>
    <col customWidth="1" min="17" max="18" width="7.88"/>
    <col customWidth="1" min="19" max="19" width="6.25"/>
    <col customWidth="1" min="20" max="20" width="8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28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5" t="s">
        <v>15</v>
      </c>
      <c r="M1" s="7" t="s">
        <v>17</v>
      </c>
      <c r="N1" s="9" t="s">
        <v>18</v>
      </c>
      <c r="O1" s="13">
        <f>COUNTA(B2:B1650)</f>
        <v>27</v>
      </c>
      <c r="P1" s="12" t="s">
        <v>38</v>
      </c>
      <c r="Q1" s="15">
        <f>COUNTIF($C$2:$C1600,P1)</f>
        <v>25</v>
      </c>
      <c r="R1" s="16">
        <f>Q1-COUNTIFS(M2:M1600,"-",C2:C1600,P1)</f>
        <v>25</v>
      </c>
      <c r="S1" s="17">
        <f>Q1-R1</f>
        <v>0</v>
      </c>
      <c r="T1" s="18">
        <f>R1/Q1</f>
        <v>1</v>
      </c>
      <c r="U1" s="19">
        <f>sum(L2:L1600)</f>
        <v>25</v>
      </c>
      <c r="V1" s="19"/>
      <c r="W1" s="19"/>
      <c r="X1" s="19"/>
    </row>
    <row r="2">
      <c r="A2" s="20">
        <v>1.0</v>
      </c>
      <c r="B2" s="12" t="s">
        <v>52</v>
      </c>
      <c r="C2" s="12" t="s">
        <v>38</v>
      </c>
      <c r="D2" s="23">
        <v>813.0</v>
      </c>
      <c r="E2" s="12" t="s">
        <v>64</v>
      </c>
      <c r="F2" s="12" t="s">
        <v>66</v>
      </c>
      <c r="G2" s="12" t="s">
        <v>67</v>
      </c>
      <c r="H2" s="12" t="s">
        <v>68</v>
      </c>
      <c r="I2" s="23" t="s">
        <v>69</v>
      </c>
      <c r="J2" s="12">
        <v>2014.0</v>
      </c>
      <c r="K2" s="23">
        <v>798.0</v>
      </c>
      <c r="L2" s="24">
        <v>1.0</v>
      </c>
      <c r="M2" s="25" t="s">
        <v>71</v>
      </c>
      <c r="N2" s="26" t="str">
        <f t="shared" ref="N2:N81" si="1">D2 &amp; CHAR(10) &amp; LEFT(F2,3) &amp; CHAR(10) &amp; LOWER(LEFT(B2,1))</f>
        <v>813
JOS
d</v>
      </c>
      <c r="O2" s="26"/>
      <c r="P2" s="26"/>
      <c r="Q2" s="26"/>
      <c r="R2" s="26"/>
      <c r="S2" s="26"/>
      <c r="T2" s="26"/>
      <c r="U2" s="26"/>
      <c r="V2" s="26"/>
      <c r="W2" s="26"/>
      <c r="X2" s="26"/>
    </row>
    <row r="3">
      <c r="A3" s="20">
        <v>2.0</v>
      </c>
      <c r="B3" s="12" t="s">
        <v>96</v>
      </c>
      <c r="C3" s="12" t="s">
        <v>38</v>
      </c>
      <c r="D3" s="23">
        <v>813.0</v>
      </c>
      <c r="E3" s="12" t="s">
        <v>64</v>
      </c>
      <c r="F3" s="12" t="s">
        <v>97</v>
      </c>
      <c r="G3" s="12" t="s">
        <v>98</v>
      </c>
      <c r="H3" s="12" t="s">
        <v>99</v>
      </c>
      <c r="I3" s="23" t="s">
        <v>100</v>
      </c>
      <c r="J3" s="12">
        <v>2021.0</v>
      </c>
      <c r="K3" s="23" t="s">
        <v>101</v>
      </c>
      <c r="L3" s="24">
        <v>1.0</v>
      </c>
      <c r="M3" s="25" t="s">
        <v>103</v>
      </c>
      <c r="N3" s="26" t="str">
        <f t="shared" si="1"/>
        <v>813
PID
a</v>
      </c>
      <c r="O3" s="26"/>
      <c r="P3" s="26"/>
      <c r="Q3" s="26"/>
      <c r="R3" s="26"/>
      <c r="S3" s="26"/>
      <c r="T3" s="26"/>
      <c r="U3" s="26"/>
      <c r="V3" s="26"/>
      <c r="W3" s="26"/>
      <c r="X3" s="26"/>
    </row>
    <row r="4">
      <c r="A4" s="20">
        <v>3.0</v>
      </c>
      <c r="B4" s="12" t="s">
        <v>114</v>
      </c>
      <c r="C4" s="12" t="s">
        <v>38</v>
      </c>
      <c r="D4" s="27">
        <v>813.0</v>
      </c>
      <c r="E4" s="12" t="s">
        <v>64</v>
      </c>
      <c r="F4" s="12" t="s">
        <v>119</v>
      </c>
      <c r="G4" s="12" t="s">
        <v>120</v>
      </c>
      <c r="H4" s="12" t="s">
        <v>121</v>
      </c>
      <c r="I4" s="23" t="s">
        <v>122</v>
      </c>
      <c r="J4" s="12">
        <v>2016.0</v>
      </c>
      <c r="K4" s="23" t="s">
        <v>124</v>
      </c>
      <c r="L4" s="24">
        <v>1.0</v>
      </c>
      <c r="M4" s="25" t="s">
        <v>127</v>
      </c>
      <c r="N4" s="26" t="str">
        <f t="shared" si="1"/>
        <v>813
GEO
a</v>
      </c>
      <c r="O4" s="26"/>
      <c r="P4" s="26"/>
      <c r="Q4" s="26"/>
      <c r="R4" s="26"/>
      <c r="S4" s="26"/>
      <c r="T4" s="26"/>
      <c r="U4" s="26"/>
      <c r="V4" s="26"/>
      <c r="W4" s="26"/>
      <c r="X4" s="26"/>
    </row>
    <row r="5">
      <c r="A5" s="20">
        <v>4.0</v>
      </c>
      <c r="B5" s="12" t="s">
        <v>135</v>
      </c>
      <c r="C5" s="12" t="s">
        <v>38</v>
      </c>
      <c r="D5" s="23">
        <v>813.0</v>
      </c>
      <c r="E5" s="12" t="s">
        <v>64</v>
      </c>
      <c r="F5" s="12" t="s">
        <v>137</v>
      </c>
      <c r="G5" s="12" t="s">
        <v>139</v>
      </c>
      <c r="H5" s="12" t="s">
        <v>141</v>
      </c>
      <c r="I5" s="23"/>
      <c r="J5" s="12">
        <v>2021.0</v>
      </c>
      <c r="K5" s="23" t="s">
        <v>147</v>
      </c>
      <c r="L5" s="24">
        <v>1.0</v>
      </c>
      <c r="M5" s="25" t="s">
        <v>149</v>
      </c>
      <c r="N5" s="26" t="str">
        <f t="shared" si="1"/>
        <v>813
FAL
a</v>
      </c>
      <c r="O5" s="26"/>
      <c r="P5" s="26"/>
      <c r="Q5" s="26"/>
      <c r="R5" s="26"/>
      <c r="S5" s="26"/>
      <c r="T5" s="26"/>
      <c r="U5" s="26"/>
      <c r="V5" s="26"/>
      <c r="W5" s="26"/>
      <c r="X5" s="26"/>
    </row>
    <row r="6">
      <c r="A6" s="20">
        <v>5.0</v>
      </c>
      <c r="B6" s="12" t="s">
        <v>163</v>
      </c>
      <c r="C6" s="12" t="s">
        <v>38</v>
      </c>
      <c r="D6" s="23">
        <v>813.0</v>
      </c>
      <c r="E6" s="12" t="s">
        <v>64</v>
      </c>
      <c r="F6" s="12" t="s">
        <v>166</v>
      </c>
      <c r="G6" s="12"/>
      <c r="H6" s="12" t="s">
        <v>168</v>
      </c>
      <c r="I6" s="23" t="s">
        <v>169</v>
      </c>
      <c r="J6" s="12">
        <v>2017.0</v>
      </c>
      <c r="K6" s="23" t="s">
        <v>170</v>
      </c>
      <c r="L6" s="24">
        <v>1.0</v>
      </c>
      <c r="M6" s="25" t="s">
        <v>171</v>
      </c>
      <c r="N6" s="26" t="str">
        <f t="shared" si="1"/>
        <v>813
AGN
b</v>
      </c>
      <c r="O6" s="26"/>
      <c r="P6" s="26"/>
      <c r="Q6" s="26"/>
      <c r="R6" s="26"/>
      <c r="S6" s="26"/>
      <c r="T6" s="26"/>
      <c r="U6" s="26"/>
      <c r="V6" s="26"/>
      <c r="W6" s="26"/>
      <c r="X6" s="26"/>
    </row>
    <row r="7">
      <c r="A7" s="20">
        <v>6.0</v>
      </c>
      <c r="B7" s="12" t="s">
        <v>176</v>
      </c>
      <c r="C7" s="12" t="s">
        <v>38</v>
      </c>
      <c r="D7" s="23">
        <v>813.0</v>
      </c>
      <c r="E7" s="12" t="s">
        <v>64</v>
      </c>
      <c r="F7" s="12" t="s">
        <v>177</v>
      </c>
      <c r="G7" s="12" t="s">
        <v>178</v>
      </c>
      <c r="H7" s="12" t="s">
        <v>168</v>
      </c>
      <c r="I7" s="23" t="s">
        <v>179</v>
      </c>
      <c r="J7" s="12">
        <v>2014.0</v>
      </c>
      <c r="K7" s="23" t="s">
        <v>180</v>
      </c>
      <c r="L7" s="24">
        <v>1.0</v>
      </c>
      <c r="M7" s="25" t="s">
        <v>182</v>
      </c>
      <c r="N7" s="26" t="str">
        <f t="shared" si="1"/>
        <v>813
TER
b</v>
      </c>
      <c r="O7" s="26"/>
      <c r="P7" s="26"/>
      <c r="Q7" s="26"/>
      <c r="R7" s="26"/>
      <c r="S7" s="26"/>
      <c r="T7" s="26"/>
      <c r="U7" s="26"/>
      <c r="V7" s="26"/>
      <c r="W7" s="26"/>
      <c r="X7" s="26"/>
    </row>
    <row r="8">
      <c r="A8" s="20">
        <v>7.0</v>
      </c>
      <c r="B8" s="12" t="s">
        <v>191</v>
      </c>
      <c r="C8" s="12" t="s">
        <v>38</v>
      </c>
      <c r="D8" s="23">
        <v>813.0</v>
      </c>
      <c r="E8" s="12" t="s">
        <v>64</v>
      </c>
      <c r="F8" s="12" t="s">
        <v>192</v>
      </c>
      <c r="G8" s="12"/>
      <c r="H8" s="12" t="s">
        <v>194</v>
      </c>
      <c r="I8" s="23" t="s">
        <v>195</v>
      </c>
      <c r="J8" s="12">
        <v>2016.0</v>
      </c>
      <c r="K8" s="23" t="s">
        <v>197</v>
      </c>
      <c r="L8" s="24">
        <v>1.0</v>
      </c>
      <c r="M8" s="25" t="s">
        <v>198</v>
      </c>
      <c r="N8" s="26" t="str">
        <f t="shared" si="1"/>
        <v>813
VOL
c</v>
      </c>
      <c r="O8" s="26"/>
      <c r="P8" s="26"/>
      <c r="Q8" s="26"/>
      <c r="R8" s="26"/>
      <c r="S8" s="26"/>
      <c r="T8" s="26"/>
      <c r="U8" s="26"/>
      <c r="V8" s="26"/>
      <c r="W8" s="26"/>
      <c r="X8" s="26"/>
    </row>
    <row r="9">
      <c r="A9" s="20">
        <v>8.0</v>
      </c>
      <c r="B9" s="12" t="s">
        <v>209</v>
      </c>
      <c r="C9" s="12" t="s">
        <v>31</v>
      </c>
      <c r="D9" s="21" t="s">
        <v>210</v>
      </c>
      <c r="E9" s="12" t="s">
        <v>212</v>
      </c>
      <c r="F9" s="12" t="s">
        <v>213</v>
      </c>
      <c r="G9" s="12" t="s">
        <v>215</v>
      </c>
      <c r="H9" s="12" t="s">
        <v>216</v>
      </c>
      <c r="I9" s="23" t="s">
        <v>217</v>
      </c>
      <c r="J9" s="12">
        <v>2013.0</v>
      </c>
      <c r="K9" s="23" t="s">
        <v>218</v>
      </c>
      <c r="L9" s="24">
        <v>1.0</v>
      </c>
      <c r="M9" s="25" t="s">
        <v>220</v>
      </c>
      <c r="N9" s="26" t="str">
        <f t="shared" si="1"/>
        <v>001
SAM
e</v>
      </c>
      <c r="O9" s="26"/>
      <c r="P9" s="26"/>
      <c r="Q9" s="26"/>
      <c r="R9" s="26"/>
      <c r="S9" s="26"/>
      <c r="T9" s="26"/>
      <c r="U9" s="26"/>
      <c r="V9" s="26"/>
      <c r="W9" s="26"/>
      <c r="X9" s="26"/>
    </row>
    <row r="10">
      <c r="A10" s="20">
        <v>9.0</v>
      </c>
      <c r="B10" s="12" t="s">
        <v>227</v>
      </c>
      <c r="C10" s="12" t="s">
        <v>31</v>
      </c>
      <c r="D10" s="21" t="s">
        <v>210</v>
      </c>
      <c r="E10" s="12" t="s">
        <v>228</v>
      </c>
      <c r="F10" s="12" t="s">
        <v>213</v>
      </c>
      <c r="G10" s="12" t="s">
        <v>215</v>
      </c>
      <c r="H10" s="12" t="s">
        <v>216</v>
      </c>
      <c r="I10" s="23" t="s">
        <v>240</v>
      </c>
      <c r="J10" s="12">
        <v>2013.0</v>
      </c>
      <c r="K10" s="23" t="s">
        <v>243</v>
      </c>
      <c r="L10" s="24">
        <v>1.0</v>
      </c>
      <c r="M10" s="25" t="s">
        <v>245</v>
      </c>
      <c r="N10" s="26" t="str">
        <f t="shared" si="1"/>
        <v>001
SAM
e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>
      <c r="A11" s="20">
        <v>10.0</v>
      </c>
      <c r="B11" s="12" t="s">
        <v>255</v>
      </c>
      <c r="C11" s="12" t="s">
        <v>38</v>
      </c>
      <c r="D11" s="23">
        <v>813.0</v>
      </c>
      <c r="E11" s="12" t="s">
        <v>64</v>
      </c>
      <c r="F11" s="12" t="s">
        <v>258</v>
      </c>
      <c r="G11" s="12"/>
      <c r="H11" s="12" t="s">
        <v>168</v>
      </c>
      <c r="I11" s="23" t="s">
        <v>259</v>
      </c>
      <c r="J11" s="12">
        <v>2004.0</v>
      </c>
      <c r="K11" s="23" t="s">
        <v>260</v>
      </c>
      <c r="L11" s="24">
        <v>1.0</v>
      </c>
      <c r="M11" s="25" t="s">
        <v>261</v>
      </c>
      <c r="N11" s="26" t="str">
        <f t="shared" si="1"/>
        <v>813
CHR
e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>
      <c r="A12" s="20">
        <v>11.0</v>
      </c>
      <c r="B12" s="12" t="s">
        <v>275</v>
      </c>
      <c r="C12" s="12" t="s">
        <v>38</v>
      </c>
      <c r="D12" s="23">
        <v>813.0</v>
      </c>
      <c r="E12" s="12" t="s">
        <v>64</v>
      </c>
      <c r="F12" s="12" t="s">
        <v>276</v>
      </c>
      <c r="G12" s="12"/>
      <c r="H12" s="12" t="s">
        <v>168</v>
      </c>
      <c r="I12" s="23" t="s">
        <v>277</v>
      </c>
      <c r="J12" s="12">
        <v>2022.0</v>
      </c>
      <c r="K12" s="23" t="s">
        <v>278</v>
      </c>
      <c r="L12" s="24">
        <v>1.0</v>
      </c>
      <c r="M12" s="25" t="s">
        <v>280</v>
      </c>
      <c r="N12" s="26" t="str">
        <f t="shared" si="1"/>
        <v>813
TOS
f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>
      <c r="A13" s="20">
        <v>12.0</v>
      </c>
      <c r="B13" s="12" t="s">
        <v>288</v>
      </c>
      <c r="C13" s="12" t="s">
        <v>38</v>
      </c>
      <c r="D13" s="23">
        <v>813.0</v>
      </c>
      <c r="E13" s="12" t="s">
        <v>64</v>
      </c>
      <c r="F13" s="12" t="s">
        <v>276</v>
      </c>
      <c r="G13" s="12"/>
      <c r="H13" s="12" t="s">
        <v>168</v>
      </c>
      <c r="I13" s="23" t="s">
        <v>291</v>
      </c>
      <c r="J13" s="12">
        <v>2021.0</v>
      </c>
      <c r="K13" s="23" t="s">
        <v>292</v>
      </c>
      <c r="L13" s="24">
        <v>1.0</v>
      </c>
      <c r="M13" s="25" t="s">
        <v>294</v>
      </c>
      <c r="N13" s="26" t="str">
        <f t="shared" si="1"/>
        <v>813
TOS
f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>
      <c r="A14" s="20">
        <v>13.0</v>
      </c>
      <c r="B14" s="12" t="s">
        <v>305</v>
      </c>
      <c r="C14" s="12" t="s">
        <v>38</v>
      </c>
      <c r="D14" s="23">
        <v>813.0</v>
      </c>
      <c r="E14" s="12" t="s">
        <v>64</v>
      </c>
      <c r="F14" s="12" t="s">
        <v>276</v>
      </c>
      <c r="G14" s="12"/>
      <c r="H14" s="12" t="s">
        <v>168</v>
      </c>
      <c r="I14" s="23" t="s">
        <v>308</v>
      </c>
      <c r="J14" s="12">
        <v>2023.0</v>
      </c>
      <c r="K14" s="23" t="s">
        <v>309</v>
      </c>
      <c r="L14" s="24">
        <v>1.0</v>
      </c>
      <c r="M14" s="25" t="s">
        <v>310</v>
      </c>
      <c r="N14" s="26" t="str">
        <f t="shared" si="1"/>
        <v>813
TOS
d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0">
        <v>14.0</v>
      </c>
      <c r="B15" s="12" t="s">
        <v>328</v>
      </c>
      <c r="C15" s="12" t="s">
        <v>38</v>
      </c>
      <c r="D15" s="23">
        <v>813.0</v>
      </c>
      <c r="E15" s="12" t="s">
        <v>64</v>
      </c>
      <c r="F15" s="12" t="s">
        <v>329</v>
      </c>
      <c r="G15" s="12"/>
      <c r="H15" s="12"/>
      <c r="I15" s="23"/>
      <c r="J15" s="12"/>
      <c r="K15" s="23" t="s">
        <v>330</v>
      </c>
      <c r="L15" s="24">
        <v>1.0</v>
      </c>
      <c r="M15" s="25" t="s">
        <v>331</v>
      </c>
      <c r="N15" s="26" t="str">
        <f t="shared" si="1"/>
        <v>813
J. 
h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0">
        <v>15.0</v>
      </c>
      <c r="B16" s="12" t="s">
        <v>344</v>
      </c>
      <c r="C16" s="12" t="s">
        <v>38</v>
      </c>
      <c r="D16" s="23">
        <v>813.0</v>
      </c>
      <c r="E16" s="12" t="s">
        <v>64</v>
      </c>
      <c r="F16" s="12" t="s">
        <v>329</v>
      </c>
      <c r="G16" s="12"/>
      <c r="H16" s="12"/>
      <c r="I16" s="23"/>
      <c r="J16" s="12"/>
      <c r="K16" s="23" t="s">
        <v>349</v>
      </c>
      <c r="L16" s="24">
        <v>1.0</v>
      </c>
      <c r="M16" s="25" t="s">
        <v>350</v>
      </c>
      <c r="N16" s="26" t="str">
        <f t="shared" si="1"/>
        <v>813
J. 
h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0">
        <v>16.0</v>
      </c>
      <c r="B17" s="12" t="s">
        <v>354</v>
      </c>
      <c r="C17" s="12" t="s">
        <v>38</v>
      </c>
      <c r="D17" s="23">
        <v>813.0</v>
      </c>
      <c r="E17" s="12" t="s">
        <v>64</v>
      </c>
      <c r="F17" s="12" t="s">
        <v>329</v>
      </c>
      <c r="G17" s="12"/>
      <c r="H17" s="12"/>
      <c r="I17" s="35"/>
      <c r="J17" s="12"/>
      <c r="K17" s="23" t="s">
        <v>356</v>
      </c>
      <c r="L17" s="24">
        <v>1.0</v>
      </c>
      <c r="M17" s="25" t="s">
        <v>358</v>
      </c>
      <c r="N17" s="26" t="str">
        <f t="shared" si="1"/>
        <v>813
J. 
h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0">
        <v>17.0</v>
      </c>
      <c r="B18" s="12" t="s">
        <v>370</v>
      </c>
      <c r="C18" s="12" t="s">
        <v>38</v>
      </c>
      <c r="D18" s="23">
        <v>813.0</v>
      </c>
      <c r="E18" s="12" t="s">
        <v>64</v>
      </c>
      <c r="F18" s="12" t="s">
        <v>329</v>
      </c>
      <c r="G18" s="12"/>
      <c r="H18" s="12"/>
      <c r="I18" s="23"/>
      <c r="J18" s="12"/>
      <c r="K18" s="23" t="s">
        <v>371</v>
      </c>
      <c r="L18" s="24">
        <v>1.0</v>
      </c>
      <c r="M18" s="25" t="s">
        <v>372</v>
      </c>
      <c r="N18" s="26" t="str">
        <f t="shared" si="1"/>
        <v>813
J. 
h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0">
        <v>18.0</v>
      </c>
      <c r="B19" s="12" t="s">
        <v>421</v>
      </c>
      <c r="C19" s="12" t="s">
        <v>38</v>
      </c>
      <c r="D19" s="23">
        <v>813.0</v>
      </c>
      <c r="E19" s="12" t="s">
        <v>64</v>
      </c>
      <c r="F19" s="12" t="s">
        <v>329</v>
      </c>
      <c r="G19" s="12"/>
      <c r="H19" s="12"/>
      <c r="I19" s="35"/>
      <c r="J19" s="12"/>
      <c r="K19" s="23" t="s">
        <v>427</v>
      </c>
      <c r="L19" s="24">
        <v>1.0</v>
      </c>
      <c r="M19" s="25" t="s">
        <v>431</v>
      </c>
      <c r="N19" s="26" t="str">
        <f t="shared" si="1"/>
        <v>813
J. 
h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0">
        <v>19.0</v>
      </c>
      <c r="B20" s="12" t="s">
        <v>442</v>
      </c>
      <c r="C20" s="12" t="s">
        <v>38</v>
      </c>
      <c r="D20" s="36" t="s">
        <v>445</v>
      </c>
      <c r="E20" s="12" t="s">
        <v>64</v>
      </c>
      <c r="F20" s="12" t="s">
        <v>446</v>
      </c>
      <c r="G20" s="12" t="s">
        <v>447</v>
      </c>
      <c r="H20" s="12" t="s">
        <v>448</v>
      </c>
      <c r="I20" s="23" t="s">
        <v>449</v>
      </c>
      <c r="J20" s="12">
        <v>2022.0</v>
      </c>
      <c r="K20" s="23" t="s">
        <v>450</v>
      </c>
      <c r="L20" s="24">
        <v>1.0</v>
      </c>
      <c r="M20" s="25" t="s">
        <v>451</v>
      </c>
      <c r="N20" s="26" t="str">
        <f t="shared" si="1"/>
        <v>813
NAD
h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0">
        <v>20.0</v>
      </c>
      <c r="B21" s="12" t="s">
        <v>460</v>
      </c>
      <c r="C21" s="12" t="s">
        <v>38</v>
      </c>
      <c r="D21" s="23">
        <v>813.0</v>
      </c>
      <c r="E21" s="12" t="s">
        <v>64</v>
      </c>
      <c r="F21" s="12" t="s">
        <v>461</v>
      </c>
      <c r="G21" s="12"/>
      <c r="H21" s="12" t="s">
        <v>462</v>
      </c>
      <c r="I21" s="23" t="s">
        <v>463</v>
      </c>
      <c r="J21" s="12">
        <v>2017.0</v>
      </c>
      <c r="K21" s="23" t="s">
        <v>464</v>
      </c>
      <c r="L21" s="24">
        <v>1.0</v>
      </c>
      <c r="M21" s="25" t="s">
        <v>466</v>
      </c>
      <c r="N21" s="26" t="str">
        <f t="shared" si="1"/>
        <v>813
ZIG
j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0">
        <v>21.0</v>
      </c>
      <c r="B22" s="12" t="s">
        <v>483</v>
      </c>
      <c r="C22" s="12" t="s">
        <v>38</v>
      </c>
      <c r="D22" s="23">
        <v>811.0</v>
      </c>
      <c r="E22" s="12" t="s">
        <v>486</v>
      </c>
      <c r="F22" s="12" t="s">
        <v>487</v>
      </c>
      <c r="G22" s="12"/>
      <c r="H22" s="12" t="s">
        <v>194</v>
      </c>
      <c r="I22" s="23" t="s">
        <v>488</v>
      </c>
      <c r="J22" s="12">
        <v>2019.0</v>
      </c>
      <c r="K22" s="23" t="s">
        <v>489</v>
      </c>
      <c r="L22" s="24">
        <v>1.0</v>
      </c>
      <c r="M22" s="25" t="s">
        <v>490</v>
      </c>
      <c r="N22" s="26" t="str">
        <f t="shared" si="1"/>
        <v>811
ANN
j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0">
        <v>22.0</v>
      </c>
      <c r="B23" s="12" t="s">
        <v>498</v>
      </c>
      <c r="C23" s="12" t="s">
        <v>38</v>
      </c>
      <c r="D23" s="23">
        <v>813.0</v>
      </c>
      <c r="E23" s="12" t="s">
        <v>64</v>
      </c>
      <c r="F23" s="8" t="s">
        <v>500</v>
      </c>
      <c r="G23" s="12"/>
      <c r="H23" s="12" t="s">
        <v>502</v>
      </c>
      <c r="I23" s="23"/>
      <c r="J23" s="12">
        <v>2003.0</v>
      </c>
      <c r="K23" s="23" t="s">
        <v>506</v>
      </c>
      <c r="L23" s="24"/>
      <c r="M23" s="25" t="s">
        <v>508</v>
      </c>
      <c r="N23" s="26" t="str">
        <f t="shared" si="1"/>
        <v>813
KAH
s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0">
        <v>23.0</v>
      </c>
      <c r="B24" s="12" t="s">
        <v>515</v>
      </c>
      <c r="C24" s="12" t="s">
        <v>38</v>
      </c>
      <c r="D24" s="23">
        <v>813.0</v>
      </c>
      <c r="E24" s="12" t="s">
        <v>64</v>
      </c>
      <c r="F24" s="12" t="s">
        <v>521</v>
      </c>
      <c r="G24" s="12" t="s">
        <v>523</v>
      </c>
      <c r="H24" s="12" t="s">
        <v>168</v>
      </c>
      <c r="I24" s="23" t="s">
        <v>524</v>
      </c>
      <c r="J24" s="12">
        <v>2020.0</v>
      </c>
      <c r="K24" s="23" t="s">
        <v>525</v>
      </c>
      <c r="L24" s="24">
        <v>1.0</v>
      </c>
      <c r="M24" s="25" t="s">
        <v>526</v>
      </c>
      <c r="N24" s="26" t="str">
        <f t="shared" si="1"/>
        <v>813
KEI
k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0">
        <v>24.0</v>
      </c>
      <c r="B25" s="12" t="s">
        <v>537</v>
      </c>
      <c r="C25" s="12" t="s">
        <v>38</v>
      </c>
      <c r="D25" s="23">
        <v>813.0</v>
      </c>
      <c r="E25" s="12" t="s">
        <v>64</v>
      </c>
      <c r="F25" s="12" t="s">
        <v>538</v>
      </c>
      <c r="G25" s="12"/>
      <c r="H25" s="12" t="s">
        <v>539</v>
      </c>
      <c r="I25" s="23" t="s">
        <v>540</v>
      </c>
      <c r="J25" s="12">
        <v>2016.0</v>
      </c>
      <c r="K25" s="23" t="s">
        <v>541</v>
      </c>
      <c r="L25" s="24">
        <v>1.0</v>
      </c>
      <c r="M25" s="25" t="s">
        <v>542</v>
      </c>
      <c r="N25" s="26" t="str">
        <f t="shared" si="1"/>
        <v>813
BON
k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0">
        <v>25.0</v>
      </c>
      <c r="B26" s="12" t="s">
        <v>558</v>
      </c>
      <c r="C26" s="12" t="s">
        <v>38</v>
      </c>
      <c r="D26" s="23">
        <v>813.0</v>
      </c>
      <c r="E26" s="12" t="s">
        <v>561</v>
      </c>
      <c r="F26" s="12" t="s">
        <v>563</v>
      </c>
      <c r="G26" s="12" t="s">
        <v>565</v>
      </c>
      <c r="H26" s="12" t="s">
        <v>567</v>
      </c>
      <c r="I26" s="23"/>
      <c r="J26" s="12"/>
      <c r="K26" s="23" t="s">
        <v>568</v>
      </c>
      <c r="L26" s="24">
        <v>1.0</v>
      </c>
      <c r="M26" s="25" t="s">
        <v>570</v>
      </c>
      <c r="N26" s="26" t="str">
        <f t="shared" si="1"/>
        <v>813
HAR
g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0">
        <v>26.0</v>
      </c>
      <c r="B27" s="12" t="s">
        <v>580</v>
      </c>
      <c r="C27" s="12" t="s">
        <v>38</v>
      </c>
      <c r="D27" s="23">
        <v>813.0</v>
      </c>
      <c r="E27" s="12" t="s">
        <v>64</v>
      </c>
      <c r="F27" s="12" t="s">
        <v>581</v>
      </c>
      <c r="G27" s="12"/>
      <c r="H27" s="12" t="s">
        <v>168</v>
      </c>
      <c r="I27" s="23" t="s">
        <v>582</v>
      </c>
      <c r="J27" s="12">
        <v>2021.0</v>
      </c>
      <c r="K27" s="23" t="s">
        <v>583</v>
      </c>
      <c r="L27" s="24">
        <v>1.0</v>
      </c>
      <c r="M27" s="25" t="s">
        <v>584</v>
      </c>
      <c r="N27" s="26" t="str">
        <f t="shared" si="1"/>
        <v>813
AGA
a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0">
        <v>27.0</v>
      </c>
      <c r="B28" s="12" t="s">
        <v>602</v>
      </c>
      <c r="C28" s="12" t="s">
        <v>38</v>
      </c>
      <c r="D28" s="23">
        <v>813.0</v>
      </c>
      <c r="E28" s="12" t="s">
        <v>64</v>
      </c>
      <c r="F28" s="12"/>
      <c r="G28" s="22"/>
      <c r="H28" s="12"/>
      <c r="I28" s="23"/>
      <c r="J28" s="12"/>
      <c r="K28" s="23"/>
      <c r="L28" s="24"/>
      <c r="M28" s="12"/>
      <c r="N28" s="26" t="str">
        <f t="shared" si="1"/>
        <v>813
m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0"/>
      <c r="B29" s="12"/>
      <c r="C29" s="12"/>
      <c r="D29" s="23"/>
      <c r="E29" s="22"/>
      <c r="F29" s="12"/>
      <c r="G29" s="22"/>
      <c r="H29" s="12"/>
      <c r="I29" s="23"/>
      <c r="J29" s="12"/>
      <c r="K29" s="23"/>
      <c r="L29" s="24"/>
      <c r="M29" s="12"/>
      <c r="N29" s="26" t="str">
        <f t="shared" si="1"/>
        <v>
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0"/>
      <c r="B30" s="12"/>
      <c r="C30" s="12"/>
      <c r="D30" s="23"/>
      <c r="E30" s="12"/>
      <c r="F30" s="12"/>
      <c r="G30" s="12"/>
      <c r="H30" s="12"/>
      <c r="I30" s="23"/>
      <c r="J30" s="12"/>
      <c r="K30" s="23"/>
      <c r="L30" s="24"/>
      <c r="M30" s="12"/>
      <c r="N30" s="26" t="str">
        <f t="shared" si="1"/>
        <v>
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0"/>
      <c r="B31" s="12"/>
      <c r="C31" s="12"/>
      <c r="D31" s="23"/>
      <c r="E31" s="12"/>
      <c r="F31" s="12"/>
      <c r="G31" s="12"/>
      <c r="H31" s="12"/>
      <c r="I31" s="23"/>
      <c r="J31" s="12"/>
      <c r="K31" s="23"/>
      <c r="L31" s="24"/>
      <c r="M31" s="12"/>
      <c r="N31" s="26" t="str">
        <f t="shared" si="1"/>
        <v>
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0"/>
      <c r="B32" s="12"/>
      <c r="C32" s="12"/>
      <c r="D32" s="23"/>
      <c r="E32" s="12"/>
      <c r="F32" s="12"/>
      <c r="G32" s="12"/>
      <c r="H32" s="12"/>
      <c r="I32" s="23"/>
      <c r="J32" s="12"/>
      <c r="K32" s="23"/>
      <c r="L32" s="24"/>
      <c r="M32" s="12"/>
      <c r="N32" s="26" t="str">
        <f t="shared" si="1"/>
        <v>
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0"/>
      <c r="B33" s="12"/>
      <c r="C33" s="12"/>
      <c r="D33" s="23"/>
      <c r="E33" s="22"/>
      <c r="F33" s="12"/>
      <c r="G33" s="12"/>
      <c r="H33" s="12"/>
      <c r="I33" s="23"/>
      <c r="J33" s="12"/>
      <c r="K33" s="23"/>
      <c r="L33" s="24"/>
      <c r="M33" s="12"/>
      <c r="N33" s="26" t="str">
        <f t="shared" si="1"/>
        <v>
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0"/>
      <c r="B34" s="12"/>
      <c r="C34" s="12"/>
      <c r="D34" s="23"/>
      <c r="E34" s="22"/>
      <c r="F34" s="12"/>
      <c r="G34" s="12"/>
      <c r="H34" s="12"/>
      <c r="I34" s="23"/>
      <c r="J34" s="12"/>
      <c r="K34" s="23"/>
      <c r="L34" s="24"/>
      <c r="M34" s="12"/>
      <c r="N34" s="26" t="str">
        <f t="shared" si="1"/>
        <v>
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0"/>
      <c r="B35" s="12"/>
      <c r="C35" s="12"/>
      <c r="D35" s="23"/>
      <c r="E35" s="22"/>
      <c r="F35" s="12"/>
      <c r="G35" s="12"/>
      <c r="H35" s="12"/>
      <c r="I35" s="23"/>
      <c r="J35" s="12"/>
      <c r="K35" s="23"/>
      <c r="L35" s="24"/>
      <c r="M35" s="12"/>
      <c r="N35" s="26" t="str">
        <f t="shared" si="1"/>
        <v>
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0"/>
      <c r="B36" s="12"/>
      <c r="C36" s="12"/>
      <c r="D36" s="23"/>
      <c r="E36" s="22"/>
      <c r="F36" s="12"/>
      <c r="G36" s="12"/>
      <c r="H36" s="12"/>
      <c r="I36" s="23"/>
      <c r="J36" s="12"/>
      <c r="K36" s="23"/>
      <c r="L36" s="24"/>
      <c r="M36" s="12"/>
      <c r="N36" s="26" t="str">
        <f t="shared" si="1"/>
        <v>
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0"/>
      <c r="B37" s="12"/>
      <c r="C37" s="12"/>
      <c r="D37" s="23"/>
      <c r="E37" s="22"/>
      <c r="F37" s="12"/>
      <c r="G37" s="12"/>
      <c r="H37" s="12"/>
      <c r="I37" s="23"/>
      <c r="J37" s="12"/>
      <c r="K37" s="23"/>
      <c r="L37" s="24"/>
      <c r="M37" s="12"/>
      <c r="N37" s="26" t="str">
        <f t="shared" si="1"/>
        <v>
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0"/>
      <c r="B38" s="12"/>
      <c r="C38" s="12"/>
      <c r="D38" s="23"/>
      <c r="E38" s="22"/>
      <c r="F38" s="12"/>
      <c r="G38" s="12"/>
      <c r="H38" s="12"/>
      <c r="I38" s="23"/>
      <c r="J38" s="12"/>
      <c r="K38" s="23"/>
      <c r="L38" s="24"/>
      <c r="M38" s="12"/>
      <c r="N38" s="26" t="str">
        <f t="shared" si="1"/>
        <v>
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0"/>
      <c r="B39" s="12"/>
      <c r="C39" s="12"/>
      <c r="D39" s="23"/>
      <c r="E39" s="22"/>
      <c r="F39" s="12"/>
      <c r="G39" s="12"/>
      <c r="H39" s="12"/>
      <c r="I39" s="23"/>
      <c r="J39" s="12"/>
      <c r="K39" s="23"/>
      <c r="L39" s="24"/>
      <c r="M39" s="12"/>
      <c r="N39" s="26" t="str">
        <f t="shared" si="1"/>
        <v>
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0"/>
      <c r="B40" s="12"/>
      <c r="C40" s="12"/>
      <c r="D40" s="23"/>
      <c r="E40" s="22"/>
      <c r="F40" s="12"/>
      <c r="G40" s="12"/>
      <c r="H40" s="12"/>
      <c r="I40" s="23"/>
      <c r="J40" s="12"/>
      <c r="K40" s="23"/>
      <c r="L40" s="24"/>
      <c r="M40" s="12"/>
      <c r="N40" s="26" t="str">
        <f t="shared" si="1"/>
        <v>
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0"/>
      <c r="B41" s="12"/>
      <c r="C41" s="12"/>
      <c r="D41" s="23"/>
      <c r="E41" s="22"/>
      <c r="F41" s="12"/>
      <c r="G41" s="12"/>
      <c r="H41" s="12"/>
      <c r="I41" s="23"/>
      <c r="J41" s="12"/>
      <c r="K41" s="23"/>
      <c r="L41" s="24"/>
      <c r="M41" s="12"/>
      <c r="N41" s="26" t="str">
        <f t="shared" si="1"/>
        <v>
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0"/>
      <c r="B42" s="12"/>
      <c r="C42" s="12"/>
      <c r="D42" s="23"/>
      <c r="E42" s="22"/>
      <c r="F42" s="12"/>
      <c r="G42" s="22"/>
      <c r="H42" s="12"/>
      <c r="I42" s="23"/>
      <c r="J42" s="12"/>
      <c r="K42" s="23"/>
      <c r="L42" s="24"/>
      <c r="M42" s="12"/>
      <c r="N42" s="26" t="str">
        <f t="shared" si="1"/>
        <v>
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0"/>
      <c r="B43" s="12"/>
      <c r="C43" s="12"/>
      <c r="D43" s="23"/>
      <c r="E43" s="22"/>
      <c r="F43" s="12"/>
      <c r="G43" s="22"/>
      <c r="H43" s="12"/>
      <c r="I43" s="23"/>
      <c r="J43" s="12"/>
      <c r="K43" s="23"/>
      <c r="L43" s="24"/>
      <c r="M43" s="39"/>
      <c r="N43" s="26" t="str">
        <f t="shared" si="1"/>
        <v>
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0"/>
      <c r="B44" s="12"/>
      <c r="C44" s="12"/>
      <c r="D44" s="23"/>
      <c r="E44" s="22"/>
      <c r="F44" s="12"/>
      <c r="G44" s="12"/>
      <c r="H44" s="12"/>
      <c r="I44" s="23"/>
      <c r="J44" s="12"/>
      <c r="K44" s="23"/>
      <c r="L44" s="24"/>
      <c r="M44" s="12"/>
      <c r="N44" s="26" t="str">
        <f t="shared" si="1"/>
        <v>
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0"/>
      <c r="B45" s="12"/>
      <c r="C45" s="12"/>
      <c r="D45" s="23"/>
      <c r="E45" s="22"/>
      <c r="F45" s="12"/>
      <c r="G45" s="22"/>
      <c r="H45" s="12"/>
      <c r="I45" s="23"/>
      <c r="J45" s="12"/>
      <c r="K45" s="23"/>
      <c r="L45" s="24"/>
      <c r="M45" s="12"/>
      <c r="N45" s="26" t="str">
        <f t="shared" si="1"/>
        <v>
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0"/>
      <c r="B46" s="12"/>
      <c r="C46" s="12"/>
      <c r="D46" s="23"/>
      <c r="E46" s="22"/>
      <c r="F46" s="12"/>
      <c r="G46" s="12"/>
      <c r="H46" s="12"/>
      <c r="I46" s="35"/>
      <c r="J46" s="12"/>
      <c r="K46" s="23"/>
      <c r="L46" s="24"/>
      <c r="M46" s="12"/>
      <c r="N46" s="26" t="str">
        <f t="shared" si="1"/>
        <v>
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0"/>
      <c r="B47" s="12"/>
      <c r="C47" s="12"/>
      <c r="D47" s="23"/>
      <c r="E47" s="22"/>
      <c r="F47" s="12"/>
      <c r="G47" s="12"/>
      <c r="H47" s="12"/>
      <c r="I47" s="23"/>
      <c r="J47" s="12"/>
      <c r="K47" s="23"/>
      <c r="L47" s="24"/>
      <c r="M47" s="12"/>
      <c r="N47" s="26" t="str">
        <f t="shared" si="1"/>
        <v>
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0"/>
      <c r="B48" s="12"/>
      <c r="C48" s="12"/>
      <c r="D48" s="23"/>
      <c r="E48" s="22"/>
      <c r="F48" s="12"/>
      <c r="G48" s="12"/>
      <c r="H48" s="12"/>
      <c r="I48" s="23"/>
      <c r="J48" s="12"/>
      <c r="K48" s="23"/>
      <c r="L48" s="24"/>
      <c r="M48" s="12"/>
      <c r="N48" s="26" t="str">
        <f t="shared" si="1"/>
        <v>
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0"/>
      <c r="B49" s="12"/>
      <c r="C49" s="12"/>
      <c r="D49" s="23"/>
      <c r="E49" s="22"/>
      <c r="F49" s="12"/>
      <c r="G49" s="12"/>
      <c r="H49" s="12"/>
      <c r="I49" s="23"/>
      <c r="J49" s="12"/>
      <c r="K49" s="23"/>
      <c r="L49" s="24"/>
      <c r="M49" s="12"/>
      <c r="N49" s="26" t="str">
        <f t="shared" si="1"/>
        <v>
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0"/>
      <c r="B50" s="12"/>
      <c r="C50" s="12"/>
      <c r="D50" s="23"/>
      <c r="E50" s="22"/>
      <c r="F50" s="12"/>
      <c r="G50" s="12"/>
      <c r="H50" s="12"/>
      <c r="I50" s="23"/>
      <c r="J50" s="12"/>
      <c r="K50" s="23"/>
      <c r="L50" s="24"/>
      <c r="M50" s="12"/>
      <c r="N50" s="26" t="str">
        <f t="shared" si="1"/>
        <v>
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0"/>
      <c r="B51" s="12"/>
      <c r="C51" s="12"/>
      <c r="D51" s="23"/>
      <c r="E51" s="22"/>
      <c r="F51" s="12"/>
      <c r="G51" s="12"/>
      <c r="H51" s="12"/>
      <c r="I51" s="35"/>
      <c r="J51" s="12"/>
      <c r="K51" s="23"/>
      <c r="L51" s="24"/>
      <c r="M51" s="12"/>
      <c r="N51" s="26" t="str">
        <f t="shared" si="1"/>
        <v>
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0"/>
      <c r="B52" s="12"/>
      <c r="C52" s="12"/>
      <c r="D52" s="23"/>
      <c r="E52" s="22"/>
      <c r="F52" s="12"/>
      <c r="G52" s="12"/>
      <c r="H52" s="12"/>
      <c r="I52" s="23"/>
      <c r="J52" s="22"/>
      <c r="K52" s="23"/>
      <c r="L52" s="24"/>
      <c r="M52" s="12"/>
      <c r="N52" s="26" t="str">
        <f t="shared" si="1"/>
        <v>
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0"/>
      <c r="B53" s="12"/>
      <c r="C53" s="12"/>
      <c r="D53" s="23"/>
      <c r="E53" s="22"/>
      <c r="F53" s="12"/>
      <c r="G53" s="12"/>
      <c r="H53" s="12"/>
      <c r="I53" s="23"/>
      <c r="J53" s="12"/>
      <c r="K53" s="23"/>
      <c r="L53" s="24"/>
      <c r="M53" s="12"/>
      <c r="N53" s="26" t="str">
        <f t="shared" si="1"/>
        <v>
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0"/>
      <c r="B54" s="12"/>
      <c r="C54" s="12"/>
      <c r="D54" s="23"/>
      <c r="E54" s="22"/>
      <c r="F54" s="12"/>
      <c r="G54" s="12"/>
      <c r="H54" s="12"/>
      <c r="I54" s="23"/>
      <c r="J54" s="12"/>
      <c r="K54" s="23"/>
      <c r="L54" s="24"/>
      <c r="M54" s="12"/>
      <c r="N54" s="26" t="str">
        <f t="shared" si="1"/>
        <v>
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0"/>
      <c r="B55" s="12"/>
      <c r="C55" s="12"/>
      <c r="D55" s="23"/>
      <c r="E55" s="22"/>
      <c r="F55" s="12"/>
      <c r="G55" s="12"/>
      <c r="H55" s="12"/>
      <c r="I55" s="23"/>
      <c r="J55" s="12"/>
      <c r="K55" s="23"/>
      <c r="L55" s="24"/>
      <c r="M55" s="12"/>
      <c r="N55" s="26" t="str">
        <f t="shared" si="1"/>
        <v>
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0"/>
      <c r="B56" s="12"/>
      <c r="C56" s="12"/>
      <c r="D56" s="23"/>
      <c r="E56" s="22"/>
      <c r="F56" s="12"/>
      <c r="G56" s="12"/>
      <c r="H56" s="12"/>
      <c r="I56" s="23"/>
      <c r="J56" s="12"/>
      <c r="K56" s="23"/>
      <c r="L56" s="24"/>
      <c r="M56" s="12"/>
      <c r="N56" s="26" t="str">
        <f t="shared" si="1"/>
        <v>
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0"/>
      <c r="B57" s="12"/>
      <c r="C57" s="12"/>
      <c r="D57" s="23"/>
      <c r="E57" s="22"/>
      <c r="F57" s="12"/>
      <c r="G57" s="12"/>
      <c r="H57" s="12"/>
      <c r="I57" s="23"/>
      <c r="J57" s="12"/>
      <c r="K57" s="23"/>
      <c r="L57" s="24"/>
      <c r="M57" s="12"/>
      <c r="N57" s="26" t="str">
        <f t="shared" si="1"/>
        <v>
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0"/>
      <c r="B58" s="12"/>
      <c r="C58" s="12"/>
      <c r="D58" s="23"/>
      <c r="E58" s="22"/>
      <c r="F58" s="12"/>
      <c r="G58" s="12"/>
      <c r="H58" s="12"/>
      <c r="I58" s="23"/>
      <c r="J58" s="12"/>
      <c r="K58" s="23"/>
      <c r="L58" s="24"/>
      <c r="M58" s="12"/>
      <c r="N58" s="26" t="str">
        <f t="shared" si="1"/>
        <v>
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0"/>
      <c r="B59" s="12"/>
      <c r="C59" s="12"/>
      <c r="D59" s="23"/>
      <c r="E59" s="22"/>
      <c r="F59" s="12"/>
      <c r="G59" s="12"/>
      <c r="H59" s="12"/>
      <c r="I59" s="23"/>
      <c r="J59" s="12"/>
      <c r="K59" s="23"/>
      <c r="L59" s="24"/>
      <c r="M59" s="12"/>
      <c r="N59" s="26" t="str">
        <f t="shared" si="1"/>
        <v>
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0"/>
      <c r="B60" s="12"/>
      <c r="C60" s="12"/>
      <c r="D60" s="23"/>
      <c r="E60" s="22"/>
      <c r="F60" s="12"/>
      <c r="G60" s="12"/>
      <c r="H60" s="12"/>
      <c r="I60" s="23"/>
      <c r="J60" s="12"/>
      <c r="K60" s="23"/>
      <c r="L60" s="24"/>
      <c r="M60" s="12"/>
      <c r="N60" s="26" t="str">
        <f t="shared" si="1"/>
        <v>
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0"/>
      <c r="B61" s="12"/>
      <c r="C61" s="12"/>
      <c r="D61" s="23"/>
      <c r="E61" s="22"/>
      <c r="F61" s="12"/>
      <c r="G61" s="12"/>
      <c r="H61" s="12"/>
      <c r="I61" s="23"/>
      <c r="J61" s="12"/>
      <c r="K61" s="23"/>
      <c r="L61" s="24"/>
      <c r="M61" s="12"/>
      <c r="N61" s="26" t="str">
        <f t="shared" si="1"/>
        <v>
</v>
      </c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0"/>
      <c r="B62" s="12"/>
      <c r="C62" s="12"/>
      <c r="D62" s="23"/>
      <c r="E62" s="12"/>
      <c r="F62" s="12"/>
      <c r="G62" s="12"/>
      <c r="H62" s="12"/>
      <c r="I62" s="23"/>
      <c r="J62" s="12"/>
      <c r="K62" s="23"/>
      <c r="L62" s="24"/>
      <c r="M62" s="12"/>
      <c r="N62" s="26" t="str">
        <f t="shared" si="1"/>
        <v>
</v>
      </c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0"/>
      <c r="B63" s="12"/>
      <c r="C63" s="12"/>
      <c r="D63" s="23"/>
      <c r="E63" s="22"/>
      <c r="F63" s="12"/>
      <c r="G63" s="12"/>
      <c r="H63" s="12"/>
      <c r="I63" s="23"/>
      <c r="J63" s="12"/>
      <c r="K63" s="23"/>
      <c r="L63" s="24"/>
      <c r="M63" s="12"/>
      <c r="N63" s="26" t="str">
        <f t="shared" si="1"/>
        <v>
</v>
      </c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0"/>
      <c r="B64" s="12"/>
      <c r="C64" s="12"/>
      <c r="D64" s="23"/>
      <c r="E64" s="22"/>
      <c r="F64" s="12"/>
      <c r="G64" s="12"/>
      <c r="H64" s="12"/>
      <c r="I64" s="23"/>
      <c r="J64" s="12"/>
      <c r="K64" s="23"/>
      <c r="L64" s="24"/>
      <c r="M64" s="12"/>
      <c r="N64" s="26" t="str">
        <f t="shared" si="1"/>
        <v>
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0"/>
      <c r="B65" s="12"/>
      <c r="C65" s="12"/>
      <c r="D65" s="23"/>
      <c r="E65" s="22"/>
      <c r="F65" s="12"/>
      <c r="G65" s="12"/>
      <c r="H65" s="12"/>
      <c r="I65" s="23"/>
      <c r="J65" s="12"/>
      <c r="K65" s="23"/>
      <c r="L65" s="24"/>
      <c r="M65" s="12"/>
      <c r="N65" s="26" t="str">
        <f t="shared" si="1"/>
        <v>
</v>
      </c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0"/>
      <c r="B66" s="12"/>
      <c r="C66" s="12"/>
      <c r="D66" s="23"/>
      <c r="E66" s="22"/>
      <c r="F66" s="12"/>
      <c r="G66" s="12"/>
      <c r="H66" s="12"/>
      <c r="I66" s="40"/>
      <c r="J66" s="12"/>
      <c r="K66" s="23"/>
      <c r="L66" s="24"/>
      <c r="M66" s="12"/>
      <c r="N66" s="26" t="str">
        <f t="shared" si="1"/>
        <v>
</v>
      </c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0"/>
      <c r="B67" s="12"/>
      <c r="C67" s="12"/>
      <c r="D67" s="23"/>
      <c r="E67" s="22"/>
      <c r="F67" s="12"/>
      <c r="G67" s="12"/>
      <c r="H67" s="12"/>
      <c r="I67" s="41"/>
      <c r="J67" s="12"/>
      <c r="K67" s="23"/>
      <c r="L67" s="24"/>
      <c r="M67" s="12"/>
      <c r="N67" s="26" t="str">
        <f t="shared" si="1"/>
        <v>
</v>
      </c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0"/>
      <c r="B68" s="12"/>
      <c r="C68" s="12"/>
      <c r="D68" s="23"/>
      <c r="E68" s="22"/>
      <c r="F68" s="12"/>
      <c r="G68" s="12"/>
      <c r="H68" s="12"/>
      <c r="I68" s="35"/>
      <c r="J68" s="12"/>
      <c r="K68" s="23"/>
      <c r="L68" s="24"/>
      <c r="M68" s="12"/>
      <c r="N68" s="26" t="str">
        <f t="shared" si="1"/>
        <v>
</v>
      </c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0"/>
      <c r="B69" s="12"/>
      <c r="C69" s="12"/>
      <c r="D69" s="23"/>
      <c r="E69" s="22"/>
      <c r="F69" s="12"/>
      <c r="G69" s="12"/>
      <c r="H69" s="12"/>
      <c r="I69" s="35"/>
      <c r="J69" s="12"/>
      <c r="K69" s="23"/>
      <c r="L69" s="24"/>
      <c r="M69" s="12"/>
      <c r="N69" s="26" t="str">
        <f t="shared" si="1"/>
        <v>
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0"/>
      <c r="B70" s="12"/>
      <c r="C70" s="12"/>
      <c r="D70" s="23"/>
      <c r="E70" s="22"/>
      <c r="F70" s="12"/>
      <c r="G70" s="12"/>
      <c r="H70" s="12"/>
      <c r="I70" s="35"/>
      <c r="J70" s="12"/>
      <c r="K70" s="23"/>
      <c r="L70" s="24"/>
      <c r="M70" s="12"/>
      <c r="N70" s="26" t="str">
        <f t="shared" si="1"/>
        <v>
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0"/>
      <c r="B71" s="12"/>
      <c r="C71" s="12"/>
      <c r="D71" s="23"/>
      <c r="E71" s="22"/>
      <c r="F71" s="12"/>
      <c r="G71" s="12"/>
      <c r="H71" s="12"/>
      <c r="I71" s="35"/>
      <c r="J71" s="12"/>
      <c r="K71" s="23"/>
      <c r="L71" s="24"/>
      <c r="M71" s="12"/>
      <c r="N71" s="26" t="str">
        <f t="shared" si="1"/>
        <v>
</v>
      </c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0"/>
      <c r="B72" s="12"/>
      <c r="C72" s="12"/>
      <c r="D72" s="23"/>
      <c r="E72" s="22"/>
      <c r="F72" s="12"/>
      <c r="G72" s="12"/>
      <c r="H72" s="12"/>
      <c r="I72" s="23"/>
      <c r="J72" s="12"/>
      <c r="K72" s="23"/>
      <c r="L72" s="24"/>
      <c r="M72" s="12"/>
      <c r="N72" s="26" t="str">
        <f t="shared" si="1"/>
        <v>
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0"/>
      <c r="B73" s="12"/>
      <c r="C73" s="12"/>
      <c r="D73" s="23"/>
      <c r="E73" s="12"/>
      <c r="F73" s="12"/>
      <c r="G73" s="12"/>
      <c r="H73" s="12"/>
      <c r="I73" s="23"/>
      <c r="J73" s="12"/>
      <c r="K73" s="23"/>
      <c r="L73" s="24"/>
      <c r="M73" s="12"/>
      <c r="N73" s="26" t="str">
        <f t="shared" si="1"/>
        <v>
</v>
      </c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0"/>
      <c r="B74" s="12"/>
      <c r="C74" s="12"/>
      <c r="D74" s="23"/>
      <c r="E74" s="12"/>
      <c r="F74" s="12"/>
      <c r="G74" s="12"/>
      <c r="H74" s="12"/>
      <c r="I74" s="23"/>
      <c r="J74" s="12"/>
      <c r="K74" s="23"/>
      <c r="L74" s="24"/>
      <c r="M74" s="12"/>
      <c r="N74" s="26" t="str">
        <f t="shared" si="1"/>
        <v>
</v>
      </c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0"/>
      <c r="B75" s="12"/>
      <c r="C75" s="12"/>
      <c r="D75" s="23"/>
      <c r="E75" s="22"/>
      <c r="F75" s="12"/>
      <c r="G75" s="12"/>
      <c r="H75" s="12"/>
      <c r="I75" s="35"/>
      <c r="J75" s="12"/>
      <c r="K75" s="23"/>
      <c r="L75" s="24"/>
      <c r="M75" s="12"/>
      <c r="N75" s="26" t="str">
        <f t="shared" si="1"/>
        <v>
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0"/>
      <c r="B76" s="12"/>
      <c r="C76" s="12"/>
      <c r="D76" s="23"/>
      <c r="E76" s="22"/>
      <c r="F76" s="12"/>
      <c r="G76" s="12"/>
      <c r="H76" s="12"/>
      <c r="I76" s="23"/>
      <c r="J76" s="12"/>
      <c r="K76" s="23"/>
      <c r="L76" s="24"/>
      <c r="M76" s="12"/>
      <c r="N76" s="26" t="str">
        <f t="shared" si="1"/>
        <v>
</v>
      </c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0"/>
      <c r="B77" s="12"/>
      <c r="C77" s="12"/>
      <c r="D77" s="23"/>
      <c r="E77" s="22"/>
      <c r="F77" s="12"/>
      <c r="G77" s="12"/>
      <c r="H77" s="12"/>
      <c r="I77" s="23"/>
      <c r="J77" s="12"/>
      <c r="K77" s="23"/>
      <c r="L77" s="24"/>
      <c r="M77" s="12"/>
      <c r="N77" s="26" t="str">
        <f t="shared" si="1"/>
        <v>
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0"/>
      <c r="B78" s="12"/>
      <c r="C78" s="12"/>
      <c r="D78" s="23"/>
      <c r="E78" s="12"/>
      <c r="F78" s="12"/>
      <c r="G78" s="12"/>
      <c r="H78" s="12"/>
      <c r="I78" s="23"/>
      <c r="J78" s="12"/>
      <c r="K78" s="23"/>
      <c r="L78" s="24"/>
      <c r="M78" s="12"/>
      <c r="N78" s="26" t="str">
        <f t="shared" si="1"/>
        <v>
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0"/>
      <c r="B79" s="12"/>
      <c r="C79" s="12"/>
      <c r="D79" s="23"/>
      <c r="E79" s="12"/>
      <c r="F79" s="12"/>
      <c r="G79" s="22"/>
      <c r="H79" s="12"/>
      <c r="I79" s="23"/>
      <c r="J79" s="12"/>
      <c r="K79" s="23"/>
      <c r="L79" s="24"/>
      <c r="M79" s="12"/>
      <c r="N79" s="26" t="str">
        <f t="shared" si="1"/>
        <v>
</v>
      </c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0"/>
      <c r="B80" s="12"/>
      <c r="C80" s="12"/>
      <c r="D80" s="35"/>
      <c r="E80" s="22"/>
      <c r="F80" s="12"/>
      <c r="G80" s="12"/>
      <c r="H80" s="12"/>
      <c r="I80" s="23"/>
      <c r="J80" s="12"/>
      <c r="K80" s="23"/>
      <c r="L80" s="24"/>
      <c r="M80" s="12"/>
      <c r="N80" s="26" t="str">
        <f t="shared" si="1"/>
        <v>
</v>
      </c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0"/>
      <c r="B81" s="12"/>
      <c r="C81" s="12"/>
      <c r="D81" s="23"/>
      <c r="E81" s="22"/>
      <c r="F81" s="12"/>
      <c r="G81" s="12"/>
      <c r="H81" s="12"/>
      <c r="I81" s="23"/>
      <c r="J81" s="12"/>
      <c r="K81" s="23"/>
      <c r="L81" s="24"/>
      <c r="M81" s="12"/>
      <c r="N81" s="26" t="str">
        <f t="shared" si="1"/>
        <v>
</v>
      </c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0"/>
      <c r="B82" s="12"/>
      <c r="C82" s="12"/>
      <c r="D82" s="23"/>
      <c r="E82" s="22"/>
      <c r="F82" s="12"/>
      <c r="G82" s="12"/>
      <c r="H82" s="12"/>
      <c r="I82" s="23"/>
      <c r="J82" s="12"/>
      <c r="K82" s="23"/>
      <c r="L82" s="24"/>
      <c r="M82" s="12"/>
      <c r="N82" s="26" t="str">
        <f>LEFT(D82,3) &amp; CHAR(10) &amp; LEFT(F82,3) &amp; CHAR(10) &amp; LOWER(LEFT(B82,1))</f>
        <v>
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0"/>
      <c r="B83" s="12"/>
      <c r="C83" s="12"/>
      <c r="D83" s="23"/>
      <c r="E83" s="22"/>
      <c r="F83" s="12"/>
      <c r="G83" s="12"/>
      <c r="H83" s="12"/>
      <c r="I83" s="23"/>
      <c r="J83" s="12"/>
      <c r="K83" s="23"/>
      <c r="L83" s="24"/>
      <c r="M83" s="12"/>
      <c r="N83" s="26" t="str">
        <f t="shared" ref="N83:N1737" si="2">D83 &amp; CHAR(10) &amp; LEFT(F83,3) &amp; CHAR(10) &amp; LOWER(LEFT(B83,1))</f>
        <v>
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0"/>
      <c r="B84" s="12"/>
      <c r="C84" s="12"/>
      <c r="D84" s="23"/>
      <c r="E84" s="22"/>
      <c r="F84" s="12"/>
      <c r="G84" s="12"/>
      <c r="H84" s="12"/>
      <c r="I84" s="23"/>
      <c r="J84" s="12"/>
      <c r="K84" s="23"/>
      <c r="L84" s="24"/>
      <c r="M84" s="12"/>
      <c r="N84" s="26" t="str">
        <f t="shared" si="2"/>
        <v>
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0"/>
      <c r="B85" s="12"/>
      <c r="C85" s="12"/>
      <c r="D85" s="47"/>
      <c r="E85" s="22"/>
      <c r="F85" s="12"/>
      <c r="G85" s="12"/>
      <c r="H85" s="12"/>
      <c r="I85" s="23"/>
      <c r="J85" s="12"/>
      <c r="K85" s="23"/>
      <c r="L85" s="24"/>
      <c r="M85" s="12"/>
      <c r="N85" s="26" t="str">
        <f t="shared" si="2"/>
        <v>
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0"/>
      <c r="B86" s="12"/>
      <c r="C86" s="12"/>
      <c r="D86" s="23"/>
      <c r="E86" s="22"/>
      <c r="F86" s="12"/>
      <c r="G86" s="12"/>
      <c r="H86" s="12"/>
      <c r="I86" s="23"/>
      <c r="J86" s="12"/>
      <c r="K86" s="23"/>
      <c r="L86" s="24"/>
      <c r="M86" s="12"/>
      <c r="N86" s="26" t="str">
        <f t="shared" si="2"/>
        <v>
</v>
      </c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0"/>
      <c r="B87" s="12"/>
      <c r="C87" s="12"/>
      <c r="D87" s="23"/>
      <c r="E87" s="12"/>
      <c r="F87" s="12"/>
      <c r="G87" s="12"/>
      <c r="H87" s="12"/>
      <c r="I87" s="23"/>
      <c r="J87" s="12"/>
      <c r="K87" s="23"/>
      <c r="L87" s="24"/>
      <c r="M87" s="12"/>
      <c r="N87" s="26" t="str">
        <f t="shared" si="2"/>
        <v>
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0"/>
      <c r="B88" s="12"/>
      <c r="C88" s="12"/>
      <c r="D88" s="23"/>
      <c r="E88" s="12"/>
      <c r="F88" s="12"/>
      <c r="G88" s="12"/>
      <c r="H88" s="12"/>
      <c r="I88" s="35"/>
      <c r="J88" s="12"/>
      <c r="K88" s="23"/>
      <c r="L88" s="24"/>
      <c r="M88" s="12"/>
      <c r="N88" s="26" t="str">
        <f t="shared" si="2"/>
        <v>
</v>
      </c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0"/>
      <c r="B89" s="12"/>
      <c r="C89" s="12"/>
      <c r="D89" s="23"/>
      <c r="E89" s="22"/>
      <c r="F89" s="12"/>
      <c r="G89" s="12"/>
      <c r="H89" s="12"/>
      <c r="I89" s="23"/>
      <c r="J89" s="12"/>
      <c r="K89" s="23"/>
      <c r="L89" s="24"/>
      <c r="M89" s="12"/>
      <c r="N89" s="26" t="str">
        <f t="shared" si="2"/>
        <v>
</v>
      </c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0"/>
      <c r="B90" s="12"/>
      <c r="C90" s="12"/>
      <c r="D90" s="23"/>
      <c r="E90" s="22"/>
      <c r="F90" s="12"/>
      <c r="G90" s="12"/>
      <c r="H90" s="12"/>
      <c r="I90" s="35"/>
      <c r="J90" s="12"/>
      <c r="K90" s="23"/>
      <c r="L90" s="24"/>
      <c r="M90" s="12"/>
      <c r="N90" s="26" t="str">
        <f t="shared" si="2"/>
        <v>
</v>
      </c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0"/>
      <c r="B91" s="12"/>
      <c r="C91" s="12"/>
      <c r="D91" s="23"/>
      <c r="E91" s="22"/>
      <c r="F91" s="12"/>
      <c r="G91" s="12"/>
      <c r="H91" s="12"/>
      <c r="I91" s="35"/>
      <c r="J91" s="12"/>
      <c r="K91" s="23"/>
      <c r="L91" s="24"/>
      <c r="M91" s="12"/>
      <c r="N91" s="26" t="str">
        <f t="shared" si="2"/>
        <v>
</v>
      </c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0"/>
      <c r="B92" s="12"/>
      <c r="C92" s="12"/>
      <c r="D92" s="23"/>
      <c r="E92" s="12"/>
      <c r="F92" s="12"/>
      <c r="G92" s="12"/>
      <c r="H92" s="12"/>
      <c r="I92" s="23"/>
      <c r="J92" s="12"/>
      <c r="K92" s="23"/>
      <c r="L92" s="24"/>
      <c r="M92" s="12"/>
      <c r="N92" s="26" t="str">
        <f t="shared" si="2"/>
        <v>
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0"/>
      <c r="B93" s="12"/>
      <c r="C93" s="12"/>
      <c r="D93" s="23"/>
      <c r="E93" s="22"/>
      <c r="F93" s="12"/>
      <c r="G93" s="12"/>
      <c r="H93" s="12"/>
      <c r="I93" s="35"/>
      <c r="J93" s="12"/>
      <c r="K93" s="23"/>
      <c r="L93" s="24"/>
      <c r="M93" s="12"/>
      <c r="N93" s="26" t="str">
        <f t="shared" si="2"/>
        <v>
</v>
      </c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0"/>
      <c r="B94" s="12"/>
      <c r="C94" s="12"/>
      <c r="D94" s="23"/>
      <c r="E94" s="22"/>
      <c r="F94" s="12"/>
      <c r="G94" s="22"/>
      <c r="H94" s="12"/>
      <c r="I94" s="23"/>
      <c r="J94" s="12"/>
      <c r="K94" s="23"/>
      <c r="L94" s="24"/>
      <c r="M94" s="12"/>
      <c r="N94" s="26" t="str">
        <f t="shared" si="2"/>
        <v>
</v>
      </c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0"/>
      <c r="B95" s="12"/>
      <c r="C95" s="12"/>
      <c r="D95" s="23"/>
      <c r="E95" s="22"/>
      <c r="F95" s="12"/>
      <c r="G95" s="12"/>
      <c r="H95" s="22"/>
      <c r="I95" s="35"/>
      <c r="J95" s="12"/>
      <c r="K95" s="23"/>
      <c r="L95" s="24"/>
      <c r="M95" s="12"/>
      <c r="N95" s="26" t="str">
        <f t="shared" si="2"/>
        <v>
</v>
      </c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0"/>
      <c r="B96" s="12"/>
      <c r="C96" s="12"/>
      <c r="D96" s="23"/>
      <c r="E96" s="22"/>
      <c r="F96" s="12"/>
      <c r="G96" s="12"/>
      <c r="H96" s="12"/>
      <c r="I96" s="35"/>
      <c r="J96" s="12"/>
      <c r="K96" s="23"/>
      <c r="L96" s="24"/>
      <c r="M96" s="39"/>
      <c r="N96" s="26" t="str">
        <f t="shared" si="2"/>
        <v>
</v>
      </c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0"/>
      <c r="B97" s="12"/>
      <c r="C97" s="12"/>
      <c r="D97" s="23"/>
      <c r="E97" s="22"/>
      <c r="F97" s="12"/>
      <c r="G97" s="12"/>
      <c r="H97" s="12"/>
      <c r="I97" s="23"/>
      <c r="J97" s="12"/>
      <c r="K97" s="23"/>
      <c r="L97" s="24"/>
      <c r="M97" s="12"/>
      <c r="N97" s="26" t="str">
        <f t="shared" si="2"/>
        <v>
</v>
      </c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0"/>
      <c r="B98" s="12"/>
      <c r="C98" s="12"/>
      <c r="D98" s="23"/>
      <c r="E98" s="12"/>
      <c r="F98" s="12"/>
      <c r="G98" s="12"/>
      <c r="H98" s="12"/>
      <c r="I98" s="23"/>
      <c r="J98" s="12"/>
      <c r="K98" s="23"/>
      <c r="L98" s="24"/>
      <c r="M98" s="12"/>
      <c r="N98" s="26" t="str">
        <f t="shared" si="2"/>
        <v>
</v>
      </c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0"/>
      <c r="B99" s="12"/>
      <c r="C99" s="12"/>
      <c r="D99" s="23"/>
      <c r="E99" s="22"/>
      <c r="F99" s="12"/>
      <c r="G99" s="22"/>
      <c r="H99" s="12"/>
      <c r="I99" s="23"/>
      <c r="J99" s="12"/>
      <c r="K99" s="23"/>
      <c r="L99" s="24"/>
      <c r="M99" s="12"/>
      <c r="N99" s="26" t="str">
        <f t="shared" si="2"/>
        <v>
</v>
      </c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0"/>
      <c r="B100" s="12"/>
      <c r="C100" s="12"/>
      <c r="D100" s="23"/>
      <c r="E100" s="22"/>
      <c r="F100" s="12"/>
      <c r="G100" s="12"/>
      <c r="H100" s="12"/>
      <c r="I100" s="23"/>
      <c r="J100" s="12"/>
      <c r="K100" s="23"/>
      <c r="L100" s="24"/>
      <c r="M100" s="12"/>
      <c r="N100" s="26" t="str">
        <f t="shared" si="2"/>
        <v>
</v>
      </c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0"/>
      <c r="B101" s="12"/>
      <c r="C101" s="12"/>
      <c r="D101" s="23"/>
      <c r="E101" s="22"/>
      <c r="F101" s="12"/>
      <c r="G101" s="12"/>
      <c r="H101" s="12"/>
      <c r="I101" s="35"/>
      <c r="J101" s="12"/>
      <c r="K101" s="23"/>
      <c r="L101" s="24"/>
      <c r="M101" s="12"/>
      <c r="N101" s="26" t="str">
        <f t="shared" si="2"/>
        <v>
</v>
      </c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0"/>
      <c r="B102" s="12"/>
      <c r="C102" s="12"/>
      <c r="D102" s="23"/>
      <c r="E102" s="22"/>
      <c r="F102" s="12"/>
      <c r="G102" s="12"/>
      <c r="H102" s="12"/>
      <c r="I102" s="23"/>
      <c r="J102" s="22"/>
      <c r="K102" s="23"/>
      <c r="L102" s="24"/>
      <c r="M102" s="12"/>
      <c r="N102" s="26" t="str">
        <f t="shared" si="2"/>
        <v>
</v>
      </c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0"/>
      <c r="B103" s="12"/>
      <c r="C103" s="12"/>
      <c r="D103" s="23"/>
      <c r="E103" s="22"/>
      <c r="F103" s="12"/>
      <c r="G103" s="12"/>
      <c r="H103" s="12"/>
      <c r="I103" s="23"/>
      <c r="J103" s="12"/>
      <c r="K103" s="23"/>
      <c r="L103" s="24"/>
      <c r="M103" s="12"/>
      <c r="N103" s="26" t="str">
        <f t="shared" si="2"/>
        <v>
</v>
      </c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0"/>
      <c r="B104" s="12"/>
      <c r="C104" s="12"/>
      <c r="D104" s="23"/>
      <c r="E104" s="22"/>
      <c r="F104" s="12"/>
      <c r="G104" s="12"/>
      <c r="H104" s="12"/>
      <c r="I104" s="23"/>
      <c r="J104" s="12"/>
      <c r="K104" s="23"/>
      <c r="L104" s="24"/>
      <c r="M104" s="12"/>
      <c r="N104" s="26" t="str">
        <f t="shared" si="2"/>
        <v>
</v>
      </c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0"/>
      <c r="B105" s="12"/>
      <c r="C105" s="12"/>
      <c r="D105" s="23"/>
      <c r="E105" s="22"/>
      <c r="F105" s="12"/>
      <c r="G105" s="12"/>
      <c r="H105" s="12"/>
      <c r="I105" s="23"/>
      <c r="J105" s="12"/>
      <c r="K105" s="23"/>
      <c r="L105" s="24"/>
      <c r="M105" s="12"/>
      <c r="N105" s="26" t="str">
        <f t="shared" si="2"/>
        <v>
</v>
      </c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0"/>
      <c r="B106" s="12"/>
      <c r="C106" s="12"/>
      <c r="D106" s="23"/>
      <c r="E106" s="22"/>
      <c r="F106" s="12"/>
      <c r="G106" s="12"/>
      <c r="H106" s="12"/>
      <c r="I106" s="23"/>
      <c r="J106" s="12"/>
      <c r="K106" s="23"/>
      <c r="L106" s="24"/>
      <c r="M106" s="12"/>
      <c r="N106" s="26" t="str">
        <f t="shared" si="2"/>
        <v>
</v>
      </c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0"/>
      <c r="B107" s="12"/>
      <c r="C107" s="12"/>
      <c r="D107" s="35"/>
      <c r="E107" s="22"/>
      <c r="F107" s="12"/>
      <c r="G107" s="12"/>
      <c r="H107" s="12"/>
      <c r="I107" s="35"/>
      <c r="J107" s="12"/>
      <c r="K107" s="23"/>
      <c r="L107" s="24"/>
      <c r="M107" s="12"/>
      <c r="N107" s="26" t="str">
        <f t="shared" si="2"/>
        <v>
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0"/>
      <c r="B108" s="12"/>
      <c r="C108" s="12"/>
      <c r="D108" s="23"/>
      <c r="E108" s="12"/>
      <c r="F108" s="12"/>
      <c r="G108" s="12"/>
      <c r="H108" s="12"/>
      <c r="I108" s="23"/>
      <c r="J108" s="12"/>
      <c r="K108" s="23"/>
      <c r="L108" s="24"/>
      <c r="M108" s="12"/>
      <c r="N108" s="26" t="str">
        <f t="shared" si="2"/>
        <v>
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0"/>
      <c r="B109" s="12"/>
      <c r="C109" s="12"/>
      <c r="D109" s="23"/>
      <c r="E109" s="22"/>
      <c r="F109" s="12"/>
      <c r="G109" s="22"/>
      <c r="H109" s="12"/>
      <c r="I109" s="23"/>
      <c r="J109" s="12"/>
      <c r="K109" s="23"/>
      <c r="L109" s="24"/>
      <c r="M109" s="12"/>
      <c r="N109" s="26" t="str">
        <f t="shared" si="2"/>
        <v>
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0"/>
      <c r="B110" s="12"/>
      <c r="C110" s="12"/>
      <c r="D110" s="23"/>
      <c r="E110" s="22"/>
      <c r="F110" s="12"/>
      <c r="G110" s="12"/>
      <c r="H110" s="12"/>
      <c r="I110" s="35"/>
      <c r="J110" s="12"/>
      <c r="K110" s="23"/>
      <c r="L110" s="24"/>
      <c r="M110" s="12"/>
      <c r="N110" s="26" t="str">
        <f t="shared" si="2"/>
        <v>
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0"/>
      <c r="B111" s="12"/>
      <c r="C111" s="12"/>
      <c r="D111" s="23"/>
      <c r="E111" s="22"/>
      <c r="F111" s="12"/>
      <c r="G111" s="12"/>
      <c r="H111" s="12"/>
      <c r="I111" s="23"/>
      <c r="J111" s="12"/>
      <c r="K111" s="23"/>
      <c r="L111" s="24"/>
      <c r="M111" s="12"/>
      <c r="N111" s="26" t="str">
        <f t="shared" si="2"/>
        <v>
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0"/>
      <c r="B112" s="12"/>
      <c r="C112" s="12"/>
      <c r="D112" s="23"/>
      <c r="E112" s="22"/>
      <c r="F112" s="12"/>
      <c r="G112" s="12"/>
      <c r="H112" s="12"/>
      <c r="I112" s="23"/>
      <c r="J112" s="12"/>
      <c r="K112" s="23"/>
      <c r="L112" s="24"/>
      <c r="M112" s="12"/>
      <c r="N112" s="26" t="str">
        <f t="shared" si="2"/>
        <v>
</v>
      </c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0"/>
      <c r="B113" s="12"/>
      <c r="C113" s="12"/>
      <c r="D113" s="23"/>
      <c r="E113" s="22"/>
      <c r="F113" s="12"/>
      <c r="G113" s="12"/>
      <c r="H113" s="12"/>
      <c r="I113" s="35"/>
      <c r="J113" s="12"/>
      <c r="K113" s="23"/>
      <c r="L113" s="24"/>
      <c r="M113" s="12"/>
      <c r="N113" s="26" t="str">
        <f t="shared" si="2"/>
        <v>
</v>
      </c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0"/>
      <c r="B114" s="12"/>
      <c r="C114" s="12"/>
      <c r="D114" s="23"/>
      <c r="E114" s="22"/>
      <c r="F114" s="12"/>
      <c r="G114" s="22"/>
      <c r="H114" s="12"/>
      <c r="I114" s="35"/>
      <c r="J114" s="12"/>
      <c r="K114" s="23"/>
      <c r="L114" s="24"/>
      <c r="M114" s="12"/>
      <c r="N114" s="26" t="str">
        <f t="shared" si="2"/>
        <v>
</v>
      </c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0"/>
      <c r="B115" s="12"/>
      <c r="C115" s="12"/>
      <c r="D115" s="23"/>
      <c r="E115" s="12"/>
      <c r="F115" s="12"/>
      <c r="G115" s="22"/>
      <c r="H115" s="12"/>
      <c r="I115" s="23"/>
      <c r="J115" s="12"/>
      <c r="K115" s="23"/>
      <c r="L115" s="24"/>
      <c r="M115" s="12"/>
      <c r="N115" s="26" t="str">
        <f t="shared" si="2"/>
        <v>
</v>
      </c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0"/>
      <c r="B116" s="12"/>
      <c r="C116" s="12"/>
      <c r="D116" s="23"/>
      <c r="E116" s="22"/>
      <c r="F116" s="12"/>
      <c r="G116" s="12"/>
      <c r="H116" s="12"/>
      <c r="I116" s="23"/>
      <c r="J116" s="12"/>
      <c r="K116" s="23"/>
      <c r="L116" s="24"/>
      <c r="M116" s="12"/>
      <c r="N116" s="26" t="str">
        <f t="shared" si="2"/>
        <v>
</v>
      </c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0"/>
      <c r="B117" s="12"/>
      <c r="C117" s="12"/>
      <c r="D117" s="35"/>
      <c r="E117" s="22"/>
      <c r="F117" s="12"/>
      <c r="G117" s="22"/>
      <c r="H117" s="12"/>
      <c r="I117" s="35"/>
      <c r="J117" s="22"/>
      <c r="K117" s="23"/>
      <c r="L117" s="24"/>
      <c r="M117" s="12"/>
      <c r="N117" s="26" t="str">
        <f t="shared" si="2"/>
        <v>
</v>
      </c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0"/>
      <c r="B118" s="12"/>
      <c r="C118" s="12"/>
      <c r="D118" s="35"/>
      <c r="E118" s="22"/>
      <c r="F118" s="12"/>
      <c r="G118" s="22"/>
      <c r="H118" s="12"/>
      <c r="I118" s="35"/>
      <c r="J118" s="12"/>
      <c r="K118" s="23"/>
      <c r="L118" s="24"/>
      <c r="M118" s="12"/>
      <c r="N118" s="26" t="str">
        <f t="shared" si="2"/>
        <v>
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0"/>
      <c r="B119" s="12"/>
      <c r="C119" s="12"/>
      <c r="D119" s="35"/>
      <c r="E119" s="22"/>
      <c r="F119" s="12"/>
      <c r="G119" s="12"/>
      <c r="H119" s="12"/>
      <c r="I119" s="23"/>
      <c r="J119" s="12"/>
      <c r="K119" s="23"/>
      <c r="L119" s="24"/>
      <c r="M119" s="12"/>
      <c r="N119" s="26" t="str">
        <f t="shared" si="2"/>
        <v>
</v>
      </c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0"/>
      <c r="B120" s="12"/>
      <c r="C120" s="12"/>
      <c r="D120" s="35"/>
      <c r="E120" s="22"/>
      <c r="F120" s="12"/>
      <c r="G120" s="22"/>
      <c r="H120" s="12"/>
      <c r="I120" s="23"/>
      <c r="J120" s="12"/>
      <c r="K120" s="23"/>
      <c r="L120" s="24"/>
      <c r="M120" s="12"/>
      <c r="N120" s="26" t="str">
        <f t="shared" si="2"/>
        <v>
</v>
      </c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0"/>
      <c r="B121" s="12"/>
      <c r="C121" s="12"/>
      <c r="D121" s="35"/>
      <c r="E121" s="22"/>
      <c r="F121" s="12"/>
      <c r="G121" s="22"/>
      <c r="H121" s="12"/>
      <c r="I121" s="23"/>
      <c r="J121" s="12"/>
      <c r="K121" s="23"/>
      <c r="L121" s="24"/>
      <c r="M121" s="12"/>
      <c r="N121" s="26" t="str">
        <f t="shared" si="2"/>
        <v>
</v>
      </c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0"/>
      <c r="B122" s="12"/>
      <c r="C122" s="12"/>
      <c r="D122" s="35"/>
      <c r="E122" s="22"/>
      <c r="F122" s="12"/>
      <c r="G122" s="22"/>
      <c r="H122" s="12"/>
      <c r="I122" s="35"/>
      <c r="J122" s="12"/>
      <c r="K122" s="23"/>
      <c r="L122" s="24"/>
      <c r="M122" s="12"/>
      <c r="N122" s="26" t="str">
        <f t="shared" si="2"/>
        <v>
</v>
      </c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0"/>
      <c r="B123" s="12"/>
      <c r="C123" s="12"/>
      <c r="D123" s="35"/>
      <c r="E123" s="22"/>
      <c r="F123" s="12"/>
      <c r="G123" s="22"/>
      <c r="H123" s="12"/>
      <c r="I123" s="35"/>
      <c r="J123" s="12"/>
      <c r="K123" s="23"/>
      <c r="L123" s="24"/>
      <c r="M123" s="12"/>
      <c r="N123" s="26" t="str">
        <f t="shared" si="2"/>
        <v>
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0"/>
      <c r="B124" s="12"/>
      <c r="C124" s="12"/>
      <c r="D124" s="23"/>
      <c r="E124" s="12"/>
      <c r="F124" s="12"/>
      <c r="G124" s="12"/>
      <c r="H124" s="12"/>
      <c r="I124" s="23"/>
      <c r="J124" s="22"/>
      <c r="K124" s="23"/>
      <c r="L124" s="24"/>
      <c r="M124" s="12"/>
      <c r="N124" s="26" t="str">
        <f t="shared" si="2"/>
        <v>
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0"/>
      <c r="B125" s="12"/>
      <c r="C125" s="12"/>
      <c r="D125" s="23"/>
      <c r="E125" s="12"/>
      <c r="F125" s="12"/>
      <c r="G125" s="12"/>
      <c r="H125" s="12"/>
      <c r="I125" s="23"/>
      <c r="J125" s="12"/>
      <c r="K125" s="23"/>
      <c r="L125" s="24"/>
      <c r="M125" s="12"/>
      <c r="N125" s="26" t="str">
        <f t="shared" si="2"/>
        <v>
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0"/>
      <c r="B126" s="12"/>
      <c r="C126" s="12"/>
      <c r="D126" s="23"/>
      <c r="E126" s="12"/>
      <c r="F126" s="12"/>
      <c r="G126" s="12"/>
      <c r="H126" s="12"/>
      <c r="I126" s="23"/>
      <c r="J126" s="12"/>
      <c r="K126" s="23"/>
      <c r="L126" s="24"/>
      <c r="M126" s="12"/>
      <c r="N126" s="26" t="str">
        <f t="shared" si="2"/>
        <v>
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0"/>
      <c r="B127" s="12"/>
      <c r="C127" s="12"/>
      <c r="D127" s="35"/>
      <c r="E127" s="22"/>
      <c r="F127" s="12"/>
      <c r="G127" s="22"/>
      <c r="H127" s="12"/>
      <c r="I127" s="35"/>
      <c r="J127" s="22"/>
      <c r="K127" s="23"/>
      <c r="L127" s="24"/>
      <c r="M127" s="12"/>
      <c r="N127" s="26" t="str">
        <f t="shared" si="2"/>
        <v>
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0"/>
      <c r="B128" s="12"/>
      <c r="C128" s="12"/>
      <c r="D128" s="23"/>
      <c r="E128" s="12"/>
      <c r="F128" s="12"/>
      <c r="G128" s="12"/>
      <c r="H128" s="12"/>
      <c r="I128" s="23"/>
      <c r="J128" s="12"/>
      <c r="K128" s="23"/>
      <c r="L128" s="24"/>
      <c r="M128" s="12"/>
      <c r="N128" s="26" t="str">
        <f t="shared" si="2"/>
        <v>
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0"/>
      <c r="B129" s="12"/>
      <c r="C129" s="12"/>
      <c r="D129" s="23"/>
      <c r="E129" s="12"/>
      <c r="F129" s="12"/>
      <c r="G129" s="12"/>
      <c r="H129" s="12"/>
      <c r="I129" s="23"/>
      <c r="J129" s="12"/>
      <c r="K129" s="23"/>
      <c r="L129" s="24"/>
      <c r="M129" s="12"/>
      <c r="N129" s="26" t="str">
        <f t="shared" si="2"/>
        <v>
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0"/>
      <c r="B130" s="12"/>
      <c r="C130" s="12"/>
      <c r="D130" s="23"/>
      <c r="E130" s="12"/>
      <c r="F130" s="12"/>
      <c r="G130" s="12"/>
      <c r="H130" s="12"/>
      <c r="I130" s="23"/>
      <c r="J130" s="12"/>
      <c r="K130" s="23"/>
      <c r="L130" s="24"/>
      <c r="M130" s="12"/>
      <c r="N130" s="26" t="str">
        <f t="shared" si="2"/>
        <v>
</v>
      </c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0"/>
      <c r="B131" s="12"/>
      <c r="C131" s="12"/>
      <c r="D131" s="23"/>
      <c r="E131" s="12"/>
      <c r="F131" s="12"/>
      <c r="G131" s="12"/>
      <c r="H131" s="12"/>
      <c r="I131" s="35"/>
      <c r="J131" s="12"/>
      <c r="K131" s="35"/>
      <c r="L131" s="24"/>
      <c r="M131" s="39"/>
      <c r="N131" s="26" t="str">
        <f t="shared" si="2"/>
        <v>
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0"/>
      <c r="B132" s="12"/>
      <c r="C132" s="12"/>
      <c r="D132" s="23"/>
      <c r="E132" s="12"/>
      <c r="F132" s="12"/>
      <c r="G132" s="12"/>
      <c r="H132" s="12"/>
      <c r="I132" s="23"/>
      <c r="J132" s="22"/>
      <c r="K132" s="23"/>
      <c r="L132" s="24"/>
      <c r="M132" s="12"/>
      <c r="N132" s="26" t="str">
        <f t="shared" si="2"/>
        <v>
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0"/>
      <c r="B133" s="12"/>
      <c r="C133" s="12"/>
      <c r="D133" s="23"/>
      <c r="E133" s="12"/>
      <c r="F133" s="12"/>
      <c r="G133" s="22"/>
      <c r="H133" s="12"/>
      <c r="I133" s="23"/>
      <c r="J133" s="12"/>
      <c r="K133" s="23"/>
      <c r="L133" s="24"/>
      <c r="M133" s="12"/>
      <c r="N133" s="26" t="str">
        <f t="shared" si="2"/>
        <v>
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0"/>
      <c r="B134" s="12"/>
      <c r="C134" s="12"/>
      <c r="D134" s="23"/>
      <c r="E134" s="12"/>
      <c r="F134" s="12"/>
      <c r="G134" s="12"/>
      <c r="H134" s="12"/>
      <c r="I134" s="23"/>
      <c r="J134" s="12"/>
      <c r="K134" s="23"/>
      <c r="L134" s="24"/>
      <c r="M134" s="12"/>
      <c r="N134" s="26" t="str">
        <f t="shared" si="2"/>
        <v>
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0"/>
      <c r="B135" s="12"/>
      <c r="C135" s="12"/>
      <c r="D135" s="23"/>
      <c r="E135" s="12"/>
      <c r="F135" s="12"/>
      <c r="G135" s="22"/>
      <c r="H135" s="12"/>
      <c r="I135" s="23"/>
      <c r="J135" s="12"/>
      <c r="K135" s="23"/>
      <c r="L135" s="24"/>
      <c r="M135" s="12"/>
      <c r="N135" s="26" t="str">
        <f t="shared" si="2"/>
        <v>
</v>
      </c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0"/>
      <c r="B136" s="12"/>
      <c r="C136" s="12"/>
      <c r="D136" s="50"/>
      <c r="E136" s="50"/>
      <c r="F136" s="12"/>
      <c r="G136" s="12"/>
      <c r="H136" s="12"/>
      <c r="I136" s="23"/>
      <c r="J136" s="12"/>
      <c r="K136" s="23"/>
      <c r="L136" s="24"/>
      <c r="M136" s="12"/>
      <c r="N136" s="26" t="str">
        <f t="shared" si="2"/>
        <v>
</v>
      </c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0"/>
      <c r="B137" s="12"/>
      <c r="C137" s="12"/>
      <c r="D137" s="23"/>
      <c r="E137" s="22"/>
      <c r="F137" s="12"/>
      <c r="G137" s="22"/>
      <c r="H137" s="12"/>
      <c r="I137" s="23"/>
      <c r="J137" s="12"/>
      <c r="K137" s="23"/>
      <c r="L137" s="24"/>
      <c r="M137" s="12"/>
      <c r="N137" s="26" t="str">
        <f t="shared" si="2"/>
        <v>
</v>
      </c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0"/>
      <c r="B138" s="12"/>
      <c r="C138" s="12"/>
      <c r="D138" s="23"/>
      <c r="E138" s="12"/>
      <c r="F138" s="12"/>
      <c r="G138" s="12"/>
      <c r="H138" s="12"/>
      <c r="I138" s="23"/>
      <c r="J138" s="12"/>
      <c r="K138" s="23"/>
      <c r="L138" s="24"/>
      <c r="M138" s="12"/>
      <c r="N138" s="26" t="str">
        <f t="shared" si="2"/>
        <v>
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0"/>
      <c r="B139" s="12"/>
      <c r="C139" s="12"/>
      <c r="D139" s="35"/>
      <c r="E139" s="22"/>
      <c r="F139" s="12"/>
      <c r="G139" s="12"/>
      <c r="H139" s="12"/>
      <c r="I139" s="23"/>
      <c r="J139" s="12"/>
      <c r="K139" s="23"/>
      <c r="L139" s="24"/>
      <c r="M139" s="12"/>
      <c r="N139" s="26" t="str">
        <f t="shared" si="2"/>
        <v>
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0"/>
      <c r="B140" s="12"/>
      <c r="C140" s="12"/>
      <c r="D140" s="23"/>
      <c r="E140" s="12"/>
      <c r="F140" s="12"/>
      <c r="G140" s="12"/>
      <c r="H140" s="12"/>
      <c r="I140" s="23"/>
      <c r="J140" s="12"/>
      <c r="K140" s="23"/>
      <c r="L140" s="24"/>
      <c r="M140" s="12"/>
      <c r="N140" s="26" t="str">
        <f t="shared" si="2"/>
        <v>
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0"/>
      <c r="B141" s="12"/>
      <c r="C141" s="12"/>
      <c r="D141" s="23"/>
      <c r="E141" s="12"/>
      <c r="F141" s="12"/>
      <c r="G141" s="12"/>
      <c r="H141" s="12"/>
      <c r="I141" s="23"/>
      <c r="J141" s="22"/>
      <c r="K141" s="23"/>
      <c r="L141" s="24"/>
      <c r="M141" s="12"/>
      <c r="N141" s="26" t="str">
        <f t="shared" si="2"/>
        <v>
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0"/>
      <c r="B142" s="12"/>
      <c r="C142" s="12"/>
      <c r="D142" s="23"/>
      <c r="E142" s="12"/>
      <c r="F142" s="12"/>
      <c r="G142" s="12"/>
      <c r="H142" s="12"/>
      <c r="I142" s="23"/>
      <c r="J142" s="12"/>
      <c r="K142" s="23"/>
      <c r="L142" s="24"/>
      <c r="M142" s="12"/>
      <c r="N142" s="26" t="str">
        <f t="shared" si="2"/>
        <v>
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0"/>
      <c r="B143" s="12"/>
      <c r="C143" s="12"/>
      <c r="D143" s="23"/>
      <c r="E143" s="12"/>
      <c r="F143" s="12"/>
      <c r="G143" s="12"/>
      <c r="H143" s="12"/>
      <c r="I143" s="23"/>
      <c r="J143" s="12"/>
      <c r="K143" s="23"/>
      <c r="L143" s="24"/>
      <c r="M143" s="12"/>
      <c r="N143" s="26" t="str">
        <f t="shared" si="2"/>
        <v>
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0"/>
      <c r="B144" s="12"/>
      <c r="C144" s="12"/>
      <c r="D144" s="35"/>
      <c r="E144" s="22"/>
      <c r="F144" s="12"/>
      <c r="G144" s="12"/>
      <c r="H144" s="12"/>
      <c r="I144" s="23"/>
      <c r="J144" s="12"/>
      <c r="K144" s="23"/>
      <c r="L144" s="24"/>
      <c r="M144" s="12"/>
      <c r="N144" s="26" t="str">
        <f t="shared" si="2"/>
        <v>
</v>
      </c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0"/>
      <c r="B145" s="12"/>
      <c r="C145" s="12"/>
      <c r="D145" s="35"/>
      <c r="E145" s="22"/>
      <c r="F145" s="12"/>
      <c r="G145" s="12"/>
      <c r="H145" s="12"/>
      <c r="I145" s="23"/>
      <c r="J145" s="12"/>
      <c r="K145" s="23"/>
      <c r="L145" s="24"/>
      <c r="M145" s="12"/>
      <c r="N145" s="26" t="str">
        <f t="shared" si="2"/>
        <v>
</v>
      </c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0"/>
      <c r="B146" s="12"/>
      <c r="C146" s="12"/>
      <c r="D146" s="23"/>
      <c r="E146" s="12"/>
      <c r="F146" s="12"/>
      <c r="G146" s="12"/>
      <c r="H146" s="12"/>
      <c r="I146" s="23"/>
      <c r="J146" s="12"/>
      <c r="K146" s="23"/>
      <c r="L146" s="24"/>
      <c r="M146" s="12"/>
      <c r="N146" s="26" t="str">
        <f t="shared" si="2"/>
        <v>
</v>
      </c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0"/>
      <c r="B147" s="12"/>
      <c r="C147" s="12"/>
      <c r="D147" s="23"/>
      <c r="E147" s="12"/>
      <c r="F147" s="12"/>
      <c r="G147" s="12"/>
      <c r="H147" s="12"/>
      <c r="I147" s="23"/>
      <c r="J147" s="12"/>
      <c r="K147" s="23"/>
      <c r="L147" s="24"/>
      <c r="M147" s="12"/>
      <c r="N147" s="26" t="str">
        <f t="shared" si="2"/>
        <v>
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0"/>
      <c r="B148" s="12"/>
      <c r="C148" s="12"/>
      <c r="D148" s="23"/>
      <c r="E148" s="12"/>
      <c r="F148" s="12"/>
      <c r="G148" s="12"/>
      <c r="H148" s="12"/>
      <c r="I148" s="23"/>
      <c r="J148" s="12"/>
      <c r="K148" s="23"/>
      <c r="L148" s="24"/>
      <c r="M148" s="12"/>
      <c r="N148" s="26" t="str">
        <f t="shared" si="2"/>
        <v>
</v>
      </c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0"/>
      <c r="B149" s="12"/>
      <c r="C149" s="12"/>
      <c r="D149" s="23"/>
      <c r="E149" s="12"/>
      <c r="F149" s="12"/>
      <c r="G149" s="12"/>
      <c r="H149" s="12"/>
      <c r="I149" s="23"/>
      <c r="J149" s="12"/>
      <c r="K149" s="23"/>
      <c r="L149" s="24"/>
      <c r="M149" s="12"/>
      <c r="N149" s="26" t="str">
        <f t="shared" si="2"/>
        <v>
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0"/>
      <c r="B150" s="12"/>
      <c r="C150" s="12"/>
      <c r="D150" s="35"/>
      <c r="E150" s="22"/>
      <c r="F150" s="12"/>
      <c r="G150" s="12"/>
      <c r="H150" s="12"/>
      <c r="I150" s="23"/>
      <c r="J150" s="12"/>
      <c r="K150" s="23"/>
      <c r="L150" s="24"/>
      <c r="M150" s="12"/>
      <c r="N150" s="26" t="str">
        <f t="shared" si="2"/>
        <v>
</v>
      </c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0"/>
      <c r="B151" s="12"/>
      <c r="C151" s="12"/>
      <c r="D151" s="23"/>
      <c r="E151" s="12"/>
      <c r="F151" s="12"/>
      <c r="G151" s="22"/>
      <c r="H151" s="12"/>
      <c r="I151" s="23"/>
      <c r="J151" s="12"/>
      <c r="K151" s="23"/>
      <c r="L151" s="24"/>
      <c r="M151" s="12"/>
      <c r="N151" s="26" t="str">
        <f t="shared" si="2"/>
        <v>
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0"/>
      <c r="B152" s="12"/>
      <c r="C152" s="12"/>
      <c r="D152" s="23"/>
      <c r="E152" s="12"/>
      <c r="F152" s="12"/>
      <c r="G152" s="12"/>
      <c r="H152" s="12"/>
      <c r="I152" s="23"/>
      <c r="J152" s="12"/>
      <c r="K152" s="23"/>
      <c r="L152" s="24"/>
      <c r="M152" s="12"/>
      <c r="N152" s="26" t="str">
        <f t="shared" si="2"/>
        <v>
</v>
      </c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0"/>
      <c r="B153" s="12"/>
      <c r="C153" s="12"/>
      <c r="D153" s="35"/>
      <c r="E153" s="22"/>
      <c r="F153" s="12"/>
      <c r="G153" s="12"/>
      <c r="H153" s="12"/>
      <c r="I153" s="23"/>
      <c r="J153" s="12"/>
      <c r="K153" s="23"/>
      <c r="L153" s="24"/>
      <c r="M153" s="12"/>
      <c r="N153" s="26" t="str">
        <f t="shared" si="2"/>
        <v>
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0"/>
      <c r="B154" s="12"/>
      <c r="C154" s="12"/>
      <c r="D154" s="35"/>
      <c r="E154" s="22"/>
      <c r="F154" s="12"/>
      <c r="G154" s="12"/>
      <c r="H154" s="12"/>
      <c r="I154" s="23"/>
      <c r="J154" s="12"/>
      <c r="K154" s="23"/>
      <c r="L154" s="24"/>
      <c r="M154" s="12"/>
      <c r="N154" s="26" t="str">
        <f t="shared" si="2"/>
        <v>
</v>
      </c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0"/>
      <c r="B155" s="12"/>
      <c r="C155" s="12"/>
      <c r="D155" s="23"/>
      <c r="E155" s="12"/>
      <c r="F155" s="12"/>
      <c r="G155" s="22"/>
      <c r="H155" s="12"/>
      <c r="I155" s="23"/>
      <c r="J155" s="12"/>
      <c r="K155" s="23"/>
      <c r="L155" s="24"/>
      <c r="M155" s="12"/>
      <c r="N155" s="26" t="str">
        <f t="shared" si="2"/>
        <v>
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0"/>
      <c r="B156" s="12"/>
      <c r="C156" s="12"/>
      <c r="D156" s="23"/>
      <c r="E156" s="12"/>
      <c r="F156" s="12"/>
      <c r="G156" s="12"/>
      <c r="H156" s="12"/>
      <c r="I156" s="23"/>
      <c r="J156" s="12"/>
      <c r="K156" s="23"/>
      <c r="L156" s="24"/>
      <c r="M156" s="12"/>
      <c r="N156" s="26" t="str">
        <f t="shared" si="2"/>
        <v>
</v>
      </c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0"/>
      <c r="B157" s="12"/>
      <c r="C157" s="12"/>
      <c r="D157" s="35"/>
      <c r="E157" s="22"/>
      <c r="F157" s="12"/>
      <c r="G157" s="22"/>
      <c r="H157" s="12"/>
      <c r="I157" s="35"/>
      <c r="J157" s="12"/>
      <c r="K157" s="23"/>
      <c r="L157" s="24"/>
      <c r="M157" s="12"/>
      <c r="N157" s="26" t="str">
        <f t="shared" si="2"/>
        <v>
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0"/>
      <c r="B158" s="12"/>
      <c r="C158" s="12"/>
      <c r="D158" s="35"/>
      <c r="E158" s="22"/>
      <c r="F158" s="12"/>
      <c r="G158" s="22"/>
      <c r="H158" s="12"/>
      <c r="I158" s="35"/>
      <c r="J158" s="12"/>
      <c r="K158" s="23"/>
      <c r="L158" s="24"/>
      <c r="M158" s="12"/>
      <c r="N158" s="26" t="str">
        <f t="shared" si="2"/>
        <v>
</v>
      </c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0"/>
      <c r="B159" s="12"/>
      <c r="C159" s="12"/>
      <c r="D159" s="23"/>
      <c r="E159" s="12"/>
      <c r="F159" s="12"/>
      <c r="G159" s="22"/>
      <c r="H159" s="12"/>
      <c r="I159" s="23"/>
      <c r="J159" s="12"/>
      <c r="K159" s="23"/>
      <c r="L159" s="24"/>
      <c r="M159" s="12"/>
      <c r="N159" s="26" t="str">
        <f t="shared" si="2"/>
        <v>
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0"/>
      <c r="B160" s="12"/>
      <c r="C160" s="12"/>
      <c r="D160" s="35"/>
      <c r="E160" s="22"/>
      <c r="F160" s="12"/>
      <c r="G160" s="12"/>
      <c r="H160" s="12"/>
      <c r="I160" s="23"/>
      <c r="J160" s="22"/>
      <c r="K160" s="23"/>
      <c r="L160" s="24"/>
      <c r="M160" s="12"/>
      <c r="N160" s="26" t="str">
        <f t="shared" si="2"/>
        <v>
</v>
      </c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0"/>
      <c r="B161" s="12"/>
      <c r="C161" s="12"/>
      <c r="D161" s="23"/>
      <c r="E161" s="12"/>
      <c r="F161" s="12"/>
      <c r="G161" s="12"/>
      <c r="H161" s="12"/>
      <c r="I161" s="23"/>
      <c r="J161" s="12"/>
      <c r="K161" s="23"/>
      <c r="L161" s="24"/>
      <c r="M161" s="12"/>
      <c r="N161" s="26" t="str">
        <f t="shared" si="2"/>
        <v>
</v>
      </c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0"/>
      <c r="B162" s="12"/>
      <c r="C162" s="12"/>
      <c r="D162" s="23"/>
      <c r="E162" s="12"/>
      <c r="F162" s="12"/>
      <c r="G162" s="12"/>
      <c r="H162" s="12"/>
      <c r="I162" s="35"/>
      <c r="J162" s="12"/>
      <c r="K162" s="23"/>
      <c r="L162" s="24"/>
      <c r="M162" s="64"/>
      <c r="N162" s="26" t="str">
        <f t="shared" si="2"/>
        <v>
</v>
      </c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0"/>
      <c r="B163" s="12"/>
      <c r="C163" s="12"/>
      <c r="D163" s="23"/>
      <c r="E163" s="12"/>
      <c r="F163" s="12"/>
      <c r="G163" s="12"/>
      <c r="H163" s="12"/>
      <c r="I163" s="35"/>
      <c r="J163" s="12"/>
      <c r="K163" s="23"/>
      <c r="L163" s="24"/>
      <c r="M163" s="39"/>
      <c r="N163" s="26" t="str">
        <f t="shared" si="2"/>
        <v>
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0"/>
      <c r="B164" s="12"/>
      <c r="C164" s="12"/>
      <c r="D164" s="35"/>
      <c r="E164" s="22"/>
      <c r="F164" s="12"/>
      <c r="G164" s="22"/>
      <c r="H164" s="12"/>
      <c r="I164" s="23"/>
      <c r="J164" s="12"/>
      <c r="K164" s="23"/>
      <c r="L164" s="24"/>
      <c r="M164" s="12"/>
      <c r="N164" s="26" t="str">
        <f t="shared" si="2"/>
        <v>
</v>
      </c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0"/>
      <c r="B165" s="12"/>
      <c r="C165" s="12"/>
      <c r="D165" s="23"/>
      <c r="E165" s="12"/>
      <c r="F165" s="12"/>
      <c r="G165" s="12"/>
      <c r="H165" s="12"/>
      <c r="I165" s="23"/>
      <c r="J165" s="12"/>
      <c r="K165" s="23"/>
      <c r="L165" s="24"/>
      <c r="M165" s="12"/>
      <c r="N165" s="26" t="str">
        <f t="shared" si="2"/>
        <v>
</v>
      </c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0"/>
      <c r="B166" s="12"/>
      <c r="C166" s="12"/>
      <c r="D166" s="23"/>
      <c r="E166" s="12"/>
      <c r="F166" s="12"/>
      <c r="G166" s="22"/>
      <c r="H166" s="12"/>
      <c r="I166" s="23"/>
      <c r="J166" s="12"/>
      <c r="K166" s="23"/>
      <c r="L166" s="24"/>
      <c r="M166" s="12"/>
      <c r="N166" s="26" t="str">
        <f t="shared" si="2"/>
        <v>
</v>
      </c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0"/>
      <c r="B167" s="12"/>
      <c r="C167" s="12"/>
      <c r="D167" s="23"/>
      <c r="E167" s="12"/>
      <c r="F167" s="12"/>
      <c r="G167" s="22"/>
      <c r="H167" s="12"/>
      <c r="I167" s="23"/>
      <c r="J167" s="12"/>
      <c r="K167" s="23"/>
      <c r="L167" s="24"/>
      <c r="M167" s="12"/>
      <c r="N167" s="26" t="str">
        <f t="shared" si="2"/>
        <v>
</v>
      </c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0"/>
      <c r="B168" s="12"/>
      <c r="C168" s="12"/>
      <c r="D168" s="23"/>
      <c r="E168" s="12"/>
      <c r="F168" s="12"/>
      <c r="G168" s="12"/>
      <c r="H168" s="12"/>
      <c r="I168" s="23"/>
      <c r="J168" s="12"/>
      <c r="K168" s="23"/>
      <c r="L168" s="24"/>
      <c r="M168" s="12"/>
      <c r="N168" s="26" t="str">
        <f t="shared" si="2"/>
        <v>
</v>
      </c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0"/>
      <c r="B169" s="12"/>
      <c r="C169" s="12"/>
      <c r="D169" s="23"/>
      <c r="E169" s="22"/>
      <c r="F169" s="12"/>
      <c r="G169" s="22"/>
      <c r="H169" s="12"/>
      <c r="I169" s="23"/>
      <c r="J169" s="12"/>
      <c r="K169" s="23"/>
      <c r="L169" s="24"/>
      <c r="M169" s="12"/>
      <c r="N169" s="26" t="str">
        <f t="shared" si="2"/>
        <v>
</v>
      </c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0"/>
      <c r="B170" s="12"/>
      <c r="C170" s="12"/>
      <c r="D170" s="23"/>
      <c r="E170" s="12"/>
      <c r="F170" s="12"/>
      <c r="G170" s="12"/>
      <c r="H170" s="12"/>
      <c r="I170" s="23"/>
      <c r="J170" s="12"/>
      <c r="K170" s="23"/>
      <c r="L170" s="24"/>
      <c r="M170" s="12"/>
      <c r="N170" s="26" t="str">
        <f t="shared" si="2"/>
        <v>
</v>
      </c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0"/>
      <c r="B171" s="12"/>
      <c r="C171" s="12"/>
      <c r="D171" s="23"/>
      <c r="E171" s="12"/>
      <c r="F171" s="12"/>
      <c r="G171" s="22"/>
      <c r="H171" s="12"/>
      <c r="I171" s="23"/>
      <c r="J171" s="12"/>
      <c r="K171" s="23"/>
      <c r="L171" s="24"/>
      <c r="M171" s="12"/>
      <c r="N171" s="26" t="str">
        <f t="shared" si="2"/>
        <v>
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0"/>
      <c r="B172" s="12"/>
      <c r="C172" s="12"/>
      <c r="D172" s="35"/>
      <c r="E172" s="22"/>
      <c r="F172" s="12"/>
      <c r="G172" s="12"/>
      <c r="H172" s="12"/>
      <c r="I172" s="23"/>
      <c r="J172" s="12"/>
      <c r="K172" s="23"/>
      <c r="L172" s="24"/>
      <c r="M172" s="12"/>
      <c r="N172" s="26" t="str">
        <f t="shared" si="2"/>
        <v>
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0"/>
      <c r="B173" s="12"/>
      <c r="C173" s="12"/>
      <c r="D173" s="23"/>
      <c r="E173" s="12"/>
      <c r="F173" s="12"/>
      <c r="G173" s="12"/>
      <c r="H173" s="12"/>
      <c r="I173" s="23"/>
      <c r="J173" s="12"/>
      <c r="K173" s="23"/>
      <c r="L173" s="24"/>
      <c r="M173" s="12"/>
      <c r="N173" s="26" t="str">
        <f t="shared" si="2"/>
        <v>
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0"/>
      <c r="B174" s="12"/>
      <c r="C174" s="12"/>
      <c r="D174" s="35"/>
      <c r="E174" s="22"/>
      <c r="F174" s="12"/>
      <c r="G174" s="22"/>
      <c r="H174" s="12"/>
      <c r="I174" s="35"/>
      <c r="J174" s="22"/>
      <c r="K174" s="23"/>
      <c r="L174" s="24"/>
      <c r="M174" s="12"/>
      <c r="N174" s="26" t="str">
        <f t="shared" si="2"/>
        <v>
</v>
      </c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0"/>
      <c r="B175" s="12"/>
      <c r="C175" s="12"/>
      <c r="D175" s="23"/>
      <c r="E175" s="22"/>
      <c r="F175" s="12"/>
      <c r="G175" s="12"/>
      <c r="H175" s="12"/>
      <c r="I175" s="23"/>
      <c r="J175" s="22"/>
      <c r="K175" s="23"/>
      <c r="L175" s="24"/>
      <c r="M175" s="12"/>
      <c r="N175" s="26" t="str">
        <f t="shared" si="2"/>
        <v>
</v>
      </c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0"/>
      <c r="B176" s="12"/>
      <c r="C176" s="12"/>
      <c r="D176" s="23"/>
      <c r="E176" s="12"/>
      <c r="F176" s="12"/>
      <c r="G176" s="12"/>
      <c r="H176" s="12"/>
      <c r="I176" s="23"/>
      <c r="J176" s="12"/>
      <c r="K176" s="23"/>
      <c r="L176" s="24"/>
      <c r="M176" s="12"/>
      <c r="N176" s="26" t="str">
        <f t="shared" si="2"/>
        <v>
</v>
      </c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0"/>
      <c r="B177" s="12"/>
      <c r="C177" s="12"/>
      <c r="D177" s="23"/>
      <c r="E177" s="12"/>
      <c r="F177" s="12"/>
      <c r="G177" s="12"/>
      <c r="H177" s="12"/>
      <c r="I177" s="23"/>
      <c r="J177" s="12"/>
      <c r="K177" s="23"/>
      <c r="L177" s="24"/>
      <c r="M177" s="12"/>
      <c r="N177" s="26" t="str">
        <f t="shared" si="2"/>
        <v>
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0"/>
      <c r="B178" s="12"/>
      <c r="C178" s="12"/>
      <c r="D178" s="23"/>
      <c r="E178" s="12"/>
      <c r="F178" s="12"/>
      <c r="G178" s="12"/>
      <c r="H178" s="12"/>
      <c r="I178" s="23"/>
      <c r="J178" s="12"/>
      <c r="K178" s="23"/>
      <c r="L178" s="24"/>
      <c r="M178" s="12"/>
      <c r="N178" s="26" t="str">
        <f t="shared" si="2"/>
        <v>
</v>
      </c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0"/>
      <c r="B179" s="12"/>
      <c r="C179" s="12"/>
      <c r="D179" s="23"/>
      <c r="E179" s="22"/>
      <c r="F179" s="12"/>
      <c r="G179" s="12"/>
      <c r="H179" s="12"/>
      <c r="I179" s="23"/>
      <c r="J179" s="12"/>
      <c r="K179" s="23"/>
      <c r="L179" s="24"/>
      <c r="M179" s="12"/>
      <c r="N179" s="26" t="str">
        <f t="shared" si="2"/>
        <v>
</v>
      </c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0"/>
      <c r="B180" s="12"/>
      <c r="C180" s="12"/>
      <c r="D180" s="23"/>
      <c r="E180" s="22"/>
      <c r="F180" s="12"/>
      <c r="G180" s="12"/>
      <c r="H180" s="12"/>
      <c r="I180" s="23"/>
      <c r="J180" s="12"/>
      <c r="K180" s="23"/>
      <c r="L180" s="24"/>
      <c r="M180" s="12"/>
      <c r="N180" s="26" t="str">
        <f t="shared" si="2"/>
        <v>
</v>
      </c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0"/>
      <c r="B181" s="12"/>
      <c r="C181" s="12"/>
      <c r="D181" s="23"/>
      <c r="E181" s="22"/>
      <c r="F181" s="12"/>
      <c r="G181" s="12"/>
      <c r="H181" s="12"/>
      <c r="I181" s="23"/>
      <c r="J181" s="12"/>
      <c r="K181" s="23"/>
      <c r="L181" s="24"/>
      <c r="M181" s="12"/>
      <c r="N181" s="26" t="str">
        <f t="shared" si="2"/>
        <v>
</v>
      </c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0"/>
      <c r="B182" s="12"/>
      <c r="C182" s="12"/>
      <c r="D182" s="23"/>
      <c r="E182" s="22"/>
      <c r="F182" s="12"/>
      <c r="G182" s="12"/>
      <c r="H182" s="12"/>
      <c r="I182" s="23"/>
      <c r="J182" s="12"/>
      <c r="K182" s="23"/>
      <c r="L182" s="24"/>
      <c r="M182" s="12"/>
      <c r="N182" s="26" t="str">
        <f t="shared" si="2"/>
        <v>
</v>
      </c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0"/>
      <c r="B183" s="12"/>
      <c r="C183" s="12"/>
      <c r="D183" s="23"/>
      <c r="E183" s="22"/>
      <c r="F183" s="12"/>
      <c r="G183" s="12"/>
      <c r="H183" s="12"/>
      <c r="I183" s="23"/>
      <c r="J183" s="12"/>
      <c r="K183" s="23"/>
      <c r="L183" s="24"/>
      <c r="M183" s="12"/>
      <c r="N183" s="26" t="str">
        <f t="shared" si="2"/>
        <v>
</v>
      </c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0"/>
      <c r="B184" s="12"/>
      <c r="C184" s="12"/>
      <c r="D184" s="23"/>
      <c r="E184" s="22"/>
      <c r="F184" s="12"/>
      <c r="G184" s="12"/>
      <c r="H184" s="12"/>
      <c r="I184" s="35"/>
      <c r="J184" s="12"/>
      <c r="K184" s="23"/>
      <c r="L184" s="24"/>
      <c r="M184" s="12"/>
      <c r="N184" s="26" t="str">
        <f t="shared" si="2"/>
        <v>
</v>
      </c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0"/>
      <c r="B185" s="12"/>
      <c r="C185" s="12"/>
      <c r="D185" s="23"/>
      <c r="E185" s="22"/>
      <c r="F185" s="12"/>
      <c r="G185" s="12"/>
      <c r="H185" s="12"/>
      <c r="I185" s="23"/>
      <c r="J185" s="12"/>
      <c r="K185" s="23"/>
      <c r="L185" s="24"/>
      <c r="M185" s="12"/>
      <c r="N185" s="26" t="str">
        <f t="shared" si="2"/>
        <v>
</v>
      </c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0"/>
      <c r="B186" s="12"/>
      <c r="C186" s="12"/>
      <c r="D186" s="47"/>
      <c r="E186" s="12"/>
      <c r="F186" s="12"/>
      <c r="G186" s="22"/>
      <c r="H186" s="12"/>
      <c r="I186" s="35"/>
      <c r="J186" s="12"/>
      <c r="K186" s="23"/>
      <c r="L186" s="24"/>
      <c r="M186" s="12"/>
      <c r="N186" s="26" t="str">
        <f t="shared" si="2"/>
        <v>
</v>
      </c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0"/>
      <c r="B187" s="12"/>
      <c r="C187" s="12"/>
      <c r="D187" s="23"/>
      <c r="E187" s="22"/>
      <c r="F187" s="12"/>
      <c r="G187" s="22"/>
      <c r="H187" s="22"/>
      <c r="I187" s="35"/>
      <c r="J187" s="12"/>
      <c r="K187" s="23"/>
      <c r="L187" s="24"/>
      <c r="M187" s="12"/>
      <c r="N187" s="26" t="str">
        <f t="shared" si="2"/>
        <v>
</v>
      </c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0"/>
      <c r="B188" s="12"/>
      <c r="C188" s="12"/>
      <c r="D188" s="23"/>
      <c r="E188" s="22"/>
      <c r="F188" s="12"/>
      <c r="G188" s="12"/>
      <c r="H188" s="12"/>
      <c r="I188" s="23"/>
      <c r="J188" s="12"/>
      <c r="K188" s="23"/>
      <c r="L188" s="24"/>
      <c r="M188" s="12"/>
      <c r="N188" s="26" t="str">
        <f t="shared" si="2"/>
        <v>
</v>
      </c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0"/>
      <c r="B189" s="12"/>
      <c r="C189" s="12"/>
      <c r="D189" s="23"/>
      <c r="E189" s="22"/>
      <c r="F189" s="12"/>
      <c r="G189" s="22"/>
      <c r="H189" s="12"/>
      <c r="I189" s="23"/>
      <c r="J189" s="12"/>
      <c r="K189" s="23"/>
      <c r="L189" s="24"/>
      <c r="M189" s="12"/>
      <c r="N189" s="26" t="str">
        <f t="shared" si="2"/>
        <v>
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0"/>
      <c r="B190" s="12"/>
      <c r="C190" s="12"/>
      <c r="D190" s="23"/>
      <c r="E190" s="22"/>
      <c r="F190" s="12"/>
      <c r="G190" s="12"/>
      <c r="H190" s="12"/>
      <c r="I190" s="23"/>
      <c r="J190" s="12"/>
      <c r="K190" s="23"/>
      <c r="L190" s="24"/>
      <c r="M190" s="12"/>
      <c r="N190" s="26" t="str">
        <f t="shared" si="2"/>
        <v>
</v>
      </c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0"/>
      <c r="B191" s="12"/>
      <c r="C191" s="12"/>
      <c r="D191" s="23"/>
      <c r="E191" s="22"/>
      <c r="F191" s="12"/>
      <c r="G191" s="12"/>
      <c r="H191" s="12"/>
      <c r="I191" s="23"/>
      <c r="J191" s="12"/>
      <c r="K191" s="23"/>
      <c r="L191" s="24"/>
      <c r="M191" s="12"/>
      <c r="N191" s="26" t="str">
        <f t="shared" si="2"/>
        <v>
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0"/>
      <c r="B192" s="12"/>
      <c r="C192" s="12"/>
      <c r="D192" s="23"/>
      <c r="E192" s="12"/>
      <c r="F192" s="12"/>
      <c r="G192" s="12"/>
      <c r="H192" s="12"/>
      <c r="I192" s="23"/>
      <c r="J192" s="12"/>
      <c r="K192" s="23"/>
      <c r="L192" s="24"/>
      <c r="M192" s="12"/>
      <c r="N192" s="26" t="str">
        <f t="shared" si="2"/>
        <v>
</v>
      </c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0"/>
      <c r="B193" s="12"/>
      <c r="C193" s="12"/>
      <c r="D193" s="23"/>
      <c r="E193" s="12"/>
      <c r="F193" s="12"/>
      <c r="G193" s="12"/>
      <c r="H193" s="12"/>
      <c r="I193" s="23"/>
      <c r="J193" s="12"/>
      <c r="K193" s="23"/>
      <c r="L193" s="24"/>
      <c r="M193" s="12"/>
      <c r="N193" s="26" t="str">
        <f t="shared" si="2"/>
        <v>
</v>
      </c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0"/>
      <c r="B194" s="12"/>
      <c r="C194" s="12"/>
      <c r="D194" s="35"/>
      <c r="E194" s="22"/>
      <c r="F194" s="12"/>
      <c r="G194" s="12"/>
      <c r="H194" s="12"/>
      <c r="I194" s="23"/>
      <c r="J194" s="12"/>
      <c r="K194" s="23"/>
      <c r="L194" s="24"/>
      <c r="M194" s="12"/>
      <c r="N194" s="26" t="str">
        <f t="shared" si="2"/>
        <v>
</v>
      </c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0"/>
      <c r="B195" s="12"/>
      <c r="C195" s="12"/>
      <c r="D195" s="23"/>
      <c r="E195" s="22"/>
      <c r="F195" s="12"/>
      <c r="G195" s="12"/>
      <c r="H195" s="12"/>
      <c r="I195" s="23"/>
      <c r="J195" s="12"/>
      <c r="K195" s="23"/>
      <c r="L195" s="24"/>
      <c r="M195" s="12"/>
      <c r="N195" s="26" t="str">
        <f t="shared" si="2"/>
        <v>
</v>
      </c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0"/>
      <c r="B196" s="12"/>
      <c r="C196" s="12"/>
      <c r="D196" s="23"/>
      <c r="E196" s="22"/>
      <c r="F196" s="12"/>
      <c r="G196" s="12"/>
      <c r="H196" s="12"/>
      <c r="I196" s="23"/>
      <c r="J196" s="12"/>
      <c r="K196" s="23"/>
      <c r="L196" s="24"/>
      <c r="M196" s="12"/>
      <c r="N196" s="26" t="str">
        <f t="shared" si="2"/>
        <v>
</v>
      </c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0"/>
      <c r="B197" s="12"/>
      <c r="C197" s="12"/>
      <c r="D197" s="23"/>
      <c r="E197" s="22"/>
      <c r="F197" s="12"/>
      <c r="G197" s="12"/>
      <c r="H197" s="12"/>
      <c r="I197" s="23"/>
      <c r="J197" s="12"/>
      <c r="K197" s="23"/>
      <c r="L197" s="24"/>
      <c r="M197" s="12"/>
      <c r="N197" s="26" t="str">
        <f t="shared" si="2"/>
        <v>
</v>
      </c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0"/>
      <c r="B198" s="12"/>
      <c r="C198" s="12"/>
      <c r="D198" s="35"/>
      <c r="E198" s="22"/>
      <c r="F198" s="12"/>
      <c r="G198" s="12"/>
      <c r="H198" s="12"/>
      <c r="I198" s="23"/>
      <c r="J198" s="12"/>
      <c r="K198" s="23"/>
      <c r="L198" s="24"/>
      <c r="M198" s="12"/>
      <c r="N198" s="26" t="str">
        <f t="shared" si="2"/>
        <v>
</v>
      </c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0"/>
      <c r="B199" s="12"/>
      <c r="C199" s="12"/>
      <c r="D199" s="23"/>
      <c r="E199" s="22"/>
      <c r="F199" s="12"/>
      <c r="G199" s="22"/>
      <c r="H199" s="12"/>
      <c r="I199" s="23"/>
      <c r="J199" s="12"/>
      <c r="K199" s="23"/>
      <c r="L199" s="24"/>
      <c r="M199" s="12"/>
      <c r="N199" s="26" t="str">
        <f t="shared" si="2"/>
        <v>
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0"/>
      <c r="B200" s="12"/>
      <c r="C200" s="12"/>
      <c r="D200" s="23"/>
      <c r="E200" s="22"/>
      <c r="F200" s="12"/>
      <c r="G200" s="22"/>
      <c r="H200" s="12"/>
      <c r="I200" s="23"/>
      <c r="J200" s="12"/>
      <c r="K200" s="23"/>
      <c r="L200" s="24"/>
      <c r="M200" s="12"/>
      <c r="N200" s="26" t="str">
        <f t="shared" si="2"/>
        <v>
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0"/>
      <c r="B201" s="12"/>
      <c r="C201" s="12"/>
      <c r="D201" s="23"/>
      <c r="E201" s="22"/>
      <c r="F201" s="12"/>
      <c r="G201" s="12"/>
      <c r="H201" s="12"/>
      <c r="I201" s="23"/>
      <c r="J201" s="12"/>
      <c r="K201" s="23"/>
      <c r="L201" s="24"/>
      <c r="M201" s="12"/>
      <c r="N201" s="26" t="str">
        <f t="shared" si="2"/>
        <v>
</v>
      </c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0"/>
      <c r="B202" s="12"/>
      <c r="C202" s="12"/>
      <c r="D202" s="23"/>
      <c r="E202" s="22"/>
      <c r="F202" s="12"/>
      <c r="G202" s="12"/>
      <c r="H202" s="12"/>
      <c r="I202" s="23"/>
      <c r="J202" s="12"/>
      <c r="K202" s="23"/>
      <c r="L202" s="24"/>
      <c r="M202" s="12"/>
      <c r="N202" s="26" t="str">
        <f t="shared" si="2"/>
        <v>
</v>
      </c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0"/>
      <c r="B203" s="12"/>
      <c r="C203" s="12"/>
      <c r="D203" s="23"/>
      <c r="E203" s="12"/>
      <c r="F203" s="12"/>
      <c r="G203" s="12"/>
      <c r="H203" s="12"/>
      <c r="I203" s="23"/>
      <c r="J203" s="12"/>
      <c r="K203" s="23"/>
      <c r="L203" s="24"/>
      <c r="M203" s="12"/>
      <c r="N203" s="26" t="str">
        <f t="shared" si="2"/>
        <v>
</v>
      </c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0"/>
      <c r="B204" s="12"/>
      <c r="C204" s="12"/>
      <c r="D204" s="23"/>
      <c r="E204" s="22"/>
      <c r="F204" s="12"/>
      <c r="G204" s="12"/>
      <c r="H204" s="12"/>
      <c r="I204" s="23"/>
      <c r="J204" s="12"/>
      <c r="K204" s="23"/>
      <c r="L204" s="24"/>
      <c r="M204" s="12"/>
      <c r="N204" s="26" t="str">
        <f t="shared" si="2"/>
        <v>
</v>
      </c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0"/>
      <c r="B205" s="12"/>
      <c r="C205" s="12"/>
      <c r="D205" s="23"/>
      <c r="E205" s="22"/>
      <c r="F205" s="12"/>
      <c r="G205" s="12"/>
      <c r="H205" s="12"/>
      <c r="I205" s="23"/>
      <c r="J205" s="12"/>
      <c r="K205" s="23"/>
      <c r="L205" s="24"/>
      <c r="M205" s="12"/>
      <c r="N205" s="26" t="str">
        <f t="shared" si="2"/>
        <v>
</v>
      </c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0"/>
      <c r="B206" s="12"/>
      <c r="C206" s="12"/>
      <c r="D206" s="23"/>
      <c r="E206" s="22"/>
      <c r="F206" s="12"/>
      <c r="G206" s="12"/>
      <c r="H206" s="12"/>
      <c r="I206" s="23"/>
      <c r="J206" s="12"/>
      <c r="K206" s="23"/>
      <c r="L206" s="24"/>
      <c r="M206" s="12"/>
      <c r="N206" s="26" t="str">
        <f t="shared" si="2"/>
        <v>
</v>
      </c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0"/>
      <c r="B207" s="12"/>
      <c r="C207" s="12"/>
      <c r="D207" s="23"/>
      <c r="E207" s="22"/>
      <c r="F207" s="12"/>
      <c r="G207" s="12"/>
      <c r="H207" s="12"/>
      <c r="I207" s="23"/>
      <c r="J207" s="12"/>
      <c r="K207" s="23"/>
      <c r="L207" s="24"/>
      <c r="M207" s="12"/>
      <c r="N207" s="26" t="str">
        <f t="shared" si="2"/>
        <v>
</v>
      </c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0"/>
      <c r="B208" s="12"/>
      <c r="C208" s="12"/>
      <c r="D208" s="23"/>
      <c r="E208" s="12"/>
      <c r="F208" s="12"/>
      <c r="G208" s="12"/>
      <c r="H208" s="12"/>
      <c r="I208" s="23"/>
      <c r="J208" s="12"/>
      <c r="K208" s="23"/>
      <c r="L208" s="24"/>
      <c r="M208" s="12"/>
      <c r="N208" s="26" t="str">
        <f t="shared" si="2"/>
        <v>
</v>
      </c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0"/>
      <c r="B209" s="12"/>
      <c r="C209" s="12"/>
      <c r="D209" s="23"/>
      <c r="E209" s="22"/>
      <c r="F209" s="12"/>
      <c r="G209" s="12"/>
      <c r="H209" s="12"/>
      <c r="I209" s="23"/>
      <c r="J209" s="12"/>
      <c r="K209" s="23"/>
      <c r="L209" s="24"/>
      <c r="M209" s="12"/>
      <c r="N209" s="26" t="str">
        <f t="shared" si="2"/>
        <v>
</v>
      </c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0"/>
      <c r="B210" s="12"/>
      <c r="C210" s="12"/>
      <c r="D210" s="23"/>
      <c r="E210" s="22"/>
      <c r="F210" s="12"/>
      <c r="G210" s="22"/>
      <c r="H210" s="12"/>
      <c r="I210" s="35"/>
      <c r="J210" s="12"/>
      <c r="K210" s="23"/>
      <c r="L210" s="24"/>
      <c r="M210" s="12"/>
      <c r="N210" s="26" t="str">
        <f t="shared" si="2"/>
        <v>
</v>
      </c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0"/>
      <c r="B211" s="12"/>
      <c r="C211" s="12"/>
      <c r="D211" s="23"/>
      <c r="E211" s="22"/>
      <c r="F211" s="12"/>
      <c r="G211" s="22"/>
      <c r="H211" s="12"/>
      <c r="I211" s="35"/>
      <c r="J211" s="12"/>
      <c r="K211" s="23"/>
      <c r="L211" s="24"/>
      <c r="M211" s="12"/>
      <c r="N211" s="26" t="str">
        <f t="shared" si="2"/>
        <v>
</v>
      </c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0"/>
      <c r="B212" s="12"/>
      <c r="C212" s="12"/>
      <c r="D212" s="23"/>
      <c r="E212" s="22"/>
      <c r="F212" s="12"/>
      <c r="G212" s="12"/>
      <c r="H212" s="12"/>
      <c r="I212" s="23"/>
      <c r="J212" s="12"/>
      <c r="K212" s="23"/>
      <c r="L212" s="24"/>
      <c r="M212" s="12"/>
      <c r="N212" s="26" t="str">
        <f t="shared" si="2"/>
        <v>
</v>
      </c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0"/>
      <c r="B213" s="12"/>
      <c r="C213" s="12"/>
      <c r="D213" s="35"/>
      <c r="E213" s="22"/>
      <c r="F213" s="12"/>
      <c r="G213" s="12"/>
      <c r="H213" s="12"/>
      <c r="I213" s="23"/>
      <c r="J213" s="12"/>
      <c r="K213" s="23"/>
      <c r="L213" s="24"/>
      <c r="M213" s="12"/>
      <c r="N213" s="26" t="str">
        <f t="shared" si="2"/>
        <v>
</v>
      </c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0"/>
      <c r="B214" s="12"/>
      <c r="C214" s="12"/>
      <c r="D214" s="23"/>
      <c r="E214" s="22"/>
      <c r="F214" s="12"/>
      <c r="G214" s="12"/>
      <c r="H214" s="12"/>
      <c r="I214" s="23"/>
      <c r="J214" s="12"/>
      <c r="K214" s="23"/>
      <c r="L214" s="24"/>
      <c r="M214" s="12"/>
      <c r="N214" s="26" t="str">
        <f t="shared" si="2"/>
        <v>
</v>
      </c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0"/>
      <c r="B215" s="12"/>
      <c r="C215" s="12"/>
      <c r="D215" s="23"/>
      <c r="E215" s="12"/>
      <c r="F215" s="12"/>
      <c r="G215" s="12"/>
      <c r="H215" s="12"/>
      <c r="I215" s="23"/>
      <c r="J215" s="12"/>
      <c r="K215" s="23"/>
      <c r="L215" s="24"/>
      <c r="M215" s="12"/>
      <c r="N215" s="26" t="str">
        <f t="shared" si="2"/>
        <v>
</v>
      </c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0"/>
      <c r="B216" s="12"/>
      <c r="C216" s="12"/>
      <c r="D216" s="23"/>
      <c r="E216" s="22"/>
      <c r="F216" s="12"/>
      <c r="G216" s="22"/>
      <c r="H216" s="12"/>
      <c r="I216" s="35"/>
      <c r="J216" s="12"/>
      <c r="K216" s="23"/>
      <c r="L216" s="24"/>
      <c r="M216" s="39"/>
      <c r="N216" s="26" t="str">
        <f t="shared" si="2"/>
        <v>
</v>
      </c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0"/>
      <c r="B217" s="12"/>
      <c r="C217" s="12"/>
      <c r="D217" s="35"/>
      <c r="E217" s="22"/>
      <c r="F217" s="12"/>
      <c r="G217" s="22"/>
      <c r="H217" s="22"/>
      <c r="I217" s="35"/>
      <c r="J217" s="22"/>
      <c r="K217" s="35"/>
      <c r="L217" s="24"/>
      <c r="M217" s="12"/>
      <c r="N217" s="26" t="str">
        <f t="shared" si="2"/>
        <v>
</v>
      </c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0"/>
      <c r="B218" s="12"/>
      <c r="C218" s="12"/>
      <c r="D218" s="23"/>
      <c r="E218" s="22"/>
      <c r="F218" s="12"/>
      <c r="G218" s="12"/>
      <c r="H218" s="12"/>
      <c r="I218" s="23"/>
      <c r="J218" s="12"/>
      <c r="K218" s="23"/>
      <c r="L218" s="24"/>
      <c r="M218" s="12"/>
      <c r="N218" s="26" t="str">
        <f t="shared" si="2"/>
        <v>
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0"/>
      <c r="B219" s="12"/>
      <c r="C219" s="12"/>
      <c r="D219" s="23"/>
      <c r="E219" s="22"/>
      <c r="F219" s="12"/>
      <c r="G219" s="22"/>
      <c r="H219" s="12"/>
      <c r="I219" s="23"/>
      <c r="J219" s="12"/>
      <c r="K219" s="23"/>
      <c r="L219" s="24"/>
      <c r="M219" s="12"/>
      <c r="N219" s="26" t="str">
        <f t="shared" si="2"/>
        <v>
</v>
      </c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0"/>
      <c r="B220" s="12"/>
      <c r="C220" s="12"/>
      <c r="D220" s="35"/>
      <c r="E220" s="22"/>
      <c r="F220" s="12"/>
      <c r="G220" s="12"/>
      <c r="H220" s="12"/>
      <c r="I220" s="35"/>
      <c r="J220" s="12"/>
      <c r="K220" s="23"/>
      <c r="L220" s="24"/>
      <c r="M220" s="12"/>
      <c r="N220" s="26" t="str">
        <f t="shared" si="2"/>
        <v>
</v>
      </c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0"/>
      <c r="B221" s="12"/>
      <c r="C221" s="12"/>
      <c r="D221" s="23"/>
      <c r="E221" s="22"/>
      <c r="F221" s="12"/>
      <c r="G221" s="12"/>
      <c r="H221" s="12"/>
      <c r="I221" s="35"/>
      <c r="J221" s="12"/>
      <c r="K221" s="23"/>
      <c r="L221" s="24"/>
      <c r="M221" s="12"/>
      <c r="N221" s="26" t="str">
        <f t="shared" si="2"/>
        <v>
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0"/>
      <c r="B222" s="12"/>
      <c r="C222" s="12"/>
      <c r="D222" s="23"/>
      <c r="E222" s="22"/>
      <c r="F222" s="12"/>
      <c r="G222" s="12"/>
      <c r="H222" s="12"/>
      <c r="I222" s="35"/>
      <c r="J222" s="12"/>
      <c r="K222" s="23"/>
      <c r="L222" s="24"/>
      <c r="M222" s="12"/>
      <c r="N222" s="26" t="str">
        <f t="shared" si="2"/>
        <v>
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0"/>
      <c r="B223" s="12"/>
      <c r="C223" s="12"/>
      <c r="D223" s="23"/>
      <c r="E223" s="22"/>
      <c r="F223" s="12"/>
      <c r="G223" s="12"/>
      <c r="H223" s="12"/>
      <c r="I223" s="35"/>
      <c r="J223" s="12"/>
      <c r="K223" s="23"/>
      <c r="L223" s="24"/>
      <c r="M223" s="12"/>
      <c r="N223" s="26" t="str">
        <f t="shared" si="2"/>
        <v>
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0"/>
      <c r="B224" s="12"/>
      <c r="C224" s="12"/>
      <c r="D224" s="23"/>
      <c r="E224" s="22"/>
      <c r="F224" s="12"/>
      <c r="G224" s="12"/>
      <c r="H224" s="12"/>
      <c r="I224" s="23"/>
      <c r="J224" s="12"/>
      <c r="K224" s="23"/>
      <c r="L224" s="24"/>
      <c r="M224" s="12"/>
      <c r="N224" s="26" t="str">
        <f t="shared" si="2"/>
        <v>
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0"/>
      <c r="B225" s="12"/>
      <c r="C225" s="12"/>
      <c r="D225" s="23"/>
      <c r="E225" s="12"/>
      <c r="F225" s="12"/>
      <c r="G225" s="12"/>
      <c r="H225" s="12"/>
      <c r="I225" s="23"/>
      <c r="J225" s="12"/>
      <c r="K225" s="23"/>
      <c r="L225" s="24"/>
      <c r="M225" s="12"/>
      <c r="N225" s="26" t="str">
        <f t="shared" si="2"/>
        <v>
</v>
      </c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0"/>
      <c r="B226" s="12"/>
      <c r="C226" s="12"/>
      <c r="D226" s="23"/>
      <c r="E226" s="22"/>
      <c r="F226" s="12"/>
      <c r="G226" s="12"/>
      <c r="H226" s="12"/>
      <c r="I226" s="23"/>
      <c r="J226" s="12"/>
      <c r="K226" s="23"/>
      <c r="L226" s="24"/>
      <c r="M226" s="12"/>
      <c r="N226" s="26" t="str">
        <f t="shared" si="2"/>
        <v>
</v>
      </c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0"/>
      <c r="B227" s="12"/>
      <c r="C227" s="12"/>
      <c r="D227" s="23"/>
      <c r="E227" s="22"/>
      <c r="F227" s="12"/>
      <c r="G227" s="12"/>
      <c r="H227" s="12"/>
      <c r="I227" s="23"/>
      <c r="J227" s="12"/>
      <c r="K227" s="23"/>
      <c r="L227" s="24"/>
      <c r="M227" s="12"/>
      <c r="N227" s="26" t="str">
        <f t="shared" si="2"/>
        <v>
</v>
      </c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0"/>
      <c r="B228" s="12"/>
      <c r="C228" s="12"/>
      <c r="D228" s="23"/>
      <c r="E228" s="22"/>
      <c r="F228" s="12"/>
      <c r="G228" s="12"/>
      <c r="H228" s="12"/>
      <c r="I228" s="23"/>
      <c r="J228" s="12"/>
      <c r="K228" s="23"/>
      <c r="L228" s="24"/>
      <c r="M228" s="12"/>
      <c r="N228" s="26" t="str">
        <f t="shared" si="2"/>
        <v>
</v>
      </c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0"/>
      <c r="B229" s="12"/>
      <c r="C229" s="12"/>
      <c r="D229" s="23"/>
      <c r="E229" s="22"/>
      <c r="F229" s="12"/>
      <c r="G229" s="22"/>
      <c r="H229" s="12"/>
      <c r="I229" s="23"/>
      <c r="J229" s="12"/>
      <c r="K229" s="23"/>
      <c r="L229" s="24"/>
      <c r="M229" s="12"/>
      <c r="N229" s="26" t="str">
        <f t="shared" si="2"/>
        <v>
</v>
      </c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0"/>
      <c r="B230" s="12"/>
      <c r="C230" s="12"/>
      <c r="D230" s="35"/>
      <c r="E230" s="22"/>
      <c r="F230" s="12"/>
      <c r="G230" s="12"/>
      <c r="H230" s="12"/>
      <c r="I230" s="35"/>
      <c r="J230" s="12"/>
      <c r="K230" s="23"/>
      <c r="L230" s="24"/>
      <c r="M230" s="12"/>
      <c r="N230" s="26" t="str">
        <f t="shared" si="2"/>
        <v>
</v>
      </c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0"/>
      <c r="B231" s="12"/>
      <c r="C231" s="12"/>
      <c r="D231" s="23"/>
      <c r="E231" s="22"/>
      <c r="F231" s="12"/>
      <c r="G231" s="12"/>
      <c r="H231" s="12"/>
      <c r="I231" s="23"/>
      <c r="J231" s="12"/>
      <c r="K231" s="23"/>
      <c r="L231" s="24"/>
      <c r="M231" s="12"/>
      <c r="N231" s="26" t="str">
        <f t="shared" si="2"/>
        <v>
</v>
      </c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0"/>
      <c r="B232" s="12"/>
      <c r="C232" s="12"/>
      <c r="D232" s="23"/>
      <c r="E232" s="22"/>
      <c r="F232" s="12"/>
      <c r="G232" s="12"/>
      <c r="H232" s="12"/>
      <c r="I232" s="23"/>
      <c r="J232" s="12"/>
      <c r="K232" s="23"/>
      <c r="L232" s="24"/>
      <c r="M232" s="12"/>
      <c r="N232" s="26" t="str">
        <f t="shared" si="2"/>
        <v>
</v>
      </c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0"/>
      <c r="B233" s="12"/>
      <c r="C233" s="12"/>
      <c r="D233" s="23"/>
      <c r="E233" s="22"/>
      <c r="F233" s="12"/>
      <c r="G233" s="12"/>
      <c r="H233" s="12"/>
      <c r="I233" s="23"/>
      <c r="J233" s="12"/>
      <c r="K233" s="23"/>
      <c r="L233" s="24"/>
      <c r="M233" s="12"/>
      <c r="N233" s="26" t="str">
        <f t="shared" si="2"/>
        <v>
</v>
      </c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0"/>
      <c r="B234" s="12"/>
      <c r="C234" s="12"/>
      <c r="D234" s="23"/>
      <c r="E234" s="22"/>
      <c r="F234" s="12"/>
      <c r="G234" s="12"/>
      <c r="H234" s="12"/>
      <c r="I234" s="23"/>
      <c r="J234" s="12"/>
      <c r="K234" s="23"/>
      <c r="L234" s="24"/>
      <c r="M234" s="12"/>
      <c r="N234" s="26" t="str">
        <f t="shared" si="2"/>
        <v>
</v>
      </c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0"/>
      <c r="B235" s="12"/>
      <c r="C235" s="12"/>
      <c r="D235" s="23"/>
      <c r="E235" s="12"/>
      <c r="F235" s="12"/>
      <c r="G235" s="12"/>
      <c r="H235" s="12"/>
      <c r="I235" s="23"/>
      <c r="J235" s="12"/>
      <c r="K235" s="23"/>
      <c r="L235" s="24"/>
      <c r="M235" s="12"/>
      <c r="N235" s="26" t="str">
        <f t="shared" si="2"/>
        <v>
</v>
      </c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0"/>
      <c r="B236" s="12"/>
      <c r="C236" s="12"/>
      <c r="D236" s="23"/>
      <c r="E236" s="22"/>
      <c r="F236" s="12"/>
      <c r="G236" s="12"/>
      <c r="H236" s="12"/>
      <c r="I236" s="23"/>
      <c r="J236" s="12"/>
      <c r="K236" s="23"/>
      <c r="L236" s="24"/>
      <c r="M236" s="12"/>
      <c r="N236" s="26" t="str">
        <f t="shared" si="2"/>
        <v>
</v>
      </c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0"/>
      <c r="B237" s="12"/>
      <c r="C237" s="12"/>
      <c r="D237" s="23"/>
      <c r="E237" s="22"/>
      <c r="F237" s="12"/>
      <c r="G237" s="12"/>
      <c r="H237" s="12"/>
      <c r="I237" s="23"/>
      <c r="J237" s="12"/>
      <c r="K237" s="23"/>
      <c r="L237" s="24"/>
      <c r="M237" s="12"/>
      <c r="N237" s="26" t="str">
        <f t="shared" si="2"/>
        <v>
</v>
      </c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0"/>
      <c r="B238" s="12"/>
      <c r="C238" s="12"/>
      <c r="D238" s="23"/>
      <c r="E238" s="12"/>
      <c r="F238" s="12"/>
      <c r="G238" s="12"/>
      <c r="H238" s="12"/>
      <c r="I238" s="23"/>
      <c r="J238" s="12"/>
      <c r="K238" s="23"/>
      <c r="L238" s="24"/>
      <c r="M238" s="12"/>
      <c r="N238" s="26" t="str">
        <f t="shared" si="2"/>
        <v>
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0"/>
      <c r="B239" s="12"/>
      <c r="C239" s="12"/>
      <c r="D239" s="23"/>
      <c r="E239" s="22"/>
      <c r="F239" s="12"/>
      <c r="G239" s="12"/>
      <c r="H239" s="12"/>
      <c r="I239" s="23"/>
      <c r="J239" s="12"/>
      <c r="K239" s="23"/>
      <c r="L239" s="24"/>
      <c r="M239" s="12"/>
      <c r="N239" s="26" t="str">
        <f t="shared" si="2"/>
        <v>
</v>
      </c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0"/>
      <c r="B240" s="12"/>
      <c r="C240" s="12"/>
      <c r="D240" s="23"/>
      <c r="E240" s="12"/>
      <c r="F240" s="12"/>
      <c r="G240" s="12"/>
      <c r="H240" s="12"/>
      <c r="I240" s="23"/>
      <c r="J240" s="12"/>
      <c r="K240" s="23"/>
      <c r="L240" s="24"/>
      <c r="M240" s="12"/>
      <c r="N240" s="26" t="str">
        <f t="shared" si="2"/>
        <v>
</v>
      </c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0"/>
      <c r="B241" s="12"/>
      <c r="C241" s="12"/>
      <c r="D241" s="23"/>
      <c r="E241" s="12"/>
      <c r="F241" s="12"/>
      <c r="G241" s="12"/>
      <c r="H241" s="12"/>
      <c r="I241" s="23"/>
      <c r="J241" s="12"/>
      <c r="K241" s="23"/>
      <c r="L241" s="24"/>
      <c r="M241" s="12"/>
      <c r="N241" s="26" t="str">
        <f t="shared" si="2"/>
        <v>
</v>
      </c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0"/>
      <c r="B242" s="12"/>
      <c r="C242" s="12"/>
      <c r="D242" s="23"/>
      <c r="E242" s="12"/>
      <c r="F242" s="12"/>
      <c r="G242" s="12"/>
      <c r="H242" s="12"/>
      <c r="I242" s="23"/>
      <c r="J242" s="12"/>
      <c r="K242" s="23"/>
      <c r="L242" s="24"/>
      <c r="M242" s="12"/>
      <c r="N242" s="26" t="str">
        <f t="shared" si="2"/>
        <v>
</v>
      </c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0"/>
      <c r="B243" s="12"/>
      <c r="C243" s="12"/>
      <c r="D243" s="23"/>
      <c r="E243" s="12"/>
      <c r="F243" s="12"/>
      <c r="G243" s="12"/>
      <c r="H243" s="12"/>
      <c r="I243" s="23"/>
      <c r="J243" s="12"/>
      <c r="K243" s="23"/>
      <c r="L243" s="24"/>
      <c r="M243" s="12"/>
      <c r="N243" s="26" t="str">
        <f t="shared" si="2"/>
        <v>
</v>
      </c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0"/>
      <c r="B244" s="12"/>
      <c r="C244" s="12"/>
      <c r="D244" s="23"/>
      <c r="E244" s="22"/>
      <c r="F244" s="12"/>
      <c r="G244" s="12"/>
      <c r="H244" s="12"/>
      <c r="I244" s="23"/>
      <c r="J244" s="12"/>
      <c r="K244" s="23"/>
      <c r="L244" s="24"/>
      <c r="M244" s="12"/>
      <c r="N244" s="26" t="str">
        <f t="shared" si="2"/>
        <v>
</v>
      </c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0"/>
      <c r="B245" s="12"/>
      <c r="C245" s="12"/>
      <c r="D245" s="23"/>
      <c r="E245" s="12"/>
      <c r="F245" s="12"/>
      <c r="G245" s="12"/>
      <c r="H245" s="12"/>
      <c r="I245" s="23"/>
      <c r="J245" s="12"/>
      <c r="K245" s="23"/>
      <c r="L245" s="24"/>
      <c r="M245" s="12"/>
      <c r="N245" s="26" t="str">
        <f t="shared" si="2"/>
        <v>
</v>
      </c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0"/>
      <c r="B246" s="12"/>
      <c r="C246" s="12"/>
      <c r="D246" s="23"/>
      <c r="E246" s="12"/>
      <c r="F246" s="12"/>
      <c r="G246" s="12"/>
      <c r="H246" s="12"/>
      <c r="I246" s="23"/>
      <c r="J246" s="12"/>
      <c r="K246" s="23"/>
      <c r="L246" s="24"/>
      <c r="M246" s="12"/>
      <c r="N246" s="26" t="str">
        <f t="shared" si="2"/>
        <v>
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0"/>
      <c r="B247" s="12"/>
      <c r="C247" s="12"/>
      <c r="D247" s="23"/>
      <c r="E247" s="22"/>
      <c r="F247" s="12"/>
      <c r="G247" s="12"/>
      <c r="H247" s="12"/>
      <c r="I247" s="23"/>
      <c r="J247" s="12"/>
      <c r="K247" s="23"/>
      <c r="L247" s="24"/>
      <c r="M247" s="12"/>
      <c r="N247" s="26" t="str">
        <f t="shared" si="2"/>
        <v>
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0"/>
      <c r="B248" s="12"/>
      <c r="C248" s="12"/>
      <c r="D248" s="23"/>
      <c r="E248" s="22"/>
      <c r="F248" s="12"/>
      <c r="G248" s="12"/>
      <c r="H248" s="12"/>
      <c r="I248" s="23"/>
      <c r="J248" s="12"/>
      <c r="K248" s="23"/>
      <c r="L248" s="24"/>
      <c r="M248" s="12"/>
      <c r="N248" s="26" t="str">
        <f t="shared" si="2"/>
        <v>
</v>
      </c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0"/>
      <c r="B249" s="12"/>
      <c r="C249" s="12"/>
      <c r="D249" s="23"/>
      <c r="E249" s="12"/>
      <c r="F249" s="12"/>
      <c r="G249" s="12"/>
      <c r="H249" s="12"/>
      <c r="I249" s="23"/>
      <c r="J249" s="12"/>
      <c r="K249" s="23"/>
      <c r="L249" s="24"/>
      <c r="M249" s="12"/>
      <c r="N249" s="26" t="str">
        <f t="shared" si="2"/>
        <v>
</v>
      </c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0"/>
      <c r="B250" s="12"/>
      <c r="C250" s="12"/>
      <c r="D250" s="23"/>
      <c r="E250" s="12"/>
      <c r="F250" s="12"/>
      <c r="G250" s="12"/>
      <c r="H250" s="12"/>
      <c r="I250" s="23"/>
      <c r="J250" s="12"/>
      <c r="K250" s="23"/>
      <c r="L250" s="24"/>
      <c r="M250" s="12"/>
      <c r="N250" s="26" t="str">
        <f t="shared" si="2"/>
        <v>
</v>
      </c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0"/>
      <c r="B251" s="12"/>
      <c r="C251" s="12"/>
      <c r="D251" s="23"/>
      <c r="E251" s="22"/>
      <c r="F251" s="12"/>
      <c r="G251" s="12"/>
      <c r="H251" s="12"/>
      <c r="I251" s="23"/>
      <c r="J251" s="12"/>
      <c r="K251" s="23"/>
      <c r="L251" s="24"/>
      <c r="M251" s="12"/>
      <c r="N251" s="26" t="str">
        <f t="shared" si="2"/>
        <v>
</v>
      </c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0"/>
      <c r="B252" s="12"/>
      <c r="C252" s="12"/>
      <c r="D252" s="23"/>
      <c r="E252" s="22"/>
      <c r="F252" s="12"/>
      <c r="G252" s="12"/>
      <c r="H252" s="12"/>
      <c r="I252" s="23"/>
      <c r="J252" s="12"/>
      <c r="K252" s="23"/>
      <c r="L252" s="24"/>
      <c r="M252" s="12"/>
      <c r="N252" s="26" t="str">
        <f t="shared" si="2"/>
        <v>
</v>
      </c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0"/>
      <c r="B253" s="12"/>
      <c r="C253" s="12"/>
      <c r="D253" s="23"/>
      <c r="E253" s="12"/>
      <c r="F253" s="12"/>
      <c r="G253" s="12"/>
      <c r="H253" s="12"/>
      <c r="I253" s="23"/>
      <c r="J253" s="12"/>
      <c r="K253" s="23"/>
      <c r="L253" s="24"/>
      <c r="M253" s="12"/>
      <c r="N253" s="26" t="str">
        <f t="shared" si="2"/>
        <v>
</v>
      </c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0"/>
      <c r="B254" s="12"/>
      <c r="C254" s="12"/>
      <c r="D254" s="23"/>
      <c r="E254" s="12"/>
      <c r="F254" s="12"/>
      <c r="G254" s="12"/>
      <c r="H254" s="12"/>
      <c r="I254" s="23"/>
      <c r="J254" s="12"/>
      <c r="K254" s="23"/>
      <c r="L254" s="24"/>
      <c r="M254" s="12"/>
      <c r="N254" s="26" t="str">
        <f t="shared" si="2"/>
        <v>
</v>
      </c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0"/>
      <c r="B255" s="12"/>
      <c r="C255" s="12"/>
      <c r="D255" s="23"/>
      <c r="E255" s="22"/>
      <c r="F255" s="22"/>
      <c r="G255" s="22"/>
      <c r="H255" s="12"/>
      <c r="I255" s="35"/>
      <c r="J255" s="12"/>
      <c r="K255" s="23"/>
      <c r="L255" s="24"/>
      <c r="M255" s="12"/>
      <c r="N255" s="26" t="str">
        <f t="shared" si="2"/>
        <v>
</v>
      </c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0"/>
      <c r="B256" s="12"/>
      <c r="C256" s="12"/>
      <c r="D256" s="23"/>
      <c r="E256" s="12"/>
      <c r="F256" s="12"/>
      <c r="G256" s="12"/>
      <c r="H256" s="12"/>
      <c r="I256" s="23"/>
      <c r="J256" s="12"/>
      <c r="K256" s="23"/>
      <c r="L256" s="24"/>
      <c r="M256" s="12"/>
      <c r="N256" s="26" t="str">
        <f t="shared" si="2"/>
        <v>
</v>
      </c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0"/>
      <c r="B257" s="12"/>
      <c r="C257" s="12"/>
      <c r="D257" s="23"/>
      <c r="E257" s="12"/>
      <c r="F257" s="12"/>
      <c r="G257" s="12"/>
      <c r="H257" s="12"/>
      <c r="I257" s="23"/>
      <c r="J257" s="12"/>
      <c r="K257" s="23"/>
      <c r="L257" s="24"/>
      <c r="M257" s="12"/>
      <c r="N257" s="26" t="str">
        <f t="shared" si="2"/>
        <v>
</v>
      </c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0"/>
      <c r="B258" s="12"/>
      <c r="C258" s="12"/>
      <c r="D258" s="23"/>
      <c r="E258" s="22"/>
      <c r="F258" s="12"/>
      <c r="G258" s="12"/>
      <c r="H258" s="12"/>
      <c r="I258" s="23"/>
      <c r="J258" s="12"/>
      <c r="K258" s="23"/>
      <c r="L258" s="24"/>
      <c r="M258" s="12"/>
      <c r="N258" s="26" t="str">
        <f t="shared" si="2"/>
        <v>
</v>
      </c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0"/>
      <c r="B259" s="12"/>
      <c r="C259" s="12"/>
      <c r="D259" s="23"/>
      <c r="E259" s="22"/>
      <c r="F259" s="12"/>
      <c r="G259" s="12"/>
      <c r="H259" s="12"/>
      <c r="I259" s="23"/>
      <c r="J259" s="12"/>
      <c r="K259" s="23"/>
      <c r="L259" s="24"/>
      <c r="M259" s="12"/>
      <c r="N259" s="26" t="str">
        <f t="shared" si="2"/>
        <v>
</v>
      </c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0"/>
      <c r="B260" s="12"/>
      <c r="C260" s="12"/>
      <c r="D260" s="23"/>
      <c r="E260" s="12"/>
      <c r="F260" s="12"/>
      <c r="G260" s="12"/>
      <c r="H260" s="12"/>
      <c r="I260" s="23"/>
      <c r="J260" s="12"/>
      <c r="K260" s="23"/>
      <c r="L260" s="24"/>
      <c r="M260" s="12"/>
      <c r="N260" s="26" t="str">
        <f t="shared" si="2"/>
        <v>
</v>
      </c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0"/>
      <c r="B261" s="12"/>
      <c r="C261" s="12"/>
      <c r="D261" s="23"/>
      <c r="E261" s="12"/>
      <c r="F261" s="12"/>
      <c r="G261" s="12"/>
      <c r="H261" s="12"/>
      <c r="I261" s="23"/>
      <c r="J261" s="12"/>
      <c r="K261" s="23"/>
      <c r="L261" s="24"/>
      <c r="M261" s="12"/>
      <c r="N261" s="26" t="str">
        <f t="shared" si="2"/>
        <v>
</v>
      </c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0"/>
      <c r="B262" s="12"/>
      <c r="C262" s="12"/>
      <c r="D262" s="35"/>
      <c r="E262" s="22"/>
      <c r="F262" s="12"/>
      <c r="G262" s="12"/>
      <c r="H262" s="12"/>
      <c r="I262" s="23"/>
      <c r="J262" s="12"/>
      <c r="K262" s="23"/>
      <c r="L262" s="24"/>
      <c r="M262" s="12"/>
      <c r="N262" s="26" t="str">
        <f t="shared" si="2"/>
        <v>
</v>
      </c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0"/>
      <c r="B263" s="12"/>
      <c r="C263" s="12"/>
      <c r="D263" s="23"/>
      <c r="E263" s="12"/>
      <c r="F263" s="12"/>
      <c r="G263" s="12"/>
      <c r="H263" s="12"/>
      <c r="I263" s="23"/>
      <c r="J263" s="12"/>
      <c r="K263" s="23"/>
      <c r="L263" s="24"/>
      <c r="M263" s="12"/>
      <c r="N263" s="26" t="str">
        <f t="shared" si="2"/>
        <v>
</v>
      </c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0"/>
      <c r="B264" s="12"/>
      <c r="C264" s="12"/>
      <c r="D264" s="23"/>
      <c r="E264" s="22"/>
      <c r="F264" s="12"/>
      <c r="G264" s="12"/>
      <c r="H264" s="12"/>
      <c r="I264" s="23"/>
      <c r="J264" s="12"/>
      <c r="K264" s="23"/>
      <c r="L264" s="24"/>
      <c r="M264" s="12"/>
      <c r="N264" s="26" t="str">
        <f t="shared" si="2"/>
        <v>
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0"/>
      <c r="B265" s="12"/>
      <c r="C265" s="12"/>
      <c r="D265" s="23"/>
      <c r="E265" s="12"/>
      <c r="F265" s="12"/>
      <c r="G265" s="12"/>
      <c r="H265" s="12"/>
      <c r="I265" s="23"/>
      <c r="J265" s="12"/>
      <c r="K265" s="35"/>
      <c r="L265" s="24"/>
      <c r="M265" s="12"/>
      <c r="N265" s="26" t="str">
        <f t="shared" si="2"/>
        <v>
</v>
      </c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0"/>
      <c r="B266" s="12"/>
      <c r="C266" s="12"/>
      <c r="D266" s="23"/>
      <c r="E266" s="22"/>
      <c r="F266" s="12"/>
      <c r="G266" s="12"/>
      <c r="H266" s="12"/>
      <c r="I266" s="23"/>
      <c r="J266" s="12"/>
      <c r="K266" s="23"/>
      <c r="L266" s="24"/>
      <c r="M266" s="12"/>
      <c r="N266" s="26" t="str">
        <f t="shared" si="2"/>
        <v>
</v>
      </c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0"/>
      <c r="B267" s="12"/>
      <c r="C267" s="12"/>
      <c r="D267" s="23"/>
      <c r="E267" s="12"/>
      <c r="F267" s="12"/>
      <c r="G267" s="12"/>
      <c r="H267" s="12"/>
      <c r="I267" s="23"/>
      <c r="J267" s="12"/>
      <c r="K267" s="23"/>
      <c r="L267" s="24"/>
      <c r="M267" s="12"/>
      <c r="N267" s="26" t="str">
        <f t="shared" si="2"/>
        <v>
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0"/>
      <c r="B268" s="12"/>
      <c r="C268" s="12"/>
      <c r="D268" s="23"/>
      <c r="E268" s="12"/>
      <c r="F268" s="12"/>
      <c r="G268" s="12"/>
      <c r="H268" s="12"/>
      <c r="I268" s="23"/>
      <c r="J268" s="12"/>
      <c r="K268" s="23"/>
      <c r="L268" s="24"/>
      <c r="M268" s="12"/>
      <c r="N268" s="26" t="str">
        <f t="shared" si="2"/>
        <v>
</v>
      </c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0"/>
      <c r="B269" s="12"/>
      <c r="C269" s="12"/>
      <c r="D269" s="23"/>
      <c r="E269" s="22"/>
      <c r="F269" s="12"/>
      <c r="G269" s="12"/>
      <c r="H269" s="12"/>
      <c r="I269" s="23"/>
      <c r="J269" s="12"/>
      <c r="K269" s="23"/>
      <c r="L269" s="24"/>
      <c r="M269" s="12"/>
      <c r="N269" s="26" t="str">
        <f t="shared" si="2"/>
        <v>
</v>
      </c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0"/>
      <c r="B270" s="12"/>
      <c r="C270" s="12"/>
      <c r="D270" s="23"/>
      <c r="E270" s="12"/>
      <c r="F270" s="12"/>
      <c r="G270" s="12"/>
      <c r="H270" s="12"/>
      <c r="I270" s="23"/>
      <c r="J270" s="12"/>
      <c r="K270" s="23"/>
      <c r="L270" s="24"/>
      <c r="M270" s="12"/>
      <c r="N270" s="26" t="str">
        <f t="shared" si="2"/>
        <v>
</v>
      </c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0"/>
      <c r="B271" s="12"/>
      <c r="C271" s="12"/>
      <c r="D271" s="23"/>
      <c r="E271" s="12"/>
      <c r="F271" s="12"/>
      <c r="G271" s="12"/>
      <c r="H271" s="12"/>
      <c r="I271" s="23"/>
      <c r="J271" s="12"/>
      <c r="K271" s="23"/>
      <c r="L271" s="24"/>
      <c r="M271" s="12"/>
      <c r="N271" s="26" t="str">
        <f t="shared" si="2"/>
        <v>
</v>
      </c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0"/>
      <c r="B272" s="12"/>
      <c r="C272" s="12"/>
      <c r="D272" s="23"/>
      <c r="E272" s="12"/>
      <c r="F272" s="12"/>
      <c r="G272" s="12"/>
      <c r="H272" s="12"/>
      <c r="I272" s="23"/>
      <c r="J272" s="12"/>
      <c r="K272" s="23"/>
      <c r="L272" s="24"/>
      <c r="M272" s="39"/>
      <c r="N272" s="26" t="str">
        <f t="shared" si="2"/>
        <v>
</v>
      </c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0"/>
      <c r="B273" s="12"/>
      <c r="C273" s="12"/>
      <c r="D273" s="23"/>
      <c r="E273" s="12"/>
      <c r="F273" s="12"/>
      <c r="G273" s="12"/>
      <c r="H273" s="12"/>
      <c r="I273" s="23"/>
      <c r="J273" s="12"/>
      <c r="K273" s="23"/>
      <c r="L273" s="24"/>
      <c r="M273" s="12"/>
      <c r="N273" s="26" t="str">
        <f t="shared" si="2"/>
        <v>
</v>
      </c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0"/>
      <c r="B274" s="12"/>
      <c r="C274" s="12"/>
      <c r="D274" s="23"/>
      <c r="E274" s="12"/>
      <c r="F274" s="12"/>
      <c r="G274" s="12"/>
      <c r="H274" s="12"/>
      <c r="I274" s="23"/>
      <c r="J274" s="12"/>
      <c r="K274" s="23"/>
      <c r="L274" s="24"/>
      <c r="M274" s="12"/>
      <c r="N274" s="26" t="str">
        <f t="shared" si="2"/>
        <v>
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0"/>
      <c r="B275" s="12"/>
      <c r="C275" s="12"/>
      <c r="D275" s="23"/>
      <c r="E275" s="12"/>
      <c r="F275" s="12"/>
      <c r="G275" s="12"/>
      <c r="H275" s="12"/>
      <c r="I275" s="23"/>
      <c r="J275" s="12"/>
      <c r="K275" s="23"/>
      <c r="L275" s="24"/>
      <c r="M275" s="12"/>
      <c r="N275" s="26" t="str">
        <f t="shared" si="2"/>
        <v>
</v>
      </c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0"/>
      <c r="B276" s="12"/>
      <c r="C276" s="12"/>
      <c r="D276" s="23"/>
      <c r="E276" s="12"/>
      <c r="F276" s="12"/>
      <c r="G276" s="12"/>
      <c r="H276" s="12"/>
      <c r="I276" s="23"/>
      <c r="J276" s="12"/>
      <c r="K276" s="23"/>
      <c r="L276" s="24"/>
      <c r="M276" s="12"/>
      <c r="N276" s="26" t="str">
        <f t="shared" si="2"/>
        <v>
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0"/>
      <c r="B277" s="12"/>
      <c r="C277" s="12"/>
      <c r="D277" s="23"/>
      <c r="E277" s="12"/>
      <c r="F277" s="12"/>
      <c r="G277" s="12"/>
      <c r="H277" s="12"/>
      <c r="I277" s="23"/>
      <c r="J277" s="12"/>
      <c r="K277" s="23"/>
      <c r="L277" s="24"/>
      <c r="M277" s="12"/>
      <c r="N277" s="26" t="str">
        <f t="shared" si="2"/>
        <v>
</v>
      </c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0"/>
      <c r="B278" s="12"/>
      <c r="C278" s="12"/>
      <c r="D278" s="35"/>
      <c r="E278" s="22"/>
      <c r="F278" s="12"/>
      <c r="G278" s="12"/>
      <c r="H278" s="12"/>
      <c r="I278" s="23"/>
      <c r="J278" s="12"/>
      <c r="K278" s="23"/>
      <c r="L278" s="24"/>
      <c r="M278" s="12"/>
      <c r="N278" s="26" t="str">
        <f t="shared" si="2"/>
        <v>
</v>
      </c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0"/>
      <c r="B279" s="12"/>
      <c r="C279" s="12"/>
      <c r="D279" s="23"/>
      <c r="E279" s="22"/>
      <c r="F279" s="12"/>
      <c r="G279" s="12"/>
      <c r="H279" s="12"/>
      <c r="I279" s="23"/>
      <c r="J279" s="12"/>
      <c r="K279" s="23"/>
      <c r="L279" s="24"/>
      <c r="M279" s="12"/>
      <c r="N279" s="26" t="str">
        <f t="shared" si="2"/>
        <v>
</v>
      </c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0"/>
      <c r="B280" s="12"/>
      <c r="C280" s="12"/>
      <c r="D280" s="23"/>
      <c r="E280" s="22"/>
      <c r="F280" s="12"/>
      <c r="G280" s="12"/>
      <c r="H280" s="12"/>
      <c r="I280" s="23"/>
      <c r="J280" s="12"/>
      <c r="K280" s="23"/>
      <c r="L280" s="24"/>
      <c r="M280" s="12"/>
      <c r="N280" s="26" t="str">
        <f t="shared" si="2"/>
        <v>
</v>
      </c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0"/>
      <c r="B281" s="12"/>
      <c r="C281" s="12"/>
      <c r="D281" s="23"/>
      <c r="E281" s="12"/>
      <c r="F281" s="12"/>
      <c r="G281" s="12"/>
      <c r="H281" s="12"/>
      <c r="I281" s="23"/>
      <c r="J281" s="12"/>
      <c r="K281" s="23"/>
      <c r="L281" s="24"/>
      <c r="M281" s="12"/>
      <c r="N281" s="26" t="str">
        <f t="shared" si="2"/>
        <v>
</v>
      </c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0"/>
      <c r="B282" s="12"/>
      <c r="C282" s="12"/>
      <c r="D282" s="23"/>
      <c r="E282" s="12"/>
      <c r="F282" s="12"/>
      <c r="G282" s="12"/>
      <c r="H282" s="12"/>
      <c r="I282" s="23"/>
      <c r="J282" s="12"/>
      <c r="K282" s="23"/>
      <c r="L282" s="24"/>
      <c r="M282" s="12"/>
      <c r="N282" s="26" t="str">
        <f t="shared" si="2"/>
        <v>
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0"/>
      <c r="B283" s="12"/>
      <c r="C283" s="12"/>
      <c r="D283" s="79"/>
      <c r="E283" s="50"/>
      <c r="F283" s="12"/>
      <c r="G283" s="12"/>
      <c r="H283" s="12"/>
      <c r="I283" s="23"/>
      <c r="J283" s="12"/>
      <c r="K283" s="23"/>
      <c r="L283" s="24"/>
      <c r="M283" s="12"/>
      <c r="N283" s="26" t="str">
        <f t="shared" si="2"/>
        <v>
</v>
      </c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0"/>
      <c r="B284" s="12"/>
      <c r="C284" s="12"/>
      <c r="D284" s="23"/>
      <c r="E284" s="22"/>
      <c r="F284" s="12"/>
      <c r="G284" s="12"/>
      <c r="H284" s="12"/>
      <c r="I284" s="35"/>
      <c r="J284" s="12"/>
      <c r="K284" s="23"/>
      <c r="L284" s="24"/>
      <c r="M284" s="12"/>
      <c r="N284" s="26" t="str">
        <f t="shared" si="2"/>
        <v>
</v>
      </c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0"/>
      <c r="B285" s="12"/>
      <c r="C285" s="12"/>
      <c r="D285" s="35"/>
      <c r="E285" s="22"/>
      <c r="F285" s="12"/>
      <c r="G285" s="12"/>
      <c r="H285" s="12"/>
      <c r="I285" s="23"/>
      <c r="J285" s="12"/>
      <c r="K285" s="23"/>
      <c r="L285" s="24"/>
      <c r="M285" s="12"/>
      <c r="N285" s="26" t="str">
        <f t="shared" si="2"/>
        <v>
</v>
      </c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0"/>
      <c r="B286" s="12"/>
      <c r="C286" s="12"/>
      <c r="D286" s="35"/>
      <c r="E286" s="22"/>
      <c r="F286" s="12"/>
      <c r="G286" s="12"/>
      <c r="H286" s="12"/>
      <c r="I286" s="23"/>
      <c r="J286" s="12"/>
      <c r="K286" s="23"/>
      <c r="L286" s="24"/>
      <c r="M286" s="12"/>
      <c r="N286" s="26" t="str">
        <f t="shared" si="2"/>
        <v>
</v>
      </c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0"/>
      <c r="B287" s="12"/>
      <c r="C287" s="12"/>
      <c r="D287" s="35"/>
      <c r="E287" s="22"/>
      <c r="F287" s="12"/>
      <c r="G287" s="22"/>
      <c r="H287" s="12"/>
      <c r="I287" s="23"/>
      <c r="J287" s="12"/>
      <c r="K287" s="23"/>
      <c r="L287" s="24"/>
      <c r="M287" s="12"/>
      <c r="N287" s="26" t="str">
        <f t="shared" si="2"/>
        <v>
</v>
      </c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0"/>
      <c r="B288" s="12"/>
      <c r="C288" s="12"/>
      <c r="D288" s="35"/>
      <c r="E288" s="22"/>
      <c r="F288" s="12"/>
      <c r="G288" s="22"/>
      <c r="H288" s="22"/>
      <c r="I288" s="35"/>
      <c r="J288" s="22"/>
      <c r="K288" s="35"/>
      <c r="L288" s="24"/>
      <c r="M288" s="12"/>
      <c r="N288" s="26" t="str">
        <f t="shared" si="2"/>
        <v>
</v>
      </c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0"/>
      <c r="B289" s="12"/>
      <c r="C289" s="12"/>
      <c r="D289" s="35"/>
      <c r="E289" s="22"/>
      <c r="F289" s="12"/>
      <c r="G289" s="12"/>
      <c r="H289" s="12"/>
      <c r="I289" s="23"/>
      <c r="J289" s="12"/>
      <c r="K289" s="23"/>
      <c r="L289" s="24"/>
      <c r="M289" s="12"/>
      <c r="N289" s="26" t="str">
        <f t="shared" si="2"/>
        <v>
</v>
      </c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0"/>
      <c r="B290" s="12"/>
      <c r="C290" s="12"/>
      <c r="D290" s="23"/>
      <c r="E290" s="22"/>
      <c r="F290" s="12"/>
      <c r="G290" s="12"/>
      <c r="H290" s="12"/>
      <c r="I290" s="23"/>
      <c r="J290" s="12"/>
      <c r="K290" s="23"/>
      <c r="L290" s="24"/>
      <c r="M290" s="12"/>
      <c r="N290" s="26" t="str">
        <f t="shared" si="2"/>
        <v>
</v>
      </c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0"/>
      <c r="B291" s="12"/>
      <c r="C291" s="12"/>
      <c r="D291" s="23"/>
      <c r="E291" s="22"/>
      <c r="F291" s="12"/>
      <c r="G291" s="22"/>
      <c r="H291" s="12"/>
      <c r="I291" s="23"/>
      <c r="J291" s="12"/>
      <c r="K291" s="23"/>
      <c r="L291" s="24"/>
      <c r="M291" s="12"/>
      <c r="N291" s="26" t="str">
        <f t="shared" si="2"/>
        <v>
</v>
      </c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0"/>
      <c r="B292" s="12"/>
      <c r="C292" s="12"/>
      <c r="D292" s="23"/>
      <c r="E292" s="12"/>
      <c r="F292" s="12"/>
      <c r="G292" s="12"/>
      <c r="H292" s="12"/>
      <c r="I292" s="23"/>
      <c r="J292" s="12"/>
      <c r="K292" s="23"/>
      <c r="L292" s="24"/>
      <c r="M292" s="12"/>
      <c r="N292" s="26" t="str">
        <f t="shared" si="2"/>
        <v>
</v>
      </c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0"/>
      <c r="B293" s="12"/>
      <c r="C293" s="12"/>
      <c r="D293" s="35"/>
      <c r="E293" s="22"/>
      <c r="F293" s="12"/>
      <c r="G293" s="12"/>
      <c r="H293" s="12"/>
      <c r="I293" s="23"/>
      <c r="J293" s="12"/>
      <c r="K293" s="23"/>
      <c r="L293" s="24"/>
      <c r="M293" s="12"/>
      <c r="N293" s="26" t="str">
        <f t="shared" si="2"/>
        <v>
</v>
      </c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0"/>
      <c r="B294" s="12"/>
      <c r="C294" s="12"/>
      <c r="D294" s="35"/>
      <c r="E294" s="22"/>
      <c r="F294" s="12"/>
      <c r="G294" s="22"/>
      <c r="H294" s="22"/>
      <c r="I294" s="35"/>
      <c r="J294" s="22"/>
      <c r="K294" s="35"/>
      <c r="L294" s="24"/>
      <c r="M294" s="12"/>
      <c r="N294" s="26" t="str">
        <f t="shared" si="2"/>
        <v>
</v>
      </c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0"/>
      <c r="B295" s="12"/>
      <c r="C295" s="12"/>
      <c r="D295" s="23"/>
      <c r="E295" s="12"/>
      <c r="F295" s="12"/>
      <c r="G295" s="12"/>
      <c r="H295" s="12"/>
      <c r="I295" s="23"/>
      <c r="J295" s="12"/>
      <c r="K295" s="23"/>
      <c r="L295" s="24"/>
      <c r="M295" s="12"/>
      <c r="N295" s="26" t="str">
        <f t="shared" si="2"/>
        <v>
</v>
      </c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0"/>
      <c r="B296" s="12"/>
      <c r="C296" s="12"/>
      <c r="D296" s="35"/>
      <c r="E296" s="22"/>
      <c r="F296" s="12"/>
      <c r="G296" s="12"/>
      <c r="H296" s="12"/>
      <c r="I296" s="23"/>
      <c r="J296" s="12"/>
      <c r="K296" s="23"/>
      <c r="L296" s="24"/>
      <c r="M296" s="12"/>
      <c r="N296" s="26" t="str">
        <f t="shared" si="2"/>
        <v>
</v>
      </c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0"/>
      <c r="B297" s="12"/>
      <c r="C297" s="12"/>
      <c r="D297" s="23"/>
      <c r="E297" s="12"/>
      <c r="F297" s="12"/>
      <c r="G297" s="12"/>
      <c r="H297" s="12"/>
      <c r="I297" s="35"/>
      <c r="J297" s="12"/>
      <c r="K297" s="23"/>
      <c r="L297" s="24"/>
      <c r="M297" s="12"/>
      <c r="N297" s="26" t="str">
        <f t="shared" si="2"/>
        <v>
</v>
      </c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0"/>
      <c r="B298" s="12"/>
      <c r="C298" s="12"/>
      <c r="D298" s="23"/>
      <c r="E298" s="12"/>
      <c r="F298" s="12"/>
      <c r="G298" s="12"/>
      <c r="H298" s="12"/>
      <c r="I298" s="23"/>
      <c r="J298" s="12"/>
      <c r="K298" s="23"/>
      <c r="L298" s="24"/>
      <c r="M298" s="12"/>
      <c r="N298" s="26" t="str">
        <f t="shared" si="2"/>
        <v>
</v>
      </c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0"/>
      <c r="B299" s="12"/>
      <c r="C299" s="12"/>
      <c r="D299" s="23"/>
      <c r="E299" s="12"/>
      <c r="F299" s="12"/>
      <c r="G299" s="12"/>
      <c r="H299" s="12"/>
      <c r="I299" s="23"/>
      <c r="J299" s="12"/>
      <c r="K299" s="23"/>
      <c r="L299" s="24"/>
      <c r="M299" s="12"/>
      <c r="N299" s="26" t="str">
        <f t="shared" si="2"/>
        <v>
</v>
      </c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0"/>
      <c r="B300" s="12"/>
      <c r="C300" s="12"/>
      <c r="D300" s="23"/>
      <c r="E300" s="12"/>
      <c r="F300" s="12"/>
      <c r="G300" s="12"/>
      <c r="H300" s="12"/>
      <c r="I300" s="23"/>
      <c r="J300" s="12"/>
      <c r="K300" s="23"/>
      <c r="L300" s="24"/>
      <c r="M300" s="12"/>
      <c r="N300" s="26" t="str">
        <f t="shared" si="2"/>
        <v>
</v>
      </c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0"/>
      <c r="B301" s="12"/>
      <c r="C301" s="12"/>
      <c r="D301" s="23"/>
      <c r="E301" s="12"/>
      <c r="F301" s="12"/>
      <c r="G301" s="12"/>
      <c r="H301" s="12"/>
      <c r="I301" s="23"/>
      <c r="J301" s="12"/>
      <c r="K301" s="23"/>
      <c r="L301" s="24"/>
      <c r="M301" s="12"/>
      <c r="N301" s="26" t="str">
        <f t="shared" si="2"/>
        <v>
</v>
      </c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0"/>
      <c r="B302" s="12"/>
      <c r="C302" s="12"/>
      <c r="D302" s="35"/>
      <c r="E302" s="22"/>
      <c r="F302" s="12"/>
      <c r="G302" s="12"/>
      <c r="H302" s="12"/>
      <c r="I302" s="23"/>
      <c r="J302" s="12"/>
      <c r="K302" s="23"/>
      <c r="L302" s="24"/>
      <c r="M302" s="12"/>
      <c r="N302" s="26" t="str">
        <f t="shared" si="2"/>
        <v>
</v>
      </c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0"/>
      <c r="B303" s="12"/>
      <c r="C303" s="12"/>
      <c r="D303" s="23"/>
      <c r="E303" s="12"/>
      <c r="F303" s="12"/>
      <c r="G303" s="12"/>
      <c r="H303" s="12"/>
      <c r="I303" s="23"/>
      <c r="J303" s="12"/>
      <c r="K303" s="23"/>
      <c r="L303" s="24"/>
      <c r="M303" s="12"/>
      <c r="N303" s="26" t="str">
        <f t="shared" si="2"/>
        <v>
</v>
      </c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0"/>
      <c r="B304" s="12"/>
      <c r="C304" s="12"/>
      <c r="D304" s="35"/>
      <c r="E304" s="22"/>
      <c r="F304" s="12"/>
      <c r="G304" s="12"/>
      <c r="H304" s="12"/>
      <c r="I304" s="23"/>
      <c r="J304" s="12"/>
      <c r="K304" s="23"/>
      <c r="L304" s="24"/>
      <c r="M304" s="12"/>
      <c r="N304" s="26" t="str">
        <f t="shared" si="2"/>
        <v>
</v>
      </c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0"/>
      <c r="B305" s="12"/>
      <c r="C305" s="12"/>
      <c r="D305" s="23"/>
      <c r="E305" s="12"/>
      <c r="F305" s="12"/>
      <c r="G305" s="12"/>
      <c r="H305" s="12"/>
      <c r="I305" s="23"/>
      <c r="J305" s="12"/>
      <c r="K305" s="23"/>
      <c r="L305" s="24"/>
      <c r="M305" s="12"/>
      <c r="N305" s="26" t="str">
        <f t="shared" si="2"/>
        <v>
</v>
      </c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0"/>
      <c r="B306" s="12"/>
      <c r="C306" s="12"/>
      <c r="D306" s="35"/>
      <c r="E306" s="22"/>
      <c r="F306" s="12"/>
      <c r="G306" s="12"/>
      <c r="H306" s="12"/>
      <c r="I306" s="23"/>
      <c r="J306" s="12"/>
      <c r="K306" s="23"/>
      <c r="L306" s="24"/>
      <c r="M306" s="12"/>
      <c r="N306" s="26" t="str">
        <f t="shared" si="2"/>
        <v>
</v>
      </c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0"/>
      <c r="B307" s="12"/>
      <c r="C307" s="12"/>
      <c r="D307" s="35"/>
      <c r="E307" s="22"/>
      <c r="F307" s="12"/>
      <c r="G307" s="22"/>
      <c r="H307" s="12"/>
      <c r="I307" s="35"/>
      <c r="J307" s="22"/>
      <c r="K307" s="35"/>
      <c r="L307" s="24"/>
      <c r="M307" s="12"/>
      <c r="N307" s="26" t="str">
        <f t="shared" si="2"/>
        <v>
</v>
      </c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0"/>
      <c r="B308" s="12"/>
      <c r="C308" s="12"/>
      <c r="D308" s="35"/>
      <c r="E308" s="22"/>
      <c r="F308" s="12"/>
      <c r="G308" s="12"/>
      <c r="H308" s="12"/>
      <c r="I308" s="23"/>
      <c r="J308" s="12"/>
      <c r="K308" s="23"/>
      <c r="L308" s="24"/>
      <c r="M308" s="12"/>
      <c r="N308" s="26" t="str">
        <f t="shared" si="2"/>
        <v>
</v>
      </c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0"/>
      <c r="B309" s="12"/>
      <c r="C309" s="12"/>
      <c r="D309" s="23"/>
      <c r="E309" s="12"/>
      <c r="F309" s="12"/>
      <c r="G309" s="22"/>
      <c r="H309" s="12"/>
      <c r="I309" s="35"/>
      <c r="J309" s="22"/>
      <c r="K309" s="23"/>
      <c r="L309" s="24"/>
      <c r="M309" s="12"/>
      <c r="N309" s="26" t="str">
        <f t="shared" si="2"/>
        <v>
</v>
      </c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0"/>
      <c r="B310" s="12"/>
      <c r="C310" s="12"/>
      <c r="D310" s="23"/>
      <c r="E310" s="22"/>
      <c r="F310" s="12"/>
      <c r="G310" s="12"/>
      <c r="H310" s="12"/>
      <c r="I310" s="23"/>
      <c r="J310" s="12"/>
      <c r="K310" s="23"/>
      <c r="L310" s="24"/>
      <c r="M310" s="12"/>
      <c r="N310" s="26" t="str">
        <f t="shared" si="2"/>
        <v>
</v>
      </c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0"/>
      <c r="B311" s="12"/>
      <c r="C311" s="12"/>
      <c r="D311" s="23"/>
      <c r="E311" s="12"/>
      <c r="F311" s="12"/>
      <c r="G311" s="12"/>
      <c r="H311" s="12"/>
      <c r="I311" s="23"/>
      <c r="J311" s="12"/>
      <c r="K311" s="23"/>
      <c r="L311" s="24"/>
      <c r="M311" s="12"/>
      <c r="N311" s="26" t="str">
        <f t="shared" si="2"/>
        <v>
</v>
      </c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0"/>
      <c r="B312" s="12"/>
      <c r="C312" s="12"/>
      <c r="D312" s="23"/>
      <c r="E312" s="22"/>
      <c r="F312" s="12"/>
      <c r="G312" s="12"/>
      <c r="H312" s="12"/>
      <c r="I312" s="23"/>
      <c r="J312" s="12"/>
      <c r="K312" s="23"/>
      <c r="L312" s="24"/>
      <c r="M312" s="39"/>
      <c r="N312" s="26" t="str">
        <f t="shared" si="2"/>
        <v>
</v>
      </c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0"/>
      <c r="B313" s="12"/>
      <c r="C313" s="12"/>
      <c r="D313" s="23"/>
      <c r="E313" s="12"/>
      <c r="F313" s="12"/>
      <c r="G313" s="12"/>
      <c r="H313" s="12"/>
      <c r="I313" s="23"/>
      <c r="J313" s="12"/>
      <c r="K313" s="23"/>
      <c r="L313" s="24"/>
      <c r="M313" s="12"/>
      <c r="N313" s="26" t="str">
        <f t="shared" si="2"/>
        <v>
</v>
      </c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0"/>
      <c r="B314" s="12"/>
      <c r="C314" s="12"/>
      <c r="D314" s="23"/>
      <c r="E314" s="22"/>
      <c r="F314" s="12"/>
      <c r="G314" s="12"/>
      <c r="H314" s="12"/>
      <c r="I314" s="23"/>
      <c r="J314" s="12"/>
      <c r="K314" s="23"/>
      <c r="L314" s="24"/>
      <c r="M314" s="39"/>
      <c r="N314" s="26" t="str">
        <f t="shared" si="2"/>
        <v>
</v>
      </c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0"/>
      <c r="B315" s="12"/>
      <c r="C315" s="12"/>
      <c r="D315" s="23"/>
      <c r="E315" s="12"/>
      <c r="F315" s="12"/>
      <c r="G315" s="12"/>
      <c r="H315" s="12"/>
      <c r="I315" s="23"/>
      <c r="J315" s="12"/>
      <c r="K315" s="23"/>
      <c r="L315" s="24"/>
      <c r="M315" s="12"/>
      <c r="N315" s="26" t="str">
        <f t="shared" si="2"/>
        <v>
</v>
      </c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0"/>
      <c r="B316" s="12"/>
      <c r="C316" s="12"/>
      <c r="D316" s="23"/>
      <c r="E316" s="22"/>
      <c r="F316" s="12"/>
      <c r="G316" s="12"/>
      <c r="H316" s="12"/>
      <c r="I316" s="23"/>
      <c r="J316" s="12"/>
      <c r="K316" s="23"/>
      <c r="L316" s="24"/>
      <c r="M316" s="12"/>
      <c r="N316" s="26" t="str">
        <f t="shared" si="2"/>
        <v>
</v>
      </c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0"/>
      <c r="B317" s="12"/>
      <c r="C317" s="12"/>
      <c r="D317" s="23"/>
      <c r="E317" s="12"/>
      <c r="F317" s="12"/>
      <c r="G317" s="12"/>
      <c r="H317" s="12"/>
      <c r="I317" s="23"/>
      <c r="J317" s="12"/>
      <c r="K317" s="23"/>
      <c r="L317" s="24"/>
      <c r="M317" s="12"/>
      <c r="N317" s="26" t="str">
        <f t="shared" si="2"/>
        <v>
</v>
      </c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0"/>
      <c r="B318" s="12"/>
      <c r="C318" s="12"/>
      <c r="D318" s="23"/>
      <c r="E318" s="22"/>
      <c r="F318" s="12"/>
      <c r="G318" s="12"/>
      <c r="H318" s="12"/>
      <c r="I318" s="23"/>
      <c r="J318" s="12"/>
      <c r="K318" s="23"/>
      <c r="L318" s="24"/>
      <c r="M318" s="39"/>
      <c r="N318" s="26" t="str">
        <f t="shared" si="2"/>
        <v>
</v>
      </c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0"/>
      <c r="B319" s="12"/>
      <c r="C319" s="12"/>
      <c r="D319" s="23"/>
      <c r="E319" s="12"/>
      <c r="F319" s="12"/>
      <c r="G319" s="12"/>
      <c r="H319" s="12"/>
      <c r="I319" s="35"/>
      <c r="J319" s="12"/>
      <c r="K319" s="23"/>
      <c r="L319" s="24"/>
      <c r="M319" s="12"/>
      <c r="N319" s="26" t="str">
        <f t="shared" si="2"/>
        <v>
</v>
      </c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0"/>
      <c r="B320" s="12"/>
      <c r="C320" s="12"/>
      <c r="D320" s="23"/>
      <c r="E320" s="22"/>
      <c r="F320" s="12"/>
      <c r="G320" s="12"/>
      <c r="H320" s="12"/>
      <c r="I320" s="35"/>
      <c r="J320" s="12"/>
      <c r="K320" s="23"/>
      <c r="L320" s="24"/>
      <c r="M320" s="12"/>
      <c r="N320" s="26" t="str">
        <f t="shared" si="2"/>
        <v>
</v>
      </c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0"/>
      <c r="B321" s="12"/>
      <c r="C321" s="12"/>
      <c r="D321" s="23"/>
      <c r="E321" s="12"/>
      <c r="F321" s="12"/>
      <c r="G321" s="12"/>
      <c r="H321" s="12"/>
      <c r="I321" s="23"/>
      <c r="J321" s="12"/>
      <c r="K321" s="23"/>
      <c r="L321" s="24"/>
      <c r="M321" s="12"/>
      <c r="N321" s="26" t="str">
        <f t="shared" si="2"/>
        <v>
</v>
      </c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0"/>
      <c r="B322" s="12"/>
      <c r="C322" s="12"/>
      <c r="D322" s="35"/>
      <c r="E322" s="22"/>
      <c r="F322" s="12"/>
      <c r="G322" s="22"/>
      <c r="H322" s="12"/>
      <c r="I322" s="35"/>
      <c r="J322" s="12"/>
      <c r="K322" s="23"/>
      <c r="L322" s="24"/>
      <c r="M322" s="12"/>
      <c r="N322" s="26" t="str">
        <f t="shared" si="2"/>
        <v>
</v>
      </c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0"/>
      <c r="B323" s="12"/>
      <c r="C323" s="12"/>
      <c r="D323" s="23"/>
      <c r="E323" s="12"/>
      <c r="F323" s="12"/>
      <c r="G323" s="12"/>
      <c r="H323" s="12"/>
      <c r="I323" s="23"/>
      <c r="J323" s="12"/>
      <c r="K323" s="23"/>
      <c r="L323" s="24"/>
      <c r="M323" s="12"/>
      <c r="N323" s="26" t="str">
        <f t="shared" si="2"/>
        <v>
</v>
      </c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0"/>
      <c r="B324" s="12"/>
      <c r="C324" s="12"/>
      <c r="D324" s="23"/>
      <c r="E324" s="12"/>
      <c r="F324" s="12"/>
      <c r="G324" s="22"/>
      <c r="H324" s="12"/>
      <c r="I324" s="35"/>
      <c r="J324" s="12"/>
      <c r="K324" s="23"/>
      <c r="L324" s="24"/>
      <c r="M324" s="12"/>
      <c r="N324" s="26" t="str">
        <f t="shared" si="2"/>
        <v>
</v>
      </c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0"/>
      <c r="B325" s="12"/>
      <c r="C325" s="12"/>
      <c r="D325" s="23"/>
      <c r="E325" s="12"/>
      <c r="F325" s="12"/>
      <c r="G325" s="12"/>
      <c r="H325" s="12"/>
      <c r="I325" s="23"/>
      <c r="J325" s="12"/>
      <c r="K325" s="23"/>
      <c r="L325" s="24"/>
      <c r="M325" s="12"/>
      <c r="N325" s="26" t="str">
        <f t="shared" si="2"/>
        <v>
</v>
      </c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0"/>
      <c r="B326" s="12"/>
      <c r="C326" s="12"/>
      <c r="D326" s="23"/>
      <c r="E326" s="12"/>
      <c r="F326" s="12"/>
      <c r="G326" s="22"/>
      <c r="H326" s="12"/>
      <c r="I326" s="23"/>
      <c r="J326" s="12"/>
      <c r="K326" s="23"/>
      <c r="L326" s="24"/>
      <c r="M326" s="12"/>
      <c r="N326" s="26" t="str">
        <f t="shared" si="2"/>
        <v>
</v>
      </c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0"/>
      <c r="B327" s="12"/>
      <c r="C327" s="12"/>
      <c r="D327" s="23"/>
      <c r="E327" s="12"/>
      <c r="F327" s="12"/>
      <c r="G327" s="12"/>
      <c r="H327" s="12"/>
      <c r="I327" s="23"/>
      <c r="J327" s="12"/>
      <c r="K327" s="23"/>
      <c r="L327" s="24"/>
      <c r="M327" s="12"/>
      <c r="N327" s="26" t="str">
        <f t="shared" si="2"/>
        <v>
</v>
      </c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0"/>
      <c r="B328" s="12"/>
      <c r="C328" s="12"/>
      <c r="D328" s="23"/>
      <c r="E328" s="12"/>
      <c r="F328" s="12"/>
      <c r="G328" s="12"/>
      <c r="H328" s="12"/>
      <c r="I328" s="23"/>
      <c r="J328" s="12"/>
      <c r="K328" s="23"/>
      <c r="L328" s="24"/>
      <c r="M328" s="12"/>
      <c r="N328" s="26" t="str">
        <f t="shared" si="2"/>
        <v>
</v>
      </c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0"/>
      <c r="B329" s="12"/>
      <c r="C329" s="12"/>
      <c r="D329" s="23"/>
      <c r="E329" s="12"/>
      <c r="F329" s="12"/>
      <c r="G329" s="12"/>
      <c r="H329" s="12"/>
      <c r="I329" s="23"/>
      <c r="J329" s="12"/>
      <c r="K329" s="23"/>
      <c r="L329" s="24"/>
      <c r="M329" s="12"/>
      <c r="N329" s="26" t="str">
        <f t="shared" si="2"/>
        <v>
</v>
      </c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0"/>
      <c r="B330" s="12"/>
      <c r="C330" s="12"/>
      <c r="D330" s="23"/>
      <c r="E330" s="12"/>
      <c r="F330" s="12"/>
      <c r="G330" s="22"/>
      <c r="H330" s="12"/>
      <c r="I330" s="35"/>
      <c r="J330" s="22"/>
      <c r="K330" s="23"/>
      <c r="L330" s="24"/>
      <c r="M330" s="12"/>
      <c r="N330" s="26" t="str">
        <f t="shared" si="2"/>
        <v>
</v>
      </c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0"/>
      <c r="B331" s="12"/>
      <c r="C331" s="12"/>
      <c r="D331" s="23"/>
      <c r="E331" s="12"/>
      <c r="F331" s="12"/>
      <c r="G331" s="22"/>
      <c r="H331" s="12"/>
      <c r="I331" s="35"/>
      <c r="J331" s="12"/>
      <c r="K331" s="23"/>
      <c r="L331" s="24"/>
      <c r="M331" s="12"/>
      <c r="N331" s="26" t="str">
        <f t="shared" si="2"/>
        <v>
</v>
      </c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0"/>
      <c r="B332" s="12"/>
      <c r="C332" s="12"/>
      <c r="D332" s="23"/>
      <c r="E332" s="12"/>
      <c r="F332" s="12"/>
      <c r="G332" s="12"/>
      <c r="H332" s="12"/>
      <c r="I332" s="35"/>
      <c r="J332" s="12"/>
      <c r="K332" s="23"/>
      <c r="L332" s="24"/>
      <c r="M332" s="12"/>
      <c r="N332" s="26" t="str">
        <f t="shared" si="2"/>
        <v>
</v>
      </c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0"/>
      <c r="B333" s="12"/>
      <c r="C333" s="12"/>
      <c r="D333" s="35"/>
      <c r="E333" s="22"/>
      <c r="F333" s="12"/>
      <c r="G333" s="12"/>
      <c r="H333" s="12"/>
      <c r="I333" s="23"/>
      <c r="J333" s="12"/>
      <c r="K333" s="23"/>
      <c r="L333" s="24"/>
      <c r="M333" s="12"/>
      <c r="N333" s="26" t="str">
        <f t="shared" si="2"/>
        <v>
</v>
      </c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0"/>
      <c r="B334" s="12"/>
      <c r="C334" s="12"/>
      <c r="D334" s="23"/>
      <c r="E334" s="12"/>
      <c r="F334" s="12"/>
      <c r="G334" s="22"/>
      <c r="H334" s="12"/>
      <c r="I334" s="35"/>
      <c r="J334" s="22"/>
      <c r="K334" s="23"/>
      <c r="L334" s="24"/>
      <c r="M334" s="12"/>
      <c r="N334" s="26" t="str">
        <f t="shared" si="2"/>
        <v>
</v>
      </c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0"/>
      <c r="B335" s="12"/>
      <c r="C335" s="12"/>
      <c r="D335" s="23"/>
      <c r="E335" s="22"/>
      <c r="F335" s="12"/>
      <c r="G335" s="12"/>
      <c r="H335" s="12"/>
      <c r="I335" s="35"/>
      <c r="J335" s="12"/>
      <c r="K335" s="23"/>
      <c r="L335" s="24"/>
      <c r="M335" s="39"/>
      <c r="N335" s="26" t="str">
        <f t="shared" si="2"/>
        <v>
</v>
      </c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0"/>
      <c r="B336" s="12"/>
      <c r="C336" s="12"/>
      <c r="D336" s="23"/>
      <c r="E336" s="12"/>
      <c r="F336" s="12"/>
      <c r="G336" s="22"/>
      <c r="H336" s="12"/>
      <c r="I336" s="35"/>
      <c r="J336" s="12"/>
      <c r="K336" s="23"/>
      <c r="L336" s="24"/>
      <c r="M336" s="12"/>
      <c r="N336" s="26" t="str">
        <f t="shared" si="2"/>
        <v>
</v>
      </c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0"/>
      <c r="B337" s="12"/>
      <c r="C337" s="12"/>
      <c r="D337" s="35"/>
      <c r="E337" s="22"/>
      <c r="F337" s="12"/>
      <c r="G337" s="22"/>
      <c r="H337" s="12"/>
      <c r="I337" s="23"/>
      <c r="J337" s="12"/>
      <c r="K337" s="23"/>
      <c r="L337" s="24"/>
      <c r="M337" s="12"/>
      <c r="N337" s="26" t="str">
        <f t="shared" si="2"/>
        <v>
</v>
      </c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0"/>
      <c r="B338" s="12"/>
      <c r="C338" s="12"/>
      <c r="D338" s="23"/>
      <c r="E338" s="12"/>
      <c r="F338" s="12"/>
      <c r="G338" s="12"/>
      <c r="H338" s="12"/>
      <c r="I338" s="23"/>
      <c r="J338" s="12"/>
      <c r="K338" s="23"/>
      <c r="L338" s="24"/>
      <c r="M338" s="12"/>
      <c r="N338" s="26" t="str">
        <f t="shared" si="2"/>
        <v>
</v>
      </c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0"/>
      <c r="B339" s="12"/>
      <c r="C339" s="12"/>
      <c r="D339" s="23"/>
      <c r="E339" s="12"/>
      <c r="F339" s="12"/>
      <c r="G339" s="22"/>
      <c r="H339" s="12"/>
      <c r="I339" s="35"/>
      <c r="J339" s="12"/>
      <c r="K339" s="23"/>
      <c r="L339" s="24"/>
      <c r="M339" s="12"/>
      <c r="N339" s="26" t="str">
        <f t="shared" si="2"/>
        <v>
</v>
      </c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0"/>
      <c r="B340" s="12"/>
      <c r="C340" s="12"/>
      <c r="D340" s="23"/>
      <c r="E340" s="22"/>
      <c r="F340" s="12"/>
      <c r="G340" s="12"/>
      <c r="H340" s="12"/>
      <c r="I340" s="23"/>
      <c r="J340" s="12"/>
      <c r="K340" s="23"/>
      <c r="L340" s="24"/>
      <c r="M340" s="12"/>
      <c r="N340" s="26" t="str">
        <f t="shared" si="2"/>
        <v>
</v>
      </c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0"/>
      <c r="B341" s="12"/>
      <c r="C341" s="12"/>
      <c r="D341" s="23"/>
      <c r="E341" s="22"/>
      <c r="F341" s="12"/>
      <c r="G341" s="12"/>
      <c r="H341" s="12"/>
      <c r="I341" s="23"/>
      <c r="J341" s="12"/>
      <c r="K341" s="23"/>
      <c r="L341" s="24"/>
      <c r="M341" s="12"/>
      <c r="N341" s="26" t="str">
        <f t="shared" si="2"/>
        <v>
</v>
      </c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0"/>
      <c r="B342" s="12"/>
      <c r="C342" s="12"/>
      <c r="D342" s="23"/>
      <c r="E342" s="12"/>
      <c r="F342" s="12"/>
      <c r="G342" s="12"/>
      <c r="H342" s="12"/>
      <c r="I342" s="23"/>
      <c r="J342" s="12"/>
      <c r="K342" s="23"/>
      <c r="L342" s="24"/>
      <c r="M342" s="12"/>
      <c r="N342" s="26" t="str">
        <f t="shared" si="2"/>
        <v>
</v>
      </c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0"/>
      <c r="B343" s="12"/>
      <c r="C343" s="12"/>
      <c r="D343" s="23"/>
      <c r="E343" s="22"/>
      <c r="F343" s="12"/>
      <c r="G343" s="12"/>
      <c r="H343" s="12"/>
      <c r="I343" s="23"/>
      <c r="J343" s="12"/>
      <c r="K343" s="23"/>
      <c r="L343" s="24"/>
      <c r="M343" s="12"/>
      <c r="N343" s="26" t="str">
        <f t="shared" si="2"/>
        <v>
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0"/>
      <c r="B344" s="12"/>
      <c r="C344" s="12"/>
      <c r="D344" s="23"/>
      <c r="E344" s="22"/>
      <c r="F344" s="12"/>
      <c r="G344" s="12"/>
      <c r="H344" s="12"/>
      <c r="I344" s="23"/>
      <c r="J344" s="12"/>
      <c r="K344" s="23"/>
      <c r="L344" s="24"/>
      <c r="M344" s="12"/>
      <c r="N344" s="26" t="str">
        <f t="shared" si="2"/>
        <v>
</v>
      </c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0"/>
      <c r="B345" s="12"/>
      <c r="C345" s="12"/>
      <c r="D345" s="23"/>
      <c r="E345" s="22"/>
      <c r="F345" s="12"/>
      <c r="G345" s="12"/>
      <c r="H345" s="12"/>
      <c r="I345" s="23"/>
      <c r="J345" s="12"/>
      <c r="K345" s="23"/>
      <c r="L345" s="24"/>
      <c r="M345" s="12"/>
      <c r="N345" s="26" t="str">
        <f t="shared" si="2"/>
        <v>
</v>
      </c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0"/>
      <c r="B346" s="12"/>
      <c r="C346" s="12"/>
      <c r="D346" s="23"/>
      <c r="E346" s="12"/>
      <c r="F346" s="12"/>
      <c r="G346" s="12"/>
      <c r="H346" s="12"/>
      <c r="I346" s="23"/>
      <c r="J346" s="12"/>
      <c r="K346" s="23"/>
      <c r="L346" s="24"/>
      <c r="M346" s="12"/>
      <c r="N346" s="26" t="str">
        <f t="shared" si="2"/>
        <v>
</v>
      </c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0"/>
      <c r="B347" s="12"/>
      <c r="C347" s="12"/>
      <c r="D347" s="23"/>
      <c r="E347" s="12"/>
      <c r="F347" s="12"/>
      <c r="G347" s="12"/>
      <c r="H347" s="12"/>
      <c r="I347" s="35"/>
      <c r="J347" s="22"/>
      <c r="K347" s="23"/>
      <c r="L347" s="24"/>
      <c r="M347" s="12"/>
      <c r="N347" s="26" t="str">
        <f t="shared" si="2"/>
        <v>
</v>
      </c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0"/>
      <c r="B348" s="12"/>
      <c r="C348" s="12"/>
      <c r="D348" s="23"/>
      <c r="E348" s="22"/>
      <c r="F348" s="12"/>
      <c r="G348" s="22"/>
      <c r="H348" s="12"/>
      <c r="I348" s="23"/>
      <c r="J348" s="12"/>
      <c r="K348" s="23"/>
      <c r="L348" s="24"/>
      <c r="M348" s="39"/>
      <c r="N348" s="26" t="str">
        <f t="shared" si="2"/>
        <v>
</v>
      </c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0"/>
      <c r="B349" s="12"/>
      <c r="C349" s="12"/>
      <c r="D349" s="23"/>
      <c r="E349" s="22"/>
      <c r="F349" s="12"/>
      <c r="G349" s="12"/>
      <c r="H349" s="12"/>
      <c r="I349" s="23"/>
      <c r="J349" s="12"/>
      <c r="K349" s="23"/>
      <c r="L349" s="24"/>
      <c r="M349" s="12"/>
      <c r="N349" s="26" t="str">
        <f t="shared" si="2"/>
        <v>
</v>
      </c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0"/>
      <c r="B350" s="12"/>
      <c r="C350" s="12"/>
      <c r="D350" s="23"/>
      <c r="E350" s="12"/>
      <c r="F350" s="12"/>
      <c r="G350" s="12"/>
      <c r="H350" s="12"/>
      <c r="I350" s="23"/>
      <c r="J350" s="12"/>
      <c r="K350" s="23"/>
      <c r="L350" s="24"/>
      <c r="M350" s="12"/>
      <c r="N350" s="26" t="str">
        <f t="shared" si="2"/>
        <v>
</v>
      </c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0"/>
      <c r="B351" s="12"/>
      <c r="C351" s="12"/>
      <c r="D351" s="23"/>
      <c r="E351" s="12"/>
      <c r="F351" s="12"/>
      <c r="G351" s="12"/>
      <c r="H351" s="12"/>
      <c r="I351" s="23"/>
      <c r="J351" s="12"/>
      <c r="K351" s="23"/>
      <c r="L351" s="24"/>
      <c r="M351" s="12"/>
      <c r="N351" s="26" t="str">
        <f t="shared" si="2"/>
        <v>
</v>
      </c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0"/>
      <c r="B352" s="12"/>
      <c r="C352" s="12"/>
      <c r="D352" s="23"/>
      <c r="E352" s="12"/>
      <c r="F352" s="12"/>
      <c r="G352" s="12"/>
      <c r="H352" s="12"/>
      <c r="I352" s="23"/>
      <c r="J352" s="12"/>
      <c r="K352" s="23"/>
      <c r="L352" s="24"/>
      <c r="M352" s="12"/>
      <c r="N352" s="26" t="str">
        <f t="shared" si="2"/>
        <v>
</v>
      </c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0"/>
      <c r="B353" s="12"/>
      <c r="C353" s="12"/>
      <c r="D353" s="23"/>
      <c r="E353" s="12"/>
      <c r="F353" s="12"/>
      <c r="G353" s="12"/>
      <c r="H353" s="12"/>
      <c r="I353" s="23"/>
      <c r="J353" s="12"/>
      <c r="K353" s="23"/>
      <c r="L353" s="24"/>
      <c r="M353" s="12"/>
      <c r="N353" s="26" t="str">
        <f t="shared" si="2"/>
        <v>
</v>
      </c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0"/>
      <c r="B354" s="12"/>
      <c r="C354" s="12"/>
      <c r="D354" s="23"/>
      <c r="E354" s="12"/>
      <c r="F354" s="12"/>
      <c r="G354" s="12"/>
      <c r="H354" s="12"/>
      <c r="I354" s="23"/>
      <c r="J354" s="12"/>
      <c r="K354" s="23"/>
      <c r="L354" s="24"/>
      <c r="M354" s="12"/>
      <c r="N354" s="26" t="str">
        <f t="shared" si="2"/>
        <v>
</v>
      </c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0"/>
      <c r="B355" s="12"/>
      <c r="C355" s="12"/>
      <c r="D355" s="23"/>
      <c r="E355" s="12"/>
      <c r="F355" s="12"/>
      <c r="G355" s="12"/>
      <c r="H355" s="12"/>
      <c r="I355" s="35"/>
      <c r="J355" s="22"/>
      <c r="K355" s="23"/>
      <c r="L355" s="24"/>
      <c r="M355" s="12"/>
      <c r="N355" s="26" t="str">
        <f t="shared" si="2"/>
        <v>
</v>
      </c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0"/>
      <c r="B356" s="12"/>
      <c r="C356" s="12"/>
      <c r="D356" s="23"/>
      <c r="E356" s="12"/>
      <c r="F356" s="12"/>
      <c r="G356" s="12"/>
      <c r="H356" s="12"/>
      <c r="I356" s="23"/>
      <c r="J356" s="12"/>
      <c r="K356" s="23"/>
      <c r="L356" s="24"/>
      <c r="M356" s="12"/>
      <c r="N356" s="26" t="str">
        <f t="shared" si="2"/>
        <v>
</v>
      </c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0"/>
      <c r="B357" s="12"/>
      <c r="C357" s="12"/>
      <c r="D357" s="23"/>
      <c r="E357" s="12"/>
      <c r="F357" s="12"/>
      <c r="G357" s="12"/>
      <c r="H357" s="12"/>
      <c r="I357" s="35"/>
      <c r="J357" s="12"/>
      <c r="K357" s="23"/>
      <c r="L357" s="24"/>
      <c r="M357" s="12"/>
      <c r="N357" s="26" t="str">
        <f t="shared" si="2"/>
        <v>
</v>
      </c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0"/>
      <c r="B358" s="12"/>
      <c r="C358" s="12"/>
      <c r="D358" s="23"/>
      <c r="E358" s="12"/>
      <c r="F358" s="12"/>
      <c r="G358" s="22"/>
      <c r="H358" s="12"/>
      <c r="I358" s="35"/>
      <c r="J358" s="12"/>
      <c r="K358" s="23"/>
      <c r="L358" s="24"/>
      <c r="M358" s="12"/>
      <c r="N358" s="26" t="str">
        <f t="shared" si="2"/>
        <v>
</v>
      </c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0"/>
      <c r="B359" s="12"/>
      <c r="C359" s="12"/>
      <c r="E359" s="12"/>
      <c r="F359" s="12"/>
      <c r="G359" s="22"/>
      <c r="H359" s="12"/>
      <c r="I359" s="23"/>
      <c r="J359" s="12"/>
      <c r="K359" s="23"/>
      <c r="L359" s="24"/>
      <c r="M359" s="12"/>
      <c r="N359" s="26" t="str">
        <f t="shared" si="2"/>
        <v>
</v>
      </c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0"/>
      <c r="B360" s="12"/>
      <c r="C360" s="12"/>
      <c r="D360" s="23"/>
      <c r="E360" s="12"/>
      <c r="F360" s="12"/>
      <c r="G360" s="12"/>
      <c r="H360" s="12"/>
      <c r="I360" s="35"/>
      <c r="J360" s="12"/>
      <c r="K360" s="23"/>
      <c r="L360" s="24"/>
      <c r="M360" s="12"/>
      <c r="N360" s="26" t="str">
        <f t="shared" si="2"/>
        <v>
</v>
      </c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0"/>
      <c r="B361" s="12"/>
      <c r="C361" s="12"/>
      <c r="D361" s="23"/>
      <c r="E361" s="12"/>
      <c r="F361" s="12"/>
      <c r="G361" s="22"/>
      <c r="H361" s="12"/>
      <c r="I361" s="35"/>
      <c r="J361" s="22"/>
      <c r="K361" s="23"/>
      <c r="L361" s="24"/>
      <c r="M361" s="12"/>
      <c r="N361" s="26" t="str">
        <f t="shared" si="2"/>
        <v>
</v>
      </c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0"/>
      <c r="B362" s="12"/>
      <c r="C362" s="12"/>
      <c r="D362" s="23"/>
      <c r="E362" s="12"/>
      <c r="F362" s="12"/>
      <c r="G362" s="12"/>
      <c r="H362" s="12"/>
      <c r="I362" s="23"/>
      <c r="J362" s="12"/>
      <c r="K362" s="23"/>
      <c r="L362" s="24"/>
      <c r="M362" s="12"/>
      <c r="N362" s="26" t="str">
        <f t="shared" si="2"/>
        <v>
</v>
      </c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0"/>
      <c r="B363" s="12"/>
      <c r="C363" s="12"/>
      <c r="D363" s="23"/>
      <c r="E363" s="12"/>
      <c r="F363" s="12"/>
      <c r="G363" s="12"/>
      <c r="H363" s="12"/>
      <c r="I363" s="23"/>
      <c r="J363" s="12"/>
      <c r="K363" s="23"/>
      <c r="L363" s="24"/>
      <c r="M363" s="12"/>
      <c r="N363" s="26" t="str">
        <f t="shared" si="2"/>
        <v>
</v>
      </c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0"/>
      <c r="B364" s="12"/>
      <c r="C364" s="12"/>
      <c r="D364" s="23"/>
      <c r="E364" s="12"/>
      <c r="F364" s="12"/>
      <c r="G364" s="12"/>
      <c r="H364" s="12"/>
      <c r="I364" s="23"/>
      <c r="J364" s="12"/>
      <c r="K364" s="23"/>
      <c r="L364" s="24"/>
      <c r="M364" s="12"/>
      <c r="N364" s="26" t="str">
        <f t="shared" si="2"/>
        <v>
</v>
      </c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0"/>
      <c r="B365" s="12"/>
      <c r="C365" s="12"/>
      <c r="D365" s="23"/>
      <c r="E365" s="22"/>
      <c r="F365" s="12"/>
      <c r="G365" s="12"/>
      <c r="H365" s="12"/>
      <c r="I365" s="23"/>
      <c r="J365" s="12"/>
      <c r="K365" s="23"/>
      <c r="L365" s="24"/>
      <c r="M365" s="12"/>
      <c r="N365" s="26" t="str">
        <f t="shared" si="2"/>
        <v>
</v>
      </c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0"/>
      <c r="B366" s="12"/>
      <c r="C366" s="12"/>
      <c r="D366" s="23"/>
      <c r="E366" s="22"/>
      <c r="F366" s="12"/>
      <c r="G366" s="12"/>
      <c r="H366" s="12"/>
      <c r="I366" s="23"/>
      <c r="J366" s="12"/>
      <c r="K366" s="23"/>
      <c r="L366" s="24"/>
      <c r="M366" s="12"/>
      <c r="N366" s="26" t="str">
        <f t="shared" si="2"/>
        <v>
</v>
      </c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0"/>
      <c r="B367" s="12"/>
      <c r="C367" s="12"/>
      <c r="D367" s="23"/>
      <c r="E367" s="12"/>
      <c r="F367" s="12"/>
      <c r="G367" s="12"/>
      <c r="H367" s="12"/>
      <c r="I367" s="23"/>
      <c r="J367" s="12"/>
      <c r="K367" s="23"/>
      <c r="L367" s="24"/>
      <c r="M367" s="12"/>
      <c r="N367" s="26" t="str">
        <f t="shared" si="2"/>
        <v>
</v>
      </c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0"/>
      <c r="B368" s="12"/>
      <c r="C368" s="12"/>
      <c r="D368" s="23"/>
      <c r="E368" s="12"/>
      <c r="F368" s="12"/>
      <c r="G368" s="22"/>
      <c r="H368" s="12"/>
      <c r="I368" s="23"/>
      <c r="J368" s="12"/>
      <c r="K368" s="23"/>
      <c r="L368" s="24"/>
      <c r="M368" s="12"/>
      <c r="N368" s="26" t="str">
        <f t="shared" si="2"/>
        <v>
</v>
      </c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0"/>
      <c r="B369" s="12"/>
      <c r="C369" s="12"/>
      <c r="D369" s="23"/>
      <c r="E369" s="22"/>
      <c r="F369" s="12"/>
      <c r="G369" s="22"/>
      <c r="H369" s="12"/>
      <c r="I369" s="23"/>
      <c r="J369" s="12"/>
      <c r="K369" s="23"/>
      <c r="L369" s="24"/>
      <c r="M369" s="12"/>
      <c r="N369" s="26" t="str">
        <f t="shared" si="2"/>
        <v>
</v>
      </c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0"/>
      <c r="B370" s="12"/>
      <c r="C370" s="12"/>
      <c r="D370" s="23"/>
      <c r="E370" s="12"/>
      <c r="F370" s="12"/>
      <c r="G370" s="22"/>
      <c r="H370" s="12"/>
      <c r="I370" s="23"/>
      <c r="J370" s="12"/>
      <c r="K370" s="23"/>
      <c r="L370" s="24"/>
      <c r="M370" s="12"/>
      <c r="N370" s="26" t="str">
        <f t="shared" si="2"/>
        <v>
</v>
      </c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0"/>
      <c r="B371" s="12"/>
      <c r="C371" s="12"/>
      <c r="D371" s="23"/>
      <c r="E371" s="12"/>
      <c r="F371" s="12"/>
      <c r="G371" s="12"/>
      <c r="H371" s="12"/>
      <c r="I371" s="23"/>
      <c r="J371" s="12"/>
      <c r="K371" s="23"/>
      <c r="L371" s="24"/>
      <c r="M371" s="12"/>
      <c r="N371" s="26" t="str">
        <f t="shared" si="2"/>
        <v>
</v>
      </c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0"/>
      <c r="B372" s="12"/>
      <c r="C372" s="12"/>
      <c r="D372" s="23"/>
      <c r="E372" s="12"/>
      <c r="F372" s="12"/>
      <c r="G372" s="12"/>
      <c r="H372" s="12"/>
      <c r="I372" s="23"/>
      <c r="J372" s="12"/>
      <c r="K372" s="23"/>
      <c r="L372" s="24"/>
      <c r="M372" s="12"/>
      <c r="N372" s="26" t="str">
        <f t="shared" si="2"/>
        <v>
</v>
      </c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0"/>
      <c r="B373" s="12"/>
      <c r="C373" s="12"/>
      <c r="D373" s="23"/>
      <c r="E373" s="22"/>
      <c r="F373" s="12"/>
      <c r="G373" s="12"/>
      <c r="H373" s="12"/>
      <c r="I373" s="23"/>
      <c r="J373" s="12"/>
      <c r="K373" s="23"/>
      <c r="L373" s="24"/>
      <c r="M373" s="12"/>
      <c r="N373" s="26" t="str">
        <f t="shared" si="2"/>
        <v>
</v>
      </c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0"/>
      <c r="B374" s="12"/>
      <c r="C374" s="12"/>
      <c r="D374" s="23"/>
      <c r="E374" s="22"/>
      <c r="F374" s="12"/>
      <c r="G374" s="22"/>
      <c r="H374" s="12"/>
      <c r="I374" s="35"/>
      <c r="J374" s="12"/>
      <c r="K374" s="23"/>
      <c r="L374" s="24"/>
      <c r="M374" s="12"/>
      <c r="N374" s="26" t="str">
        <f t="shared" si="2"/>
        <v>
</v>
      </c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0"/>
      <c r="B375" s="12"/>
      <c r="C375" s="12"/>
      <c r="D375" s="23"/>
      <c r="E375" s="22"/>
      <c r="F375" s="12"/>
      <c r="G375" s="12"/>
      <c r="H375" s="12"/>
      <c r="I375" s="23"/>
      <c r="J375" s="12"/>
      <c r="K375" s="23"/>
      <c r="L375" s="24"/>
      <c r="M375" s="12"/>
      <c r="N375" s="26" t="str">
        <f t="shared" si="2"/>
        <v>
</v>
      </c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0"/>
      <c r="B376" s="12"/>
      <c r="C376" s="12"/>
      <c r="D376" s="23"/>
      <c r="E376" s="22"/>
      <c r="F376" s="12"/>
      <c r="G376" s="12"/>
      <c r="H376" s="12"/>
      <c r="I376" s="23"/>
      <c r="J376" s="12"/>
      <c r="K376" s="23"/>
      <c r="L376" s="24"/>
      <c r="M376" s="39"/>
      <c r="N376" s="26" t="str">
        <f t="shared" si="2"/>
        <v>
</v>
      </c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0"/>
      <c r="B377" s="12"/>
      <c r="C377" s="12"/>
      <c r="D377" s="23"/>
      <c r="E377" s="22"/>
      <c r="F377" s="12"/>
      <c r="G377" s="12"/>
      <c r="H377" s="12"/>
      <c r="I377" s="23"/>
      <c r="J377" s="12"/>
      <c r="K377" s="23"/>
      <c r="L377" s="24"/>
      <c r="M377" s="12"/>
      <c r="N377" s="26" t="str">
        <f t="shared" si="2"/>
        <v>
</v>
      </c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0"/>
      <c r="B378" s="12"/>
      <c r="C378" s="12"/>
      <c r="D378" s="23"/>
      <c r="E378" s="22"/>
      <c r="F378" s="12"/>
      <c r="G378" s="12"/>
      <c r="H378" s="12"/>
      <c r="I378" s="23"/>
      <c r="J378" s="12"/>
      <c r="K378" s="23"/>
      <c r="L378" s="24"/>
      <c r="M378" s="12"/>
      <c r="N378" s="26" t="str">
        <f t="shared" si="2"/>
        <v>
</v>
      </c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0"/>
      <c r="B379" s="12"/>
      <c r="C379" s="12"/>
      <c r="D379" s="23"/>
      <c r="E379" s="22"/>
      <c r="F379" s="12"/>
      <c r="G379" s="12"/>
      <c r="H379" s="12"/>
      <c r="I379" s="23"/>
      <c r="J379" s="12"/>
      <c r="K379" s="23"/>
      <c r="L379" s="24"/>
      <c r="M379" s="12"/>
      <c r="N379" s="26" t="str">
        <f t="shared" si="2"/>
        <v>
</v>
      </c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0"/>
      <c r="B380" s="12"/>
      <c r="C380" s="12"/>
      <c r="D380" s="23"/>
      <c r="E380" s="12"/>
      <c r="F380" s="12"/>
      <c r="G380" s="12"/>
      <c r="H380" s="12"/>
      <c r="I380" s="23"/>
      <c r="J380" s="12"/>
      <c r="K380" s="23"/>
      <c r="L380" s="24"/>
      <c r="M380" s="12"/>
      <c r="N380" s="26" t="str">
        <f t="shared" si="2"/>
        <v>
</v>
      </c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0"/>
      <c r="B381" s="12"/>
      <c r="C381" s="12"/>
      <c r="D381" s="23"/>
      <c r="E381" s="22"/>
      <c r="F381" s="12"/>
      <c r="G381" s="12"/>
      <c r="H381" s="12"/>
      <c r="I381" s="35"/>
      <c r="J381" s="22"/>
      <c r="K381" s="23"/>
      <c r="L381" s="24"/>
      <c r="M381" s="12"/>
      <c r="N381" s="26" t="str">
        <f t="shared" si="2"/>
        <v>
</v>
      </c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0"/>
      <c r="B382" s="12"/>
      <c r="C382" s="12"/>
      <c r="D382" s="23"/>
      <c r="E382" s="22"/>
      <c r="F382" s="12"/>
      <c r="G382" s="22"/>
      <c r="H382" s="12"/>
      <c r="I382" s="23"/>
      <c r="J382" s="12"/>
      <c r="K382" s="23"/>
      <c r="L382" s="24"/>
      <c r="M382" s="12"/>
      <c r="N382" s="26" t="str">
        <f t="shared" si="2"/>
        <v>
</v>
      </c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0"/>
      <c r="B383" s="12"/>
      <c r="C383" s="12"/>
      <c r="D383" s="23"/>
      <c r="E383" s="22"/>
      <c r="F383" s="12"/>
      <c r="G383" s="22"/>
      <c r="H383" s="12"/>
      <c r="I383" s="23"/>
      <c r="J383" s="12"/>
      <c r="K383" s="23"/>
      <c r="L383" s="24"/>
      <c r="M383" s="12"/>
      <c r="N383" s="26" t="str">
        <f t="shared" si="2"/>
        <v>
</v>
      </c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0"/>
      <c r="B384" s="12"/>
      <c r="C384" s="12"/>
      <c r="D384" s="23"/>
      <c r="E384" s="22"/>
      <c r="F384" s="12"/>
      <c r="G384" s="12"/>
      <c r="H384" s="12"/>
      <c r="I384" s="23"/>
      <c r="J384" s="12"/>
      <c r="K384" s="23"/>
      <c r="L384" s="24"/>
      <c r="M384" s="12"/>
      <c r="N384" s="26" t="str">
        <f t="shared" si="2"/>
        <v>
</v>
      </c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0"/>
      <c r="B385" s="12"/>
      <c r="C385" s="12"/>
      <c r="D385" s="23"/>
      <c r="E385" s="22"/>
      <c r="F385" s="12"/>
      <c r="G385" s="12"/>
      <c r="H385" s="12"/>
      <c r="I385" s="23"/>
      <c r="J385" s="12"/>
      <c r="K385" s="23"/>
      <c r="L385" s="24"/>
      <c r="M385" s="12"/>
      <c r="N385" s="26" t="str">
        <f t="shared" si="2"/>
        <v>
</v>
      </c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0"/>
      <c r="B386" s="12"/>
      <c r="C386" s="12"/>
      <c r="D386" s="23"/>
      <c r="E386" s="22"/>
      <c r="F386" s="12"/>
      <c r="G386" s="12"/>
      <c r="H386" s="12"/>
      <c r="I386" s="23"/>
      <c r="J386" s="12"/>
      <c r="K386" s="23"/>
      <c r="L386" s="24"/>
      <c r="M386" s="12"/>
      <c r="N386" s="26" t="str">
        <f t="shared" si="2"/>
        <v>
</v>
      </c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0"/>
      <c r="B387" s="12"/>
      <c r="C387" s="12"/>
      <c r="D387" s="23"/>
      <c r="E387" s="12"/>
      <c r="F387" s="12"/>
      <c r="G387" s="12"/>
      <c r="H387" s="12"/>
      <c r="I387" s="23"/>
      <c r="J387" s="12"/>
      <c r="K387" s="23"/>
      <c r="L387" s="24"/>
      <c r="M387" s="12"/>
      <c r="N387" s="26" t="str">
        <f t="shared" si="2"/>
        <v>
</v>
      </c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0"/>
      <c r="B388" s="12"/>
      <c r="C388" s="12"/>
      <c r="D388" s="23"/>
      <c r="E388" s="22"/>
      <c r="F388" s="12"/>
      <c r="G388" s="22"/>
      <c r="H388" s="12"/>
      <c r="I388" s="23"/>
      <c r="J388" s="12"/>
      <c r="K388" s="23"/>
      <c r="L388" s="24"/>
      <c r="M388" s="12"/>
      <c r="N388" s="26" t="str">
        <f t="shared" si="2"/>
        <v>
</v>
      </c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0"/>
      <c r="B389" s="12"/>
      <c r="C389" s="12"/>
      <c r="D389" s="23"/>
      <c r="E389" s="22"/>
      <c r="F389" s="12"/>
      <c r="G389" s="22"/>
      <c r="H389" s="12"/>
      <c r="I389" s="23"/>
      <c r="J389" s="12"/>
      <c r="K389" s="23"/>
      <c r="L389" s="24"/>
      <c r="M389" s="12"/>
      <c r="N389" s="26" t="str">
        <f t="shared" si="2"/>
        <v>
</v>
      </c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0"/>
      <c r="B390" s="12"/>
      <c r="C390" s="12"/>
      <c r="D390" s="23"/>
      <c r="E390" s="12"/>
      <c r="F390" s="12"/>
      <c r="G390" s="22"/>
      <c r="H390" s="12"/>
      <c r="I390" s="23"/>
      <c r="J390" s="12"/>
      <c r="K390" s="23"/>
      <c r="L390" s="24"/>
      <c r="M390" s="12"/>
      <c r="N390" s="26" t="str">
        <f t="shared" si="2"/>
        <v>
</v>
      </c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0"/>
      <c r="B391" s="12"/>
      <c r="C391" s="12"/>
      <c r="D391" s="23"/>
      <c r="E391" s="22"/>
      <c r="F391" s="12"/>
      <c r="G391" s="12"/>
      <c r="H391" s="12"/>
      <c r="I391" s="23"/>
      <c r="J391" s="12"/>
      <c r="K391" s="23"/>
      <c r="L391" s="24"/>
      <c r="M391" s="12"/>
      <c r="N391" s="26" t="str">
        <f t="shared" si="2"/>
        <v>
</v>
      </c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0"/>
      <c r="B392" s="12"/>
      <c r="C392" s="12"/>
      <c r="D392" s="23"/>
      <c r="E392" s="22"/>
      <c r="F392" s="12"/>
      <c r="G392" s="12"/>
      <c r="H392" s="12"/>
      <c r="I392" s="23"/>
      <c r="J392" s="12"/>
      <c r="K392" s="23"/>
      <c r="L392" s="24"/>
      <c r="M392" s="12"/>
      <c r="N392" s="26" t="str">
        <f t="shared" si="2"/>
        <v>
</v>
      </c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0"/>
      <c r="B393" s="12"/>
      <c r="C393" s="12"/>
      <c r="D393" s="23"/>
      <c r="E393" s="12"/>
      <c r="F393" s="12"/>
      <c r="G393" s="22"/>
      <c r="H393" s="12"/>
      <c r="I393" s="35"/>
      <c r="J393" s="12"/>
      <c r="K393" s="23"/>
      <c r="L393" s="24"/>
      <c r="M393" s="12"/>
      <c r="N393" s="26" t="str">
        <f t="shared" si="2"/>
        <v>
</v>
      </c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0"/>
      <c r="B394" s="12"/>
      <c r="C394" s="12"/>
      <c r="D394" s="23"/>
      <c r="E394" s="22"/>
      <c r="F394" s="12"/>
      <c r="G394" s="12"/>
      <c r="H394" s="12"/>
      <c r="I394" s="23"/>
      <c r="J394" s="12"/>
      <c r="K394" s="23"/>
      <c r="L394" s="24"/>
      <c r="M394" s="12"/>
      <c r="N394" s="26" t="str">
        <f t="shared" si="2"/>
        <v>
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0"/>
      <c r="B395" s="12"/>
      <c r="C395" s="12"/>
      <c r="D395" s="23"/>
      <c r="E395" s="22"/>
      <c r="F395" s="12"/>
      <c r="G395" s="22"/>
      <c r="H395" s="12"/>
      <c r="I395" s="23"/>
      <c r="J395" s="12"/>
      <c r="K395" s="23"/>
      <c r="L395" s="24"/>
      <c r="M395" s="12"/>
      <c r="N395" s="26" t="str">
        <f t="shared" si="2"/>
        <v>
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0"/>
      <c r="B396" s="12"/>
      <c r="C396" s="12"/>
      <c r="D396" s="23"/>
      <c r="E396" s="22"/>
      <c r="F396" s="12"/>
      <c r="G396" s="22"/>
      <c r="H396" s="12"/>
      <c r="I396" s="35"/>
      <c r="J396" s="22"/>
      <c r="K396" s="35"/>
      <c r="L396" s="24"/>
      <c r="M396" s="12"/>
      <c r="N396" s="26" t="str">
        <f t="shared" si="2"/>
        <v>
</v>
      </c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0"/>
      <c r="B397" s="12"/>
      <c r="C397" s="12"/>
      <c r="D397" s="23"/>
      <c r="E397" s="12"/>
      <c r="F397" s="12"/>
      <c r="G397" s="12"/>
      <c r="H397" s="12"/>
      <c r="I397" s="23"/>
      <c r="J397" s="12"/>
      <c r="K397" s="23"/>
      <c r="L397" s="24"/>
      <c r="M397" s="12"/>
      <c r="N397" s="26" t="str">
        <f t="shared" si="2"/>
        <v>
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0"/>
      <c r="B398" s="12"/>
      <c r="C398" s="12"/>
      <c r="D398" s="23"/>
      <c r="E398" s="22"/>
      <c r="F398" s="12"/>
      <c r="G398" s="12"/>
      <c r="H398" s="12"/>
      <c r="I398" s="23"/>
      <c r="J398" s="12"/>
      <c r="K398" s="23"/>
      <c r="L398" s="24"/>
      <c r="M398" s="12"/>
      <c r="N398" s="26" t="str">
        <f t="shared" si="2"/>
        <v>
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0"/>
      <c r="B399" s="12"/>
      <c r="C399" s="12"/>
      <c r="D399" s="23"/>
      <c r="E399" s="22"/>
      <c r="F399" s="12"/>
      <c r="G399" s="22"/>
      <c r="H399" s="12"/>
      <c r="I399" s="35"/>
      <c r="J399" s="12"/>
      <c r="K399" s="23"/>
      <c r="L399" s="24"/>
      <c r="M399" s="12"/>
      <c r="N399" s="26" t="str">
        <f t="shared" si="2"/>
        <v>
</v>
      </c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0"/>
      <c r="B400" s="12"/>
      <c r="C400" s="12"/>
      <c r="D400" s="23"/>
      <c r="E400" s="22"/>
      <c r="F400" s="12"/>
      <c r="G400" s="22"/>
      <c r="H400" s="12"/>
      <c r="I400" s="35"/>
      <c r="J400" s="12"/>
      <c r="K400" s="23"/>
      <c r="L400" s="24"/>
      <c r="M400" s="12"/>
      <c r="N400" s="26" t="str">
        <f t="shared" si="2"/>
        <v>
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0"/>
      <c r="B401" s="12"/>
      <c r="C401" s="12"/>
      <c r="D401" s="23"/>
      <c r="E401" s="22"/>
      <c r="F401" s="12"/>
      <c r="G401" s="12"/>
      <c r="H401" s="12"/>
      <c r="I401" s="23"/>
      <c r="J401" s="12"/>
      <c r="K401" s="23"/>
      <c r="L401" s="24"/>
      <c r="M401" s="12"/>
      <c r="N401" s="26" t="str">
        <f t="shared" si="2"/>
        <v>
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0"/>
      <c r="B402" s="12"/>
      <c r="C402" s="12"/>
      <c r="D402" s="23"/>
      <c r="E402" s="22"/>
      <c r="F402" s="22"/>
      <c r="G402" s="22"/>
      <c r="H402" s="12"/>
      <c r="I402" s="35"/>
      <c r="J402" s="12"/>
      <c r="K402" s="23"/>
      <c r="L402" s="24"/>
      <c r="M402" s="12"/>
      <c r="N402" s="26" t="str">
        <f t="shared" si="2"/>
        <v>
</v>
      </c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0"/>
      <c r="B403" s="12"/>
      <c r="C403" s="12"/>
      <c r="D403" s="23"/>
      <c r="E403" s="22"/>
      <c r="F403" s="12"/>
      <c r="G403" s="12"/>
      <c r="H403" s="12"/>
      <c r="I403" s="23"/>
      <c r="J403" s="12"/>
      <c r="K403" s="23"/>
      <c r="L403" s="24"/>
      <c r="M403" s="12"/>
      <c r="N403" s="26" t="str">
        <f t="shared" si="2"/>
        <v>
</v>
      </c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0"/>
      <c r="B404" s="12"/>
      <c r="C404" s="12"/>
      <c r="D404" s="23"/>
      <c r="E404" s="22"/>
      <c r="F404" s="12"/>
      <c r="G404" s="22"/>
      <c r="H404" s="12"/>
      <c r="I404" s="35"/>
      <c r="J404" s="12"/>
      <c r="K404" s="23"/>
      <c r="L404" s="24"/>
      <c r="M404" s="12"/>
      <c r="N404" s="26" t="str">
        <f t="shared" si="2"/>
        <v>
</v>
      </c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0"/>
      <c r="B405" s="12"/>
      <c r="C405" s="12"/>
      <c r="D405" s="23"/>
      <c r="E405" s="12"/>
      <c r="F405" s="12"/>
      <c r="G405" s="22"/>
      <c r="H405" s="22"/>
      <c r="I405" s="35"/>
      <c r="J405" s="12"/>
      <c r="K405" s="23"/>
      <c r="L405" s="24"/>
      <c r="M405" s="12"/>
      <c r="N405" s="26" t="str">
        <f t="shared" si="2"/>
        <v>
</v>
      </c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0"/>
      <c r="B406" s="12"/>
      <c r="C406" s="12"/>
      <c r="D406" s="23"/>
      <c r="E406" s="22"/>
      <c r="F406" s="12"/>
      <c r="G406" s="22"/>
      <c r="H406" s="12"/>
      <c r="I406" s="35"/>
      <c r="J406" s="12"/>
      <c r="K406" s="23"/>
      <c r="L406" s="24"/>
      <c r="M406" s="12"/>
      <c r="N406" s="26" t="str">
        <f t="shared" si="2"/>
        <v>
</v>
      </c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0"/>
      <c r="B407" s="12"/>
      <c r="C407" s="12"/>
      <c r="D407" s="35"/>
      <c r="E407" s="22"/>
      <c r="F407" s="12"/>
      <c r="G407" s="22"/>
      <c r="H407" s="12"/>
      <c r="I407" s="35"/>
      <c r="J407" s="12"/>
      <c r="K407" s="23"/>
      <c r="L407" s="24"/>
      <c r="M407" s="12"/>
      <c r="N407" s="26" t="str">
        <f t="shared" si="2"/>
        <v>
</v>
      </c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0"/>
      <c r="B408" s="12"/>
      <c r="C408" s="12"/>
      <c r="D408" s="35"/>
      <c r="E408" s="22"/>
      <c r="F408" s="12"/>
      <c r="G408" s="12"/>
      <c r="H408" s="12"/>
      <c r="I408" s="23"/>
      <c r="J408" s="12"/>
      <c r="K408" s="23"/>
      <c r="L408" s="24"/>
      <c r="M408" s="12"/>
      <c r="N408" s="26" t="str">
        <f t="shared" si="2"/>
        <v>
</v>
      </c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0"/>
      <c r="B409" s="12"/>
      <c r="C409" s="12"/>
      <c r="D409" s="23"/>
      <c r="E409" s="12"/>
      <c r="F409" s="12"/>
      <c r="G409" s="12"/>
      <c r="H409" s="12"/>
      <c r="I409" s="23"/>
      <c r="J409" s="12"/>
      <c r="K409" s="23"/>
      <c r="L409" s="24"/>
      <c r="M409" s="12"/>
      <c r="N409" s="26" t="str">
        <f t="shared" si="2"/>
        <v>
</v>
      </c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0"/>
      <c r="B410" s="12"/>
      <c r="C410" s="12"/>
      <c r="D410" s="23"/>
      <c r="E410" s="22"/>
      <c r="F410" s="12"/>
      <c r="G410" s="22"/>
      <c r="H410" s="12"/>
      <c r="I410" s="35"/>
      <c r="J410" s="22"/>
      <c r="K410" s="23"/>
      <c r="L410" s="24"/>
      <c r="M410" s="12"/>
      <c r="N410" s="26" t="str">
        <f t="shared" si="2"/>
        <v>
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0"/>
      <c r="B411" s="12"/>
      <c r="C411" s="12"/>
      <c r="D411" s="23"/>
      <c r="E411" s="12"/>
      <c r="F411" s="12"/>
      <c r="G411" s="12"/>
      <c r="H411" s="12"/>
      <c r="I411" s="23"/>
      <c r="J411" s="12"/>
      <c r="K411" s="23"/>
      <c r="L411" s="24"/>
      <c r="M411" s="12"/>
      <c r="N411" s="26" t="str">
        <f t="shared" si="2"/>
        <v>
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0"/>
      <c r="B412" s="12"/>
      <c r="C412" s="12"/>
      <c r="D412" s="23"/>
      <c r="E412" s="12"/>
      <c r="F412" s="12"/>
      <c r="G412" s="12"/>
      <c r="H412" s="12"/>
      <c r="I412" s="23"/>
      <c r="J412" s="12"/>
      <c r="K412" s="23"/>
      <c r="L412" s="24"/>
      <c r="M412" s="12"/>
      <c r="N412" s="26" t="str">
        <f t="shared" si="2"/>
        <v>
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0"/>
      <c r="B413" s="12"/>
      <c r="C413" s="12"/>
      <c r="D413" s="23"/>
      <c r="E413" s="22"/>
      <c r="F413" s="12"/>
      <c r="G413" s="12"/>
      <c r="H413" s="12"/>
      <c r="I413" s="23"/>
      <c r="J413" s="12"/>
      <c r="K413" s="23"/>
      <c r="L413" s="24"/>
      <c r="M413" s="12"/>
      <c r="N413" s="26" t="str">
        <f t="shared" si="2"/>
        <v>
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0"/>
      <c r="B414" s="12"/>
      <c r="C414" s="12"/>
      <c r="D414" s="23"/>
      <c r="E414" s="22"/>
      <c r="F414" s="12"/>
      <c r="G414" s="12"/>
      <c r="H414" s="12"/>
      <c r="I414" s="23"/>
      <c r="J414" s="12"/>
      <c r="K414" s="23"/>
      <c r="L414" s="24"/>
      <c r="M414" s="12"/>
      <c r="N414" s="26" t="str">
        <f t="shared" si="2"/>
        <v>
</v>
      </c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0"/>
      <c r="B415" s="12"/>
      <c r="C415" s="12"/>
      <c r="D415" s="23"/>
      <c r="E415" s="22"/>
      <c r="F415" s="12"/>
      <c r="G415" s="12"/>
      <c r="H415" s="12"/>
      <c r="I415" s="35"/>
      <c r="J415" s="12"/>
      <c r="K415" s="23"/>
      <c r="L415" s="24"/>
      <c r="M415" s="12"/>
      <c r="N415" s="26" t="str">
        <f t="shared" si="2"/>
        <v>
</v>
      </c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0"/>
      <c r="B416" s="12"/>
      <c r="C416" s="12"/>
      <c r="D416" s="23"/>
      <c r="E416" s="12"/>
      <c r="F416" s="12"/>
      <c r="G416" s="12"/>
      <c r="H416" s="12"/>
      <c r="I416" s="35"/>
      <c r="J416" s="12"/>
      <c r="K416" s="23"/>
      <c r="L416" s="24"/>
      <c r="M416" s="12"/>
      <c r="N416" s="26" t="str">
        <f t="shared" si="2"/>
        <v>
</v>
      </c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0"/>
      <c r="B417" s="12"/>
      <c r="C417" s="12"/>
      <c r="D417" s="23"/>
      <c r="E417" s="22"/>
      <c r="F417" s="12"/>
      <c r="G417" s="12"/>
      <c r="H417" s="12"/>
      <c r="I417" s="23"/>
      <c r="J417" s="12"/>
      <c r="K417" s="23"/>
      <c r="L417" s="24"/>
      <c r="M417" s="12"/>
      <c r="N417" s="26" t="str">
        <f t="shared" si="2"/>
        <v>
</v>
      </c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0"/>
      <c r="B418" s="12"/>
      <c r="C418" s="12"/>
      <c r="D418" s="23"/>
      <c r="E418" s="22"/>
      <c r="F418" s="12"/>
      <c r="G418" s="22"/>
      <c r="H418" s="12"/>
      <c r="I418" s="35"/>
      <c r="J418" s="12"/>
      <c r="K418" s="23"/>
      <c r="L418" s="24"/>
      <c r="M418" s="12"/>
      <c r="N418" s="26" t="str">
        <f t="shared" si="2"/>
        <v>
</v>
      </c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0"/>
      <c r="B419" s="12"/>
      <c r="C419" s="12"/>
      <c r="D419" s="23"/>
      <c r="E419" s="22"/>
      <c r="F419" s="12"/>
      <c r="G419" s="12"/>
      <c r="H419" s="12"/>
      <c r="I419" s="35"/>
      <c r="J419" s="12"/>
      <c r="K419" s="23"/>
      <c r="L419" s="24"/>
      <c r="M419" s="12"/>
      <c r="N419" s="26" t="str">
        <f t="shared" si="2"/>
        <v>
</v>
      </c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0"/>
      <c r="B420" s="12"/>
      <c r="C420" s="12"/>
      <c r="D420" s="23"/>
      <c r="E420" s="12"/>
      <c r="F420" s="12"/>
      <c r="G420" s="12"/>
      <c r="H420" s="12"/>
      <c r="I420" s="23"/>
      <c r="J420" s="12"/>
      <c r="K420" s="23"/>
      <c r="L420" s="24"/>
      <c r="M420" s="12"/>
      <c r="N420" s="26" t="str">
        <f t="shared" si="2"/>
        <v>
</v>
      </c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0"/>
      <c r="B421" s="12"/>
      <c r="C421" s="12"/>
      <c r="D421" s="23"/>
      <c r="E421" s="22"/>
      <c r="F421" s="12"/>
      <c r="G421" s="12"/>
      <c r="H421" s="12"/>
      <c r="I421" s="23"/>
      <c r="J421" s="12"/>
      <c r="K421" s="23"/>
      <c r="L421" s="24"/>
      <c r="M421" s="12"/>
      <c r="N421" s="26" t="str">
        <f t="shared" si="2"/>
        <v>
</v>
      </c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0"/>
      <c r="B422" s="12"/>
      <c r="C422" s="12"/>
      <c r="D422" s="23"/>
      <c r="E422" s="22"/>
      <c r="F422" s="12"/>
      <c r="G422" s="12"/>
      <c r="H422" s="12"/>
      <c r="I422" s="23"/>
      <c r="J422" s="12"/>
      <c r="K422" s="23"/>
      <c r="L422" s="24"/>
      <c r="M422" s="12"/>
      <c r="N422" s="26" t="str">
        <f t="shared" si="2"/>
        <v>
</v>
      </c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0"/>
      <c r="B423" s="12"/>
      <c r="C423" s="12"/>
      <c r="D423" s="23"/>
      <c r="E423" s="22"/>
      <c r="F423" s="12"/>
      <c r="G423" s="12"/>
      <c r="H423" s="12"/>
      <c r="I423" s="23"/>
      <c r="J423" s="12"/>
      <c r="K423" s="23"/>
      <c r="L423" s="24"/>
      <c r="M423" s="12"/>
      <c r="N423" s="26" t="str">
        <f t="shared" si="2"/>
        <v>
</v>
      </c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0"/>
      <c r="B424" s="12"/>
      <c r="C424" s="12"/>
      <c r="D424" s="23"/>
      <c r="E424" s="12"/>
      <c r="F424" s="12"/>
      <c r="G424" s="12"/>
      <c r="H424" s="12"/>
      <c r="I424" s="23"/>
      <c r="J424" s="12"/>
      <c r="K424" s="23"/>
      <c r="L424" s="24"/>
      <c r="M424" s="12"/>
      <c r="N424" s="26" t="str">
        <f t="shared" si="2"/>
        <v>
</v>
      </c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0"/>
      <c r="B425" s="12"/>
      <c r="C425" s="12"/>
      <c r="D425" s="23"/>
      <c r="E425" s="22"/>
      <c r="F425" s="12"/>
      <c r="G425" s="12"/>
      <c r="H425" s="12"/>
      <c r="I425" s="23"/>
      <c r="J425" s="12"/>
      <c r="K425" s="23"/>
      <c r="L425" s="24"/>
      <c r="M425" s="12"/>
      <c r="N425" s="26" t="str">
        <f t="shared" si="2"/>
        <v>
</v>
      </c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0"/>
      <c r="B426" s="12"/>
      <c r="C426" s="12"/>
      <c r="D426" s="23"/>
      <c r="E426" s="22"/>
      <c r="F426" s="12"/>
      <c r="G426" s="12"/>
      <c r="H426" s="12"/>
      <c r="I426" s="23"/>
      <c r="J426" s="12"/>
      <c r="K426" s="23"/>
      <c r="L426" s="24"/>
      <c r="M426" s="12"/>
      <c r="N426" s="26" t="str">
        <f t="shared" si="2"/>
        <v>
</v>
      </c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88"/>
      <c r="B427" s="89"/>
      <c r="C427" s="90"/>
      <c r="D427" s="89"/>
      <c r="E427" s="50"/>
      <c r="F427" s="89"/>
      <c r="G427" s="89"/>
      <c r="H427" s="89"/>
      <c r="I427" s="89"/>
      <c r="J427" s="91"/>
      <c r="K427" s="89"/>
      <c r="L427" s="92"/>
      <c r="M427" s="89"/>
      <c r="N427" s="26" t="str">
        <f t="shared" si="2"/>
        <v>
</v>
      </c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0"/>
      <c r="B428" s="12"/>
      <c r="C428" s="12"/>
      <c r="D428" s="23"/>
      <c r="E428" s="22"/>
      <c r="F428" s="12"/>
      <c r="G428" s="12"/>
      <c r="H428" s="12"/>
      <c r="I428" s="23"/>
      <c r="J428" s="12"/>
      <c r="K428" s="23"/>
      <c r="L428" s="24"/>
      <c r="M428" s="12"/>
      <c r="N428" s="26" t="str">
        <f t="shared" si="2"/>
        <v>
</v>
      </c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0"/>
      <c r="B429" s="12"/>
      <c r="C429" s="12"/>
      <c r="D429" s="23"/>
      <c r="E429" s="12"/>
      <c r="F429" s="12"/>
      <c r="G429" s="12"/>
      <c r="H429" s="12"/>
      <c r="I429" s="23"/>
      <c r="J429" s="12"/>
      <c r="K429" s="23"/>
      <c r="L429" s="24"/>
      <c r="M429" s="12"/>
      <c r="N429" s="26" t="str">
        <f t="shared" si="2"/>
        <v>
</v>
      </c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0"/>
      <c r="B430" s="12"/>
      <c r="C430" s="12"/>
      <c r="D430" s="23"/>
      <c r="E430" s="12"/>
      <c r="F430" s="12"/>
      <c r="G430" s="12"/>
      <c r="H430" s="12"/>
      <c r="I430" s="23"/>
      <c r="J430" s="12"/>
      <c r="K430" s="23"/>
      <c r="L430" s="24"/>
      <c r="M430" s="12"/>
      <c r="N430" s="26" t="str">
        <f t="shared" si="2"/>
        <v>
</v>
      </c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0"/>
      <c r="B431" s="12"/>
      <c r="C431" s="12"/>
      <c r="D431" s="35"/>
      <c r="E431" s="22"/>
      <c r="F431" s="12"/>
      <c r="G431" s="12"/>
      <c r="H431" s="12"/>
      <c r="I431" s="23"/>
      <c r="J431" s="12"/>
      <c r="K431" s="23"/>
      <c r="L431" s="24"/>
      <c r="M431" s="12"/>
      <c r="N431" s="26" t="str">
        <f t="shared" si="2"/>
        <v>
</v>
      </c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0"/>
      <c r="B432" s="12"/>
      <c r="C432" s="12"/>
      <c r="D432" s="23"/>
      <c r="E432" s="22"/>
      <c r="F432" s="12"/>
      <c r="G432" s="12"/>
      <c r="H432" s="12"/>
      <c r="I432" s="23"/>
      <c r="J432" s="12"/>
      <c r="K432" s="23"/>
      <c r="L432" s="24"/>
      <c r="M432" s="39"/>
      <c r="N432" s="26" t="str">
        <f t="shared" si="2"/>
        <v>
</v>
      </c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0"/>
      <c r="B433" s="12"/>
      <c r="C433" s="12"/>
      <c r="D433" s="23"/>
      <c r="E433" s="22"/>
      <c r="F433" s="12"/>
      <c r="G433" s="12"/>
      <c r="H433" s="12"/>
      <c r="I433" s="23"/>
      <c r="J433" s="12"/>
      <c r="K433" s="23"/>
      <c r="L433" s="24"/>
      <c r="M433" s="12"/>
      <c r="N433" s="26" t="str">
        <f t="shared" si="2"/>
        <v>
</v>
      </c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0"/>
      <c r="B434" s="12"/>
      <c r="C434" s="12"/>
      <c r="D434" s="23"/>
      <c r="E434" s="22"/>
      <c r="F434" s="12"/>
      <c r="G434" s="12"/>
      <c r="H434" s="12"/>
      <c r="I434" s="23"/>
      <c r="J434" s="12"/>
      <c r="K434" s="23"/>
      <c r="L434" s="24"/>
      <c r="M434" s="12"/>
      <c r="N434" s="26" t="str">
        <f t="shared" si="2"/>
        <v>
</v>
      </c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0"/>
      <c r="B435" s="12"/>
      <c r="C435" s="12"/>
      <c r="D435" s="23"/>
      <c r="E435" s="22"/>
      <c r="F435" s="12"/>
      <c r="G435" s="12"/>
      <c r="H435" s="12"/>
      <c r="I435" s="23"/>
      <c r="J435" s="12"/>
      <c r="K435" s="23"/>
      <c r="L435" s="24"/>
      <c r="M435" s="12"/>
      <c r="N435" s="26" t="str">
        <f t="shared" si="2"/>
        <v>
</v>
      </c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0"/>
      <c r="B436" s="12"/>
      <c r="C436" s="12"/>
      <c r="D436" s="23"/>
      <c r="E436" s="22"/>
      <c r="F436" s="12"/>
      <c r="G436" s="12"/>
      <c r="H436" s="12"/>
      <c r="I436" s="23"/>
      <c r="J436" s="12"/>
      <c r="K436" s="23"/>
      <c r="L436" s="24"/>
      <c r="M436" s="12"/>
      <c r="N436" s="26" t="str">
        <f t="shared" si="2"/>
        <v>
</v>
      </c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0"/>
      <c r="B437" s="12"/>
      <c r="C437" s="12"/>
      <c r="D437" s="23"/>
      <c r="E437" s="22"/>
      <c r="F437" s="12"/>
      <c r="G437" s="12"/>
      <c r="H437" s="12"/>
      <c r="I437" s="23"/>
      <c r="J437" s="12"/>
      <c r="K437" s="23"/>
      <c r="L437" s="24"/>
      <c r="M437" s="12"/>
      <c r="N437" s="26" t="str">
        <f t="shared" si="2"/>
        <v>
</v>
      </c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0"/>
      <c r="B438" s="12"/>
      <c r="C438" s="12"/>
      <c r="D438" s="23"/>
      <c r="E438" s="22"/>
      <c r="F438" s="12"/>
      <c r="G438" s="12"/>
      <c r="H438" s="12"/>
      <c r="I438" s="23"/>
      <c r="J438" s="12"/>
      <c r="K438" s="23"/>
      <c r="L438" s="24"/>
      <c r="M438" s="12"/>
      <c r="N438" s="26" t="str">
        <f t="shared" si="2"/>
        <v>
</v>
      </c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0"/>
      <c r="B439" s="12"/>
      <c r="C439" s="12"/>
      <c r="D439" s="23"/>
      <c r="E439" s="22"/>
      <c r="F439" s="12"/>
      <c r="G439" s="12"/>
      <c r="H439" s="12"/>
      <c r="I439" s="23"/>
      <c r="J439" s="12"/>
      <c r="K439" s="23"/>
      <c r="L439" s="24"/>
      <c r="M439" s="12"/>
      <c r="N439" s="26" t="str">
        <f t="shared" si="2"/>
        <v>
</v>
      </c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0"/>
      <c r="B440" s="12"/>
      <c r="C440" s="12"/>
      <c r="D440" s="23"/>
      <c r="E440" s="22"/>
      <c r="F440" s="12"/>
      <c r="G440" s="12"/>
      <c r="H440" s="12"/>
      <c r="I440" s="23"/>
      <c r="J440" s="12"/>
      <c r="K440" s="23"/>
      <c r="L440" s="24"/>
      <c r="M440" s="12"/>
      <c r="N440" s="26" t="str">
        <f t="shared" si="2"/>
        <v>
</v>
      </c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0"/>
      <c r="B441" s="12"/>
      <c r="C441" s="12"/>
      <c r="D441" s="23"/>
      <c r="E441" s="12"/>
      <c r="F441" s="12"/>
      <c r="G441" s="12"/>
      <c r="H441" s="12"/>
      <c r="I441" s="23"/>
      <c r="J441" s="12"/>
      <c r="K441" s="23"/>
      <c r="L441" s="24"/>
      <c r="M441" s="12"/>
      <c r="N441" s="26" t="str">
        <f t="shared" si="2"/>
        <v>
</v>
      </c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0"/>
      <c r="B442" s="12"/>
      <c r="C442" s="12"/>
      <c r="D442" s="35"/>
      <c r="E442" s="22"/>
      <c r="F442" s="12"/>
      <c r="G442" s="12"/>
      <c r="H442" s="12"/>
      <c r="I442" s="23"/>
      <c r="J442" s="12"/>
      <c r="K442" s="23"/>
      <c r="L442" s="24"/>
      <c r="M442" s="12"/>
      <c r="N442" s="26" t="str">
        <f t="shared" si="2"/>
        <v>
</v>
      </c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0"/>
      <c r="B443" s="12"/>
      <c r="C443" s="12"/>
      <c r="D443" s="23"/>
      <c r="E443" s="12"/>
      <c r="F443" s="12"/>
      <c r="G443" s="12"/>
      <c r="H443" s="12"/>
      <c r="I443" s="23"/>
      <c r="J443" s="12"/>
      <c r="K443" s="23"/>
      <c r="L443" s="24"/>
      <c r="M443" s="12"/>
      <c r="N443" s="26" t="str">
        <f t="shared" si="2"/>
        <v>
</v>
      </c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0"/>
      <c r="B444" s="12"/>
      <c r="C444" s="12"/>
      <c r="D444" s="41"/>
      <c r="E444" s="12"/>
      <c r="F444" s="12"/>
      <c r="G444" s="22"/>
      <c r="H444" s="12"/>
      <c r="I444" s="35"/>
      <c r="J444" s="12"/>
      <c r="K444" s="23"/>
      <c r="L444" s="24"/>
      <c r="M444" s="12"/>
      <c r="N444" s="26" t="str">
        <f t="shared" si="2"/>
        <v>
</v>
      </c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0"/>
      <c r="B445" s="12"/>
      <c r="C445" s="12"/>
      <c r="D445" s="35"/>
      <c r="E445" s="22"/>
      <c r="F445" s="12"/>
      <c r="G445" s="22"/>
      <c r="H445" s="12"/>
      <c r="I445" s="23"/>
      <c r="J445" s="12"/>
      <c r="K445" s="23"/>
      <c r="L445" s="24"/>
      <c r="M445" s="12"/>
      <c r="N445" s="26" t="str">
        <f t="shared" si="2"/>
        <v>
</v>
      </c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0"/>
      <c r="B446" s="12"/>
      <c r="C446" s="12"/>
      <c r="D446" s="47"/>
      <c r="E446" s="12"/>
      <c r="F446" s="12"/>
      <c r="G446" s="12"/>
      <c r="H446" s="12"/>
      <c r="I446" s="23"/>
      <c r="J446" s="12"/>
      <c r="K446" s="23"/>
      <c r="L446" s="24"/>
      <c r="M446" s="12"/>
      <c r="N446" s="26" t="str">
        <f t="shared" si="2"/>
        <v>
</v>
      </c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0"/>
      <c r="B447" s="12"/>
      <c r="C447" s="12"/>
      <c r="D447" s="23"/>
      <c r="E447" s="12"/>
      <c r="F447" s="12"/>
      <c r="G447" s="12"/>
      <c r="H447" s="12"/>
      <c r="I447" s="23"/>
      <c r="J447" s="12"/>
      <c r="K447" s="23"/>
      <c r="L447" s="24"/>
      <c r="M447" s="12"/>
      <c r="N447" s="26" t="str">
        <f t="shared" si="2"/>
        <v>
</v>
      </c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0"/>
      <c r="B448" s="12"/>
      <c r="C448" s="12"/>
      <c r="D448" s="23"/>
      <c r="E448" s="12"/>
      <c r="F448" s="12"/>
      <c r="G448" s="12"/>
      <c r="H448" s="12"/>
      <c r="I448" s="23"/>
      <c r="J448" s="12"/>
      <c r="K448" s="23"/>
      <c r="L448" s="24"/>
      <c r="M448" s="12"/>
      <c r="N448" s="26" t="str">
        <f t="shared" si="2"/>
        <v>
</v>
      </c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0"/>
      <c r="B449" s="12"/>
      <c r="C449" s="12"/>
      <c r="D449" s="23"/>
      <c r="E449" s="12"/>
      <c r="F449" s="12"/>
      <c r="G449" s="12"/>
      <c r="H449" s="12"/>
      <c r="I449" s="23"/>
      <c r="J449" s="12"/>
      <c r="K449" s="23"/>
      <c r="L449" s="24"/>
      <c r="M449" s="12"/>
      <c r="N449" s="26" t="str">
        <f t="shared" si="2"/>
        <v>
</v>
      </c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0"/>
      <c r="B450" s="12"/>
      <c r="C450" s="12"/>
      <c r="D450" s="23"/>
      <c r="E450" s="12"/>
      <c r="F450" s="12"/>
      <c r="G450" s="12"/>
      <c r="H450" s="12"/>
      <c r="I450" s="23"/>
      <c r="J450" s="12"/>
      <c r="K450" s="23"/>
      <c r="L450" s="24"/>
      <c r="M450" s="12"/>
      <c r="N450" s="26" t="str">
        <f t="shared" si="2"/>
        <v>
</v>
      </c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0"/>
      <c r="B451" s="12"/>
      <c r="C451" s="12"/>
      <c r="D451" s="23"/>
      <c r="E451" s="12"/>
      <c r="F451" s="12"/>
      <c r="G451" s="12"/>
      <c r="H451" s="12"/>
      <c r="I451" s="23"/>
      <c r="J451" s="12"/>
      <c r="K451" s="23"/>
      <c r="L451" s="24"/>
      <c r="M451" s="12"/>
      <c r="N451" s="26" t="str">
        <f t="shared" si="2"/>
        <v>
</v>
      </c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0"/>
      <c r="B452" s="12"/>
      <c r="C452" s="12"/>
      <c r="D452" s="23"/>
      <c r="E452" s="12"/>
      <c r="F452" s="12"/>
      <c r="G452" s="22"/>
      <c r="H452" s="12"/>
      <c r="I452" s="23"/>
      <c r="J452" s="12"/>
      <c r="K452" s="23"/>
      <c r="L452" s="24"/>
      <c r="M452" s="12"/>
      <c r="N452" s="26" t="str">
        <f t="shared" si="2"/>
        <v>
</v>
      </c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0"/>
      <c r="B453" s="12"/>
      <c r="C453" s="12"/>
      <c r="D453" s="23"/>
      <c r="E453" s="12"/>
      <c r="F453" s="12"/>
      <c r="G453" s="22"/>
      <c r="H453" s="12"/>
      <c r="I453" s="23"/>
      <c r="J453" s="12"/>
      <c r="K453" s="23"/>
      <c r="L453" s="24"/>
      <c r="M453" s="12"/>
      <c r="N453" s="26" t="str">
        <f t="shared" si="2"/>
        <v>
</v>
      </c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0"/>
      <c r="B454" s="12"/>
      <c r="C454" s="12"/>
      <c r="D454" s="23"/>
      <c r="E454" s="22"/>
      <c r="F454" s="12"/>
      <c r="G454" s="12"/>
      <c r="H454" s="12"/>
      <c r="I454" s="23"/>
      <c r="J454" s="12"/>
      <c r="K454" s="23"/>
      <c r="L454" s="24"/>
      <c r="M454" s="12"/>
      <c r="N454" s="26" t="str">
        <f t="shared" si="2"/>
        <v>
</v>
      </c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0"/>
      <c r="B455" s="12"/>
      <c r="C455" s="12"/>
      <c r="D455" s="23"/>
      <c r="E455" s="22"/>
      <c r="F455" s="12"/>
      <c r="G455" s="12"/>
      <c r="H455" s="12"/>
      <c r="I455" s="23"/>
      <c r="J455" s="12"/>
      <c r="K455" s="23"/>
      <c r="L455" s="24"/>
      <c r="M455" s="12"/>
      <c r="N455" s="26" t="str">
        <f t="shared" si="2"/>
        <v>
</v>
      </c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0"/>
      <c r="B456" s="12"/>
      <c r="C456" s="12"/>
      <c r="D456" s="23"/>
      <c r="E456" s="12"/>
      <c r="F456" s="12"/>
      <c r="G456" s="12"/>
      <c r="H456" s="12"/>
      <c r="I456" s="23"/>
      <c r="J456" s="12"/>
      <c r="K456" s="23"/>
      <c r="L456" s="24"/>
      <c r="M456" s="12"/>
      <c r="N456" s="26" t="str">
        <f t="shared" si="2"/>
        <v>
</v>
      </c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0"/>
      <c r="B457" s="12"/>
      <c r="C457" s="12"/>
      <c r="D457" s="23"/>
      <c r="E457" s="12"/>
      <c r="F457" s="12"/>
      <c r="G457" s="22"/>
      <c r="H457" s="12"/>
      <c r="I457" s="23"/>
      <c r="J457" s="12"/>
      <c r="K457" s="23"/>
      <c r="L457" s="24"/>
      <c r="M457" s="12"/>
      <c r="N457" s="26" t="str">
        <f t="shared" si="2"/>
        <v>
</v>
      </c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0"/>
      <c r="B458" s="12"/>
      <c r="C458" s="12"/>
      <c r="D458" s="23"/>
      <c r="E458" s="12"/>
      <c r="F458" s="12"/>
      <c r="G458" s="22"/>
      <c r="H458" s="12"/>
      <c r="I458" s="23"/>
      <c r="J458" s="12"/>
      <c r="K458" s="23"/>
      <c r="L458" s="24"/>
      <c r="M458" s="12"/>
      <c r="N458" s="26" t="str">
        <f t="shared" si="2"/>
        <v>
</v>
      </c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0"/>
      <c r="B459" s="12"/>
      <c r="C459" s="12"/>
      <c r="D459" s="23"/>
      <c r="E459" s="12"/>
      <c r="F459" s="12"/>
      <c r="G459" s="12"/>
      <c r="H459" s="12"/>
      <c r="I459" s="23"/>
      <c r="J459" s="12"/>
      <c r="K459" s="23"/>
      <c r="L459" s="24"/>
      <c r="M459" s="12"/>
      <c r="N459" s="26" t="str">
        <f t="shared" si="2"/>
        <v>
</v>
      </c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0"/>
      <c r="B460" s="12"/>
      <c r="C460" s="12"/>
      <c r="D460" s="23"/>
      <c r="E460" s="12"/>
      <c r="F460" s="12"/>
      <c r="G460" s="12"/>
      <c r="H460" s="12"/>
      <c r="I460" s="23"/>
      <c r="J460" s="12"/>
      <c r="K460" s="23"/>
      <c r="L460" s="24"/>
      <c r="M460" s="12"/>
      <c r="N460" s="26" t="str">
        <f t="shared" si="2"/>
        <v>
</v>
      </c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0"/>
      <c r="B461" s="12"/>
      <c r="C461" s="12"/>
      <c r="D461" s="23"/>
      <c r="E461" s="12"/>
      <c r="F461" s="12"/>
      <c r="G461" s="12"/>
      <c r="H461" s="12"/>
      <c r="I461" s="23"/>
      <c r="J461" s="12"/>
      <c r="K461" s="23"/>
      <c r="L461" s="24"/>
      <c r="M461" s="12"/>
      <c r="N461" s="26" t="str">
        <f t="shared" si="2"/>
        <v>
</v>
      </c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0"/>
      <c r="B462" s="12"/>
      <c r="C462" s="12"/>
      <c r="D462" s="23"/>
      <c r="E462" s="12"/>
      <c r="F462" s="12"/>
      <c r="G462" s="12"/>
      <c r="H462" s="12"/>
      <c r="I462" s="23"/>
      <c r="J462" s="12"/>
      <c r="K462" s="23"/>
      <c r="L462" s="24"/>
      <c r="M462" s="12"/>
      <c r="N462" s="26" t="str">
        <f t="shared" si="2"/>
        <v>
</v>
      </c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0"/>
      <c r="B463" s="12"/>
      <c r="C463" s="12"/>
      <c r="D463" s="23"/>
      <c r="E463" s="12"/>
      <c r="F463" s="12"/>
      <c r="G463" s="12"/>
      <c r="H463" s="12"/>
      <c r="I463" s="23"/>
      <c r="J463" s="12"/>
      <c r="K463" s="23"/>
      <c r="L463" s="24"/>
      <c r="M463" s="12"/>
      <c r="N463" s="26" t="str">
        <f t="shared" si="2"/>
        <v>
</v>
      </c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0"/>
      <c r="B464" s="12"/>
      <c r="C464" s="12"/>
      <c r="D464" s="23"/>
      <c r="E464" s="12"/>
      <c r="F464" s="12"/>
      <c r="G464" s="22"/>
      <c r="H464" s="12"/>
      <c r="I464" s="23"/>
      <c r="J464" s="12"/>
      <c r="K464" s="23"/>
      <c r="L464" s="24"/>
      <c r="M464" s="12"/>
      <c r="N464" s="26" t="str">
        <f t="shared" si="2"/>
        <v>
</v>
      </c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0"/>
      <c r="B465" s="12"/>
      <c r="C465" s="12"/>
      <c r="D465" s="23"/>
      <c r="E465" s="12"/>
      <c r="F465" s="12"/>
      <c r="G465" s="12"/>
      <c r="H465" s="12"/>
      <c r="I465" s="23"/>
      <c r="J465" s="12"/>
      <c r="K465" s="23"/>
      <c r="L465" s="24"/>
      <c r="M465" s="12"/>
      <c r="N465" s="26" t="str">
        <f t="shared" si="2"/>
        <v>
</v>
      </c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0"/>
      <c r="B466" s="12"/>
      <c r="C466" s="12"/>
      <c r="D466" s="23"/>
      <c r="E466" s="12"/>
      <c r="F466" s="12"/>
      <c r="G466" s="12"/>
      <c r="H466" s="12"/>
      <c r="I466" s="23"/>
      <c r="J466" s="12"/>
      <c r="K466" s="23"/>
      <c r="L466" s="24"/>
      <c r="M466" s="12"/>
      <c r="N466" s="26" t="str">
        <f t="shared" si="2"/>
        <v>
</v>
      </c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0"/>
      <c r="B467" s="12"/>
      <c r="C467" s="12"/>
      <c r="D467" s="23"/>
      <c r="E467" s="12"/>
      <c r="F467" s="12"/>
      <c r="G467" s="12"/>
      <c r="H467" s="12"/>
      <c r="I467" s="23"/>
      <c r="J467" s="12"/>
      <c r="K467" s="23"/>
      <c r="L467" s="24"/>
      <c r="M467" s="12"/>
      <c r="N467" s="26" t="str">
        <f t="shared" si="2"/>
        <v>
</v>
      </c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0"/>
      <c r="B468" s="12"/>
      <c r="C468" s="12"/>
      <c r="D468" s="23"/>
      <c r="E468" s="12"/>
      <c r="F468" s="12"/>
      <c r="G468" s="12"/>
      <c r="H468" s="12"/>
      <c r="I468" s="23"/>
      <c r="J468" s="12"/>
      <c r="K468" s="23"/>
      <c r="L468" s="24"/>
      <c r="M468" s="12"/>
      <c r="N468" s="26" t="str">
        <f t="shared" si="2"/>
        <v>
</v>
      </c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0"/>
      <c r="B469" s="12"/>
      <c r="C469" s="12"/>
      <c r="D469" s="23"/>
      <c r="E469" s="12"/>
      <c r="F469" s="12"/>
      <c r="G469" s="12"/>
      <c r="H469" s="12"/>
      <c r="I469" s="23"/>
      <c r="J469" s="12"/>
      <c r="K469" s="23"/>
      <c r="L469" s="24"/>
      <c r="M469" s="12"/>
      <c r="N469" s="26" t="str">
        <f t="shared" si="2"/>
        <v>
</v>
      </c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0"/>
      <c r="B470" s="12"/>
      <c r="C470" s="12"/>
      <c r="D470" s="23"/>
      <c r="E470" s="22"/>
      <c r="F470" s="12"/>
      <c r="G470" s="12"/>
      <c r="H470" s="12"/>
      <c r="I470" s="23"/>
      <c r="J470" s="12"/>
      <c r="K470" s="23"/>
      <c r="L470" s="24"/>
      <c r="M470" s="39"/>
      <c r="N470" s="26" t="str">
        <f t="shared" si="2"/>
        <v>
</v>
      </c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0"/>
      <c r="B471" s="12"/>
      <c r="C471" s="12"/>
      <c r="D471" s="23"/>
      <c r="E471" s="12"/>
      <c r="F471" s="12"/>
      <c r="G471" s="12"/>
      <c r="H471" s="12"/>
      <c r="I471" s="35"/>
      <c r="J471" s="12"/>
      <c r="K471" s="23"/>
      <c r="L471" s="24"/>
      <c r="M471" s="12"/>
      <c r="N471" s="26" t="str">
        <f t="shared" si="2"/>
        <v>
</v>
      </c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0"/>
      <c r="B472" s="12"/>
      <c r="C472" s="12"/>
      <c r="D472" s="23"/>
      <c r="E472" s="12"/>
      <c r="F472" s="12"/>
      <c r="G472" s="12"/>
      <c r="H472" s="12"/>
      <c r="I472" s="23"/>
      <c r="J472" s="12"/>
      <c r="K472" s="23"/>
      <c r="L472" s="24"/>
      <c r="M472" s="12"/>
      <c r="N472" s="26" t="str">
        <f t="shared" si="2"/>
        <v>
</v>
      </c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0"/>
      <c r="B473" s="12"/>
      <c r="C473" s="12"/>
      <c r="D473" s="23"/>
      <c r="E473" s="12"/>
      <c r="F473" s="12"/>
      <c r="G473" s="22"/>
      <c r="H473" s="12"/>
      <c r="I473" s="23"/>
      <c r="J473" s="12"/>
      <c r="K473" s="23"/>
      <c r="L473" s="24"/>
      <c r="M473" s="12"/>
      <c r="N473" s="26" t="str">
        <f t="shared" si="2"/>
        <v>
</v>
      </c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0"/>
      <c r="B474" s="12"/>
      <c r="C474" s="12"/>
      <c r="D474" s="23"/>
      <c r="E474" s="12"/>
      <c r="F474" s="12"/>
      <c r="G474" s="22"/>
      <c r="H474" s="12"/>
      <c r="I474" s="23"/>
      <c r="J474" s="12"/>
      <c r="K474" s="23"/>
      <c r="L474" s="24"/>
      <c r="M474" s="12"/>
      <c r="N474" s="26" t="str">
        <f t="shared" si="2"/>
        <v>
</v>
      </c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0"/>
      <c r="B475" s="12"/>
      <c r="C475" s="12"/>
      <c r="D475" s="23"/>
      <c r="E475" s="12"/>
      <c r="F475" s="12"/>
      <c r="G475" s="12"/>
      <c r="H475" s="12"/>
      <c r="I475" s="23"/>
      <c r="J475" s="12"/>
      <c r="K475" s="23"/>
      <c r="L475" s="24"/>
      <c r="M475" s="12"/>
      <c r="N475" s="26" t="str">
        <f t="shared" si="2"/>
        <v>
</v>
      </c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0"/>
      <c r="B476" s="12"/>
      <c r="C476" s="12"/>
      <c r="D476" s="23"/>
      <c r="E476" s="12"/>
      <c r="F476" s="12"/>
      <c r="G476" s="12"/>
      <c r="H476" s="12"/>
      <c r="I476" s="23"/>
      <c r="J476" s="12"/>
      <c r="K476" s="23"/>
      <c r="L476" s="24"/>
      <c r="M476" s="12"/>
      <c r="N476" s="26" t="str">
        <f t="shared" si="2"/>
        <v>
</v>
      </c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0"/>
      <c r="B477" s="12"/>
      <c r="C477" s="12"/>
      <c r="D477" s="23"/>
      <c r="E477" s="12"/>
      <c r="F477" s="12"/>
      <c r="G477" s="12"/>
      <c r="H477" s="12"/>
      <c r="I477" s="23"/>
      <c r="J477" s="12"/>
      <c r="K477" s="23"/>
      <c r="L477" s="24"/>
      <c r="M477" s="12"/>
      <c r="N477" s="26" t="str">
        <f t="shared" si="2"/>
        <v>
</v>
      </c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0"/>
      <c r="B478" s="12"/>
      <c r="C478" s="12"/>
      <c r="D478" s="23"/>
      <c r="E478" s="12"/>
      <c r="F478" s="12"/>
      <c r="G478" s="12"/>
      <c r="H478" s="12"/>
      <c r="I478" s="35"/>
      <c r="J478" s="12"/>
      <c r="K478" s="23"/>
      <c r="L478" s="24"/>
      <c r="M478" s="12"/>
      <c r="N478" s="26" t="str">
        <f t="shared" si="2"/>
        <v>
</v>
      </c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0"/>
      <c r="B479" s="12"/>
      <c r="C479" s="12"/>
      <c r="D479" s="23"/>
      <c r="E479" s="12"/>
      <c r="F479" s="12"/>
      <c r="G479" s="12"/>
      <c r="H479" s="12"/>
      <c r="I479" s="23"/>
      <c r="J479" s="12"/>
      <c r="K479" s="23"/>
      <c r="L479" s="24"/>
      <c r="M479" s="12"/>
      <c r="N479" s="26" t="str">
        <f t="shared" si="2"/>
        <v>
</v>
      </c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0"/>
      <c r="B480" s="12"/>
      <c r="C480" s="12"/>
      <c r="D480" s="23"/>
      <c r="E480" s="12"/>
      <c r="F480" s="12"/>
      <c r="G480" s="12"/>
      <c r="H480" s="12"/>
      <c r="I480" s="23"/>
      <c r="J480" s="12"/>
      <c r="K480" s="23"/>
      <c r="L480" s="24"/>
      <c r="M480" s="12"/>
      <c r="N480" s="26" t="str">
        <f t="shared" si="2"/>
        <v>
</v>
      </c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0"/>
      <c r="B481" s="12"/>
      <c r="C481" s="12"/>
      <c r="D481" s="23"/>
      <c r="E481" s="12"/>
      <c r="F481" s="12"/>
      <c r="G481" s="12"/>
      <c r="H481" s="12"/>
      <c r="I481" s="23"/>
      <c r="J481" s="12"/>
      <c r="K481" s="23"/>
      <c r="L481" s="24"/>
      <c r="M481" s="12"/>
      <c r="N481" s="26" t="str">
        <f t="shared" si="2"/>
        <v>
</v>
      </c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0"/>
      <c r="B482" s="12"/>
      <c r="C482" s="12"/>
      <c r="D482" s="23"/>
      <c r="E482" s="12"/>
      <c r="F482" s="12"/>
      <c r="G482" s="12"/>
      <c r="H482" s="12"/>
      <c r="I482" s="23"/>
      <c r="J482" s="12"/>
      <c r="K482" s="23"/>
      <c r="L482" s="24"/>
      <c r="M482" s="12"/>
      <c r="N482" s="26" t="str">
        <f t="shared" si="2"/>
        <v>
</v>
      </c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0"/>
      <c r="B483" s="12"/>
      <c r="C483" s="12"/>
      <c r="D483" s="23"/>
      <c r="E483" s="12"/>
      <c r="F483" s="12"/>
      <c r="G483" s="22"/>
      <c r="H483" s="12"/>
      <c r="I483" s="35"/>
      <c r="J483" s="12"/>
      <c r="K483" s="23"/>
      <c r="L483" s="24"/>
      <c r="M483" s="12"/>
      <c r="N483" s="26" t="str">
        <f t="shared" si="2"/>
        <v>
</v>
      </c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0"/>
      <c r="B484" s="12"/>
      <c r="C484" s="12"/>
      <c r="D484" s="23"/>
      <c r="E484" s="12"/>
      <c r="F484" s="12"/>
      <c r="G484" s="12"/>
      <c r="H484" s="12"/>
      <c r="I484" s="23"/>
      <c r="J484" s="12"/>
      <c r="K484" s="23"/>
      <c r="L484" s="24"/>
      <c r="M484" s="12"/>
      <c r="N484" s="26" t="str">
        <f t="shared" si="2"/>
        <v>
</v>
      </c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0"/>
      <c r="B485" s="12"/>
      <c r="C485" s="12"/>
      <c r="D485" s="23"/>
      <c r="E485" s="12"/>
      <c r="F485" s="12"/>
      <c r="G485" s="22"/>
      <c r="H485" s="12"/>
      <c r="I485" s="35"/>
      <c r="J485" s="22"/>
      <c r="K485" s="23"/>
      <c r="L485" s="24"/>
      <c r="M485" s="12"/>
      <c r="N485" s="26" t="str">
        <f t="shared" si="2"/>
        <v>
</v>
      </c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0"/>
      <c r="B486" s="12"/>
      <c r="C486" s="12"/>
      <c r="D486" s="23"/>
      <c r="E486" s="12"/>
      <c r="F486" s="12"/>
      <c r="G486" s="12"/>
      <c r="H486" s="12"/>
      <c r="I486" s="35"/>
      <c r="J486" s="12"/>
      <c r="K486" s="23"/>
      <c r="L486" s="24"/>
      <c r="M486" s="12"/>
      <c r="N486" s="26" t="str">
        <f t="shared" si="2"/>
        <v>
</v>
      </c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0"/>
      <c r="B487" s="12"/>
      <c r="C487" s="12"/>
      <c r="D487" s="35"/>
      <c r="E487" s="22"/>
      <c r="F487" s="12"/>
      <c r="G487" s="12"/>
      <c r="H487" s="12"/>
      <c r="I487" s="23"/>
      <c r="J487" s="12"/>
      <c r="K487" s="23"/>
      <c r="L487" s="24"/>
      <c r="M487" s="12"/>
      <c r="N487" s="26" t="str">
        <f t="shared" si="2"/>
        <v>
</v>
      </c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0"/>
      <c r="B488" s="12"/>
      <c r="C488" s="12"/>
      <c r="D488" s="35"/>
      <c r="E488" s="22"/>
      <c r="F488" s="12"/>
      <c r="G488" s="12"/>
      <c r="H488" s="12"/>
      <c r="I488" s="23"/>
      <c r="J488" s="12"/>
      <c r="K488" s="23"/>
      <c r="L488" s="24"/>
      <c r="M488" s="12"/>
      <c r="N488" s="26" t="str">
        <f t="shared" si="2"/>
        <v>
</v>
      </c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0"/>
      <c r="B489" s="12"/>
      <c r="C489" s="12"/>
      <c r="D489" s="23"/>
      <c r="E489" s="12"/>
      <c r="F489" s="12"/>
      <c r="G489" s="12"/>
      <c r="H489" s="12"/>
      <c r="I489" s="23"/>
      <c r="J489" s="12"/>
      <c r="K489" s="23"/>
      <c r="L489" s="24"/>
      <c r="M489" s="12"/>
      <c r="N489" s="26" t="str">
        <f t="shared" si="2"/>
        <v>
</v>
      </c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0"/>
      <c r="B490" s="12"/>
      <c r="C490" s="12"/>
      <c r="D490" s="35"/>
      <c r="E490" s="22"/>
      <c r="F490" s="12"/>
      <c r="G490" s="12"/>
      <c r="H490" s="12"/>
      <c r="I490" s="23"/>
      <c r="J490" s="12"/>
      <c r="K490" s="23"/>
      <c r="L490" s="24"/>
      <c r="M490" s="12"/>
      <c r="N490" s="26" t="str">
        <f t="shared" si="2"/>
        <v>
</v>
      </c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0"/>
      <c r="B491" s="12"/>
      <c r="C491" s="12"/>
      <c r="D491" s="23"/>
      <c r="E491" s="12"/>
      <c r="F491" s="12"/>
      <c r="G491" s="12"/>
      <c r="H491" s="12"/>
      <c r="I491" s="23"/>
      <c r="J491" s="12"/>
      <c r="K491" s="23"/>
      <c r="L491" s="24"/>
      <c r="M491" s="12"/>
      <c r="N491" s="26" t="str">
        <f t="shared" si="2"/>
        <v>
</v>
      </c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0"/>
      <c r="B492" s="12"/>
      <c r="C492" s="12"/>
      <c r="D492" s="35"/>
      <c r="E492" s="22"/>
      <c r="F492" s="12"/>
      <c r="G492" s="12"/>
      <c r="H492" s="12"/>
      <c r="I492" s="23"/>
      <c r="J492" s="12"/>
      <c r="K492" s="23"/>
      <c r="L492" s="24"/>
      <c r="M492" s="12"/>
      <c r="N492" s="26" t="str">
        <f t="shared" si="2"/>
        <v>
</v>
      </c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0"/>
      <c r="B493" s="12"/>
      <c r="C493" s="12"/>
      <c r="D493" s="23"/>
      <c r="E493" s="12"/>
      <c r="F493" s="12"/>
      <c r="G493" s="12"/>
      <c r="H493" s="12"/>
      <c r="I493" s="23"/>
      <c r="J493" s="12"/>
      <c r="K493" s="23"/>
      <c r="L493" s="24"/>
      <c r="M493" s="12"/>
      <c r="N493" s="26" t="str">
        <f t="shared" si="2"/>
        <v>
</v>
      </c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0"/>
      <c r="B494" s="12"/>
      <c r="C494" s="12"/>
      <c r="D494" s="23"/>
      <c r="E494" s="12"/>
      <c r="F494" s="12"/>
      <c r="G494" s="12"/>
      <c r="H494" s="12"/>
      <c r="I494" s="23"/>
      <c r="J494" s="12"/>
      <c r="K494" s="23"/>
      <c r="L494" s="24"/>
      <c r="M494" s="12"/>
      <c r="N494" s="26" t="str">
        <f t="shared" si="2"/>
        <v>
</v>
      </c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0"/>
      <c r="B495" s="12"/>
      <c r="C495" s="12"/>
      <c r="D495" s="23"/>
      <c r="E495" s="12"/>
      <c r="F495" s="12"/>
      <c r="G495" s="12"/>
      <c r="H495" s="12"/>
      <c r="I495" s="23"/>
      <c r="J495" s="12"/>
      <c r="K495" s="23"/>
      <c r="L495" s="24"/>
      <c r="M495" s="12"/>
      <c r="N495" s="26" t="str">
        <f t="shared" si="2"/>
        <v>
</v>
      </c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0"/>
      <c r="B496" s="12"/>
      <c r="C496" s="12"/>
      <c r="D496" s="23"/>
      <c r="E496" s="12"/>
      <c r="F496" s="12"/>
      <c r="G496" s="12"/>
      <c r="H496" s="12"/>
      <c r="I496" s="23"/>
      <c r="J496" s="12"/>
      <c r="K496" s="23"/>
      <c r="L496" s="24"/>
      <c r="M496" s="12"/>
      <c r="N496" s="26" t="str">
        <f t="shared" si="2"/>
        <v>
</v>
      </c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0"/>
      <c r="B497" s="12"/>
      <c r="C497" s="12"/>
      <c r="D497" s="35"/>
      <c r="E497" s="22"/>
      <c r="F497" s="12"/>
      <c r="G497" s="12"/>
      <c r="H497" s="12"/>
      <c r="I497" s="23"/>
      <c r="J497" s="12"/>
      <c r="K497" s="23"/>
      <c r="L497" s="24"/>
      <c r="M497" s="12"/>
      <c r="N497" s="26" t="str">
        <f t="shared" si="2"/>
        <v>
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0"/>
      <c r="B498" s="12"/>
      <c r="C498" s="12"/>
      <c r="D498" s="23"/>
      <c r="E498" s="12"/>
      <c r="F498" s="39"/>
      <c r="G498" s="12"/>
      <c r="H498" s="12"/>
      <c r="I498" s="23"/>
      <c r="J498" s="12"/>
      <c r="K498" s="23"/>
      <c r="L498" s="24"/>
      <c r="M498" s="12"/>
      <c r="N498" s="26" t="str">
        <f t="shared" si="2"/>
        <v>
</v>
      </c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0"/>
      <c r="B499" s="12"/>
      <c r="C499" s="12"/>
      <c r="D499" s="23"/>
      <c r="E499" s="12"/>
      <c r="F499" s="12"/>
      <c r="G499" s="12"/>
      <c r="H499" s="12"/>
      <c r="I499" s="23"/>
      <c r="J499" s="12"/>
      <c r="K499" s="23"/>
      <c r="L499" s="24"/>
      <c r="M499" s="12"/>
      <c r="N499" s="26" t="str">
        <f t="shared" si="2"/>
        <v>
</v>
      </c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0"/>
      <c r="B500" s="12"/>
      <c r="C500" s="12"/>
      <c r="D500" s="23"/>
      <c r="E500" s="12"/>
      <c r="F500" s="12"/>
      <c r="G500" s="12"/>
      <c r="H500" s="12"/>
      <c r="I500" s="23"/>
      <c r="J500" s="12"/>
      <c r="K500" s="23"/>
      <c r="L500" s="24"/>
      <c r="M500" s="12"/>
      <c r="N500" s="26" t="str">
        <f t="shared" si="2"/>
        <v>
</v>
      </c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0"/>
      <c r="B501" s="12"/>
      <c r="C501" s="12"/>
      <c r="D501" s="23"/>
      <c r="E501" s="22"/>
      <c r="F501" s="12"/>
      <c r="G501" s="12"/>
      <c r="H501" s="12"/>
      <c r="I501" s="23"/>
      <c r="J501" s="12"/>
      <c r="K501" s="23"/>
      <c r="L501" s="24"/>
      <c r="M501" s="12"/>
      <c r="N501" s="26" t="str">
        <f t="shared" si="2"/>
        <v>
</v>
      </c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0"/>
      <c r="B502" s="12"/>
      <c r="C502" s="12"/>
      <c r="D502" s="23"/>
      <c r="E502" s="12"/>
      <c r="F502" s="12"/>
      <c r="G502" s="12"/>
      <c r="H502" s="12"/>
      <c r="I502" s="35"/>
      <c r="J502" s="12"/>
      <c r="K502" s="23"/>
      <c r="L502" s="24"/>
      <c r="M502" s="12"/>
      <c r="N502" s="26" t="str">
        <f t="shared" si="2"/>
        <v>
</v>
      </c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0"/>
      <c r="B503" s="12"/>
      <c r="C503" s="12"/>
      <c r="D503" s="23"/>
      <c r="E503" s="12"/>
      <c r="F503" s="12"/>
      <c r="G503" s="12"/>
      <c r="H503" s="12"/>
      <c r="I503" s="23"/>
      <c r="J503" s="12"/>
      <c r="K503" s="23"/>
      <c r="L503" s="24"/>
      <c r="M503" s="12"/>
      <c r="N503" s="26" t="str">
        <f t="shared" si="2"/>
        <v>
</v>
      </c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0"/>
      <c r="B504" s="12"/>
      <c r="C504" s="12"/>
      <c r="D504" s="23"/>
      <c r="E504" s="12"/>
      <c r="F504" s="12"/>
      <c r="G504" s="12"/>
      <c r="H504" s="12"/>
      <c r="I504" s="23"/>
      <c r="J504" s="12"/>
      <c r="K504" s="23"/>
      <c r="L504" s="24"/>
      <c r="M504" s="12"/>
      <c r="N504" s="26" t="str">
        <f t="shared" si="2"/>
        <v>
</v>
      </c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0"/>
      <c r="B505" s="12"/>
      <c r="C505" s="12"/>
      <c r="D505" s="23"/>
      <c r="E505" s="22"/>
      <c r="F505" s="12"/>
      <c r="G505" s="22"/>
      <c r="H505" s="12"/>
      <c r="I505" s="35"/>
      <c r="J505" s="12"/>
      <c r="K505" s="23"/>
      <c r="L505" s="24"/>
      <c r="M505" s="12"/>
      <c r="N505" s="26" t="str">
        <f t="shared" si="2"/>
        <v>
</v>
      </c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0"/>
      <c r="B506" s="12"/>
      <c r="C506" s="12"/>
      <c r="D506" s="23"/>
      <c r="E506" s="12"/>
      <c r="F506" s="12"/>
      <c r="G506" s="12"/>
      <c r="H506" s="12"/>
      <c r="I506" s="23"/>
      <c r="J506" s="12"/>
      <c r="K506" s="23"/>
      <c r="L506" s="24"/>
      <c r="M506" s="12"/>
      <c r="N506" s="26" t="str">
        <f t="shared" si="2"/>
        <v>
</v>
      </c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0"/>
      <c r="B507" s="12"/>
      <c r="C507" s="12"/>
      <c r="D507" s="23"/>
      <c r="E507" s="12"/>
      <c r="F507" s="12"/>
      <c r="G507" s="12"/>
      <c r="H507" s="12"/>
      <c r="I507" s="23"/>
      <c r="J507" s="12"/>
      <c r="K507" s="23"/>
      <c r="L507" s="24"/>
      <c r="M507" s="12"/>
      <c r="N507" s="26" t="str">
        <f t="shared" si="2"/>
        <v>
</v>
      </c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0"/>
      <c r="B508" s="12"/>
      <c r="C508" s="12"/>
      <c r="D508" s="23"/>
      <c r="E508" s="12"/>
      <c r="F508" s="12"/>
      <c r="G508" s="12"/>
      <c r="H508" s="12"/>
      <c r="I508" s="23"/>
      <c r="J508" s="12"/>
      <c r="K508" s="23"/>
      <c r="L508" s="24"/>
      <c r="M508" s="12"/>
      <c r="N508" s="26" t="str">
        <f t="shared" si="2"/>
        <v>
</v>
      </c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0"/>
      <c r="B509" s="12"/>
      <c r="C509" s="12"/>
      <c r="D509" s="23"/>
      <c r="E509" s="12"/>
      <c r="F509" s="12"/>
      <c r="G509" s="12"/>
      <c r="H509" s="12"/>
      <c r="I509" s="23"/>
      <c r="J509" s="12"/>
      <c r="K509" s="23"/>
      <c r="L509" s="24"/>
      <c r="M509" s="12"/>
      <c r="N509" s="26" t="str">
        <f t="shared" si="2"/>
        <v>
</v>
      </c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0"/>
      <c r="B510" s="12"/>
      <c r="C510" s="12"/>
      <c r="D510" s="23"/>
      <c r="E510" s="12"/>
      <c r="F510" s="12"/>
      <c r="G510" s="12"/>
      <c r="H510" s="12"/>
      <c r="I510" s="23"/>
      <c r="J510" s="12"/>
      <c r="K510" s="23"/>
      <c r="L510" s="24"/>
      <c r="M510" s="12"/>
      <c r="N510" s="26" t="str">
        <f t="shared" si="2"/>
        <v>
</v>
      </c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0"/>
      <c r="B511" s="12"/>
      <c r="C511" s="12"/>
      <c r="D511" s="23"/>
      <c r="E511" s="12"/>
      <c r="F511" s="12"/>
      <c r="G511" s="12"/>
      <c r="H511" s="12"/>
      <c r="I511" s="23"/>
      <c r="J511" s="12"/>
      <c r="K511" s="23"/>
      <c r="L511" s="24"/>
      <c r="M511" s="12"/>
      <c r="N511" s="26" t="str">
        <f t="shared" si="2"/>
        <v>
</v>
      </c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0"/>
      <c r="B512" s="12"/>
      <c r="C512" s="12"/>
      <c r="D512" s="23"/>
      <c r="E512" s="12"/>
      <c r="F512" s="12"/>
      <c r="G512" s="12"/>
      <c r="H512" s="12"/>
      <c r="I512" s="23"/>
      <c r="J512" s="12"/>
      <c r="K512" s="23"/>
      <c r="L512" s="24"/>
      <c r="M512" s="12"/>
      <c r="N512" s="26" t="str">
        <f t="shared" si="2"/>
        <v>
</v>
      </c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0"/>
      <c r="B513" s="12"/>
      <c r="C513" s="12"/>
      <c r="D513" s="23"/>
      <c r="E513" s="12"/>
      <c r="F513" s="12"/>
      <c r="G513" s="12"/>
      <c r="H513" s="12"/>
      <c r="I513" s="23"/>
      <c r="J513" s="12"/>
      <c r="K513" s="23"/>
      <c r="L513" s="24"/>
      <c r="M513" s="12"/>
      <c r="N513" s="26" t="str">
        <f t="shared" si="2"/>
        <v>
</v>
      </c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0"/>
      <c r="B514" s="12"/>
      <c r="C514" s="12"/>
      <c r="D514" s="23"/>
      <c r="E514" s="12"/>
      <c r="F514" s="12"/>
      <c r="G514" s="12"/>
      <c r="H514" s="12"/>
      <c r="I514" s="23"/>
      <c r="J514" s="12"/>
      <c r="K514" s="23"/>
      <c r="L514" s="24"/>
      <c r="M514" s="12"/>
      <c r="N514" s="26" t="str">
        <f t="shared" si="2"/>
        <v>
</v>
      </c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0"/>
      <c r="B515" s="12"/>
      <c r="C515" s="12"/>
      <c r="D515" s="23"/>
      <c r="E515" s="12"/>
      <c r="F515" s="12"/>
      <c r="G515" s="12"/>
      <c r="H515" s="12"/>
      <c r="I515" s="23"/>
      <c r="J515" s="12"/>
      <c r="K515" s="23"/>
      <c r="L515" s="24"/>
      <c r="M515" s="12"/>
      <c r="N515" s="26" t="str">
        <f t="shared" si="2"/>
        <v>
</v>
      </c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0"/>
      <c r="B516" s="12"/>
      <c r="C516" s="12"/>
      <c r="D516" s="23"/>
      <c r="E516" s="12"/>
      <c r="F516" s="12"/>
      <c r="G516" s="12"/>
      <c r="H516" s="12"/>
      <c r="I516" s="23"/>
      <c r="J516" s="12"/>
      <c r="K516" s="23"/>
      <c r="L516" s="24"/>
      <c r="M516" s="12"/>
      <c r="N516" s="26" t="str">
        <f t="shared" si="2"/>
        <v>
</v>
      </c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0"/>
      <c r="B517" s="12"/>
      <c r="C517" s="12"/>
      <c r="D517" s="23"/>
      <c r="E517" s="12"/>
      <c r="F517" s="12"/>
      <c r="G517" s="12"/>
      <c r="H517" s="12"/>
      <c r="I517" s="23"/>
      <c r="J517" s="12"/>
      <c r="K517" s="23"/>
      <c r="L517" s="24"/>
      <c r="M517" s="12"/>
      <c r="N517" s="26" t="str">
        <f t="shared" si="2"/>
        <v>
</v>
      </c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0"/>
      <c r="B518" s="12"/>
      <c r="C518" s="12"/>
      <c r="D518" s="23"/>
      <c r="E518" s="22"/>
      <c r="F518" s="12"/>
      <c r="G518" s="12"/>
      <c r="H518" s="12"/>
      <c r="I518" s="23"/>
      <c r="J518" s="12"/>
      <c r="K518" s="23"/>
      <c r="L518" s="24"/>
      <c r="M518" s="12"/>
      <c r="N518" s="26" t="str">
        <f t="shared" si="2"/>
        <v>
</v>
      </c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0"/>
      <c r="B519" s="12"/>
      <c r="C519" s="12"/>
      <c r="D519" s="23"/>
      <c r="E519" s="12"/>
      <c r="F519" s="12"/>
      <c r="G519" s="12"/>
      <c r="H519" s="12"/>
      <c r="I519" s="23"/>
      <c r="J519" s="12"/>
      <c r="K519" s="23"/>
      <c r="L519" s="24"/>
      <c r="M519" s="12"/>
      <c r="N519" s="26" t="str">
        <f t="shared" si="2"/>
        <v>
</v>
      </c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0"/>
      <c r="B520" s="12"/>
      <c r="C520" s="12"/>
      <c r="D520" s="23"/>
      <c r="E520" s="22"/>
      <c r="F520" s="12"/>
      <c r="G520" s="12"/>
      <c r="H520" s="12"/>
      <c r="I520" s="23"/>
      <c r="J520" s="22"/>
      <c r="K520" s="23"/>
      <c r="L520" s="24"/>
      <c r="M520" s="12"/>
      <c r="N520" s="26" t="str">
        <f t="shared" si="2"/>
        <v>
</v>
      </c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0"/>
      <c r="B521" s="12"/>
      <c r="C521" s="12"/>
      <c r="D521" s="23"/>
      <c r="E521" s="12"/>
      <c r="F521" s="12"/>
      <c r="G521" s="12"/>
      <c r="H521" s="12"/>
      <c r="I521" s="23"/>
      <c r="J521" s="12"/>
      <c r="K521" s="23"/>
      <c r="L521" s="24"/>
      <c r="M521" s="12"/>
      <c r="N521" s="26" t="str">
        <f t="shared" si="2"/>
        <v>
</v>
      </c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0"/>
      <c r="B522" s="12"/>
      <c r="C522" s="12"/>
      <c r="D522" s="23"/>
      <c r="E522" s="22"/>
      <c r="F522" s="12"/>
      <c r="G522" s="12"/>
      <c r="H522" s="12"/>
      <c r="I522" s="23"/>
      <c r="J522" s="12"/>
      <c r="K522" s="23"/>
      <c r="L522" s="24"/>
      <c r="M522" s="12"/>
      <c r="N522" s="26" t="str">
        <f t="shared" si="2"/>
        <v>
</v>
      </c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0"/>
      <c r="B523" s="12"/>
      <c r="C523" s="12"/>
      <c r="D523" s="23"/>
      <c r="E523" s="12"/>
      <c r="F523" s="12"/>
      <c r="G523" s="12"/>
      <c r="H523" s="12"/>
      <c r="I523" s="23"/>
      <c r="J523" s="12"/>
      <c r="K523" s="23"/>
      <c r="L523" s="24"/>
      <c r="M523" s="12"/>
      <c r="N523" s="26" t="str">
        <f t="shared" si="2"/>
        <v>
</v>
      </c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0"/>
      <c r="B524" s="12"/>
      <c r="C524" s="12"/>
      <c r="D524" s="23"/>
      <c r="E524" s="12"/>
      <c r="F524" s="12"/>
      <c r="G524" s="12"/>
      <c r="H524" s="12"/>
      <c r="I524" s="23"/>
      <c r="J524" s="12"/>
      <c r="K524" s="23"/>
      <c r="L524" s="24"/>
      <c r="M524" s="12"/>
      <c r="N524" s="26" t="str">
        <f t="shared" si="2"/>
        <v>
</v>
      </c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0"/>
      <c r="B525" s="12"/>
      <c r="C525" s="12"/>
      <c r="D525" s="23"/>
      <c r="E525" s="12"/>
      <c r="F525" s="12"/>
      <c r="G525" s="12"/>
      <c r="H525" s="12"/>
      <c r="I525" s="23"/>
      <c r="J525" s="12"/>
      <c r="K525" s="23"/>
      <c r="L525" s="24"/>
      <c r="M525" s="12"/>
      <c r="N525" s="26" t="str">
        <f t="shared" si="2"/>
        <v>
</v>
      </c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0"/>
      <c r="B526" s="12"/>
      <c r="C526" s="12"/>
      <c r="D526" s="23"/>
      <c r="E526" s="12"/>
      <c r="F526" s="12"/>
      <c r="G526" s="12"/>
      <c r="H526" s="12"/>
      <c r="I526" s="23"/>
      <c r="J526" s="12"/>
      <c r="K526" s="23"/>
      <c r="L526" s="24"/>
      <c r="M526" s="12"/>
      <c r="N526" s="26" t="str">
        <f t="shared" si="2"/>
        <v>
</v>
      </c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0"/>
      <c r="B527" s="12"/>
      <c r="C527" s="12"/>
      <c r="D527" s="35"/>
      <c r="E527" s="22"/>
      <c r="F527" s="12"/>
      <c r="G527" s="12"/>
      <c r="H527" s="12"/>
      <c r="I527" s="23"/>
      <c r="J527" s="12"/>
      <c r="K527" s="23"/>
      <c r="L527" s="24"/>
      <c r="M527" s="12"/>
      <c r="N527" s="26" t="str">
        <f t="shared" si="2"/>
        <v>
</v>
      </c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0"/>
      <c r="B528" s="12"/>
      <c r="C528" s="12"/>
      <c r="D528" s="23"/>
      <c r="E528" s="12"/>
      <c r="F528" s="12"/>
      <c r="G528" s="12"/>
      <c r="H528" s="12"/>
      <c r="I528" s="23"/>
      <c r="J528" s="12"/>
      <c r="K528" s="23"/>
      <c r="L528" s="24"/>
      <c r="M528" s="12"/>
      <c r="N528" s="26" t="str">
        <f t="shared" si="2"/>
        <v>
</v>
      </c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0"/>
      <c r="B529" s="12"/>
      <c r="C529" s="12"/>
      <c r="D529" s="23"/>
      <c r="E529" s="12"/>
      <c r="F529" s="12"/>
      <c r="G529" s="12"/>
      <c r="H529" s="12"/>
      <c r="I529" s="23"/>
      <c r="J529" s="12"/>
      <c r="K529" s="23"/>
      <c r="L529" s="24"/>
      <c r="M529" s="12"/>
      <c r="N529" s="26" t="str">
        <f t="shared" si="2"/>
        <v>
</v>
      </c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0"/>
      <c r="B530" s="12"/>
      <c r="C530" s="12"/>
      <c r="D530" s="35"/>
      <c r="E530" s="22"/>
      <c r="F530" s="12"/>
      <c r="G530" s="12"/>
      <c r="H530" s="12"/>
      <c r="I530" s="23"/>
      <c r="J530" s="12"/>
      <c r="K530" s="23"/>
      <c r="L530" s="24"/>
      <c r="M530" s="12"/>
      <c r="N530" s="26" t="str">
        <f t="shared" si="2"/>
        <v>
</v>
      </c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0"/>
      <c r="B531" s="12"/>
      <c r="C531" s="12"/>
      <c r="D531" s="35"/>
      <c r="E531" s="22"/>
      <c r="F531" s="12"/>
      <c r="G531" s="12"/>
      <c r="H531" s="12"/>
      <c r="I531" s="23"/>
      <c r="J531" s="12"/>
      <c r="K531" s="23"/>
      <c r="L531" s="24"/>
      <c r="M531" s="12"/>
      <c r="N531" s="26" t="str">
        <f t="shared" si="2"/>
        <v>
</v>
      </c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0"/>
      <c r="B532" s="12"/>
      <c r="C532" s="12"/>
      <c r="D532" s="23"/>
      <c r="E532" s="12"/>
      <c r="F532" s="12"/>
      <c r="G532" s="12"/>
      <c r="H532" s="12"/>
      <c r="I532" s="23"/>
      <c r="J532" s="12"/>
      <c r="K532" s="23"/>
      <c r="L532" s="24"/>
      <c r="M532" s="12"/>
      <c r="N532" s="26" t="str">
        <f t="shared" si="2"/>
        <v>
</v>
      </c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0"/>
      <c r="B533" s="12"/>
      <c r="C533" s="12"/>
      <c r="D533" s="35"/>
      <c r="E533" s="22"/>
      <c r="F533" s="12"/>
      <c r="G533" s="12"/>
      <c r="H533" s="12"/>
      <c r="I533" s="23"/>
      <c r="J533" s="12"/>
      <c r="K533" s="23"/>
      <c r="L533" s="24"/>
      <c r="M533" s="12"/>
      <c r="N533" s="26" t="str">
        <f t="shared" si="2"/>
        <v>
</v>
      </c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0"/>
      <c r="B534" s="12"/>
      <c r="C534" s="12"/>
      <c r="D534" s="23"/>
      <c r="E534" s="12"/>
      <c r="F534" s="12"/>
      <c r="G534" s="12"/>
      <c r="H534" s="12"/>
      <c r="I534" s="23"/>
      <c r="J534" s="12"/>
      <c r="K534" s="23"/>
      <c r="L534" s="24"/>
      <c r="M534" s="12"/>
      <c r="N534" s="26" t="str">
        <f t="shared" si="2"/>
        <v>
</v>
      </c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0"/>
      <c r="B535" s="12"/>
      <c r="C535" s="12"/>
      <c r="D535" s="23"/>
      <c r="E535" s="12"/>
      <c r="F535" s="12"/>
      <c r="G535" s="12"/>
      <c r="H535" s="12"/>
      <c r="I535" s="23"/>
      <c r="J535" s="12"/>
      <c r="K535" s="23"/>
      <c r="L535" s="24"/>
      <c r="M535" s="12"/>
      <c r="N535" s="26" t="str">
        <f t="shared" si="2"/>
        <v>
</v>
      </c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0"/>
      <c r="B536" s="12"/>
      <c r="C536" s="12"/>
      <c r="D536" s="35"/>
      <c r="E536" s="22"/>
      <c r="F536" s="12"/>
      <c r="G536" s="12"/>
      <c r="H536" s="12"/>
      <c r="I536" s="23"/>
      <c r="J536" s="12"/>
      <c r="K536" s="23"/>
      <c r="L536" s="24"/>
      <c r="M536" s="12"/>
      <c r="N536" s="26" t="str">
        <f t="shared" si="2"/>
        <v>
</v>
      </c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0"/>
      <c r="B537" s="12"/>
      <c r="C537" s="12"/>
      <c r="D537" s="35"/>
      <c r="E537" s="22"/>
      <c r="F537" s="12"/>
      <c r="G537" s="12"/>
      <c r="H537" s="12"/>
      <c r="I537" s="23"/>
      <c r="J537" s="12"/>
      <c r="K537" s="23"/>
      <c r="L537" s="24"/>
      <c r="M537" s="12"/>
      <c r="N537" s="26" t="str">
        <f t="shared" si="2"/>
        <v>
</v>
      </c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0"/>
      <c r="B538" s="12"/>
      <c r="C538" s="12"/>
      <c r="D538" s="23"/>
      <c r="E538" s="12"/>
      <c r="F538" s="12"/>
      <c r="G538" s="12"/>
      <c r="H538" s="12"/>
      <c r="I538" s="23"/>
      <c r="J538" s="12"/>
      <c r="K538" s="23"/>
      <c r="L538" s="24"/>
      <c r="M538" s="12"/>
      <c r="N538" s="26" t="str">
        <f t="shared" si="2"/>
        <v>
</v>
      </c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0"/>
      <c r="B539" s="12"/>
      <c r="C539" s="12"/>
      <c r="D539" s="23"/>
      <c r="E539" s="12"/>
      <c r="F539" s="12"/>
      <c r="G539" s="12"/>
      <c r="H539" s="12"/>
      <c r="I539" s="23"/>
      <c r="J539" s="12"/>
      <c r="K539" s="23"/>
      <c r="L539" s="24"/>
      <c r="M539" s="12"/>
      <c r="N539" s="26" t="str">
        <f t="shared" si="2"/>
        <v>
</v>
      </c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0"/>
      <c r="B540" s="12"/>
      <c r="C540" s="12"/>
      <c r="D540" s="35"/>
      <c r="E540" s="22"/>
      <c r="F540" s="12"/>
      <c r="G540" s="12"/>
      <c r="H540" s="12"/>
      <c r="I540" s="23"/>
      <c r="J540" s="12"/>
      <c r="K540" s="23"/>
      <c r="L540" s="24"/>
      <c r="M540" s="12"/>
      <c r="N540" s="26" t="str">
        <f t="shared" si="2"/>
        <v>
</v>
      </c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0"/>
      <c r="B541" s="12"/>
      <c r="C541" s="12"/>
      <c r="D541" s="23"/>
      <c r="E541" s="12"/>
      <c r="F541" s="12"/>
      <c r="G541" s="12"/>
      <c r="H541" s="12"/>
      <c r="I541" s="23"/>
      <c r="J541" s="12"/>
      <c r="K541" s="23"/>
      <c r="L541" s="24"/>
      <c r="M541" s="12"/>
      <c r="N541" s="26" t="str">
        <f t="shared" si="2"/>
        <v>
</v>
      </c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0"/>
      <c r="B542" s="12"/>
      <c r="C542" s="12"/>
      <c r="D542" s="35"/>
      <c r="E542" s="22"/>
      <c r="F542" s="12"/>
      <c r="G542" s="12"/>
      <c r="H542" s="12"/>
      <c r="I542" s="23"/>
      <c r="J542" s="12"/>
      <c r="K542" s="23"/>
      <c r="L542" s="24"/>
      <c r="M542" s="12"/>
      <c r="N542" s="26" t="str">
        <f t="shared" si="2"/>
        <v>
</v>
      </c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0"/>
      <c r="B543" s="12"/>
      <c r="C543" s="12"/>
      <c r="D543" s="35"/>
      <c r="E543" s="22"/>
      <c r="F543" s="12"/>
      <c r="G543" s="12"/>
      <c r="H543" s="12"/>
      <c r="I543" s="23"/>
      <c r="J543" s="12"/>
      <c r="K543" s="23"/>
      <c r="L543" s="24"/>
      <c r="M543" s="12"/>
      <c r="N543" s="26" t="str">
        <f t="shared" si="2"/>
        <v>
</v>
      </c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0"/>
      <c r="B544" s="12"/>
      <c r="C544" s="12"/>
      <c r="D544" s="35"/>
      <c r="E544" s="22"/>
      <c r="F544" s="12"/>
      <c r="G544" s="12"/>
      <c r="H544" s="12"/>
      <c r="I544" s="23"/>
      <c r="J544" s="12"/>
      <c r="K544" s="23"/>
      <c r="L544" s="24"/>
      <c r="M544" s="12"/>
      <c r="N544" s="26" t="str">
        <f t="shared" si="2"/>
        <v>
</v>
      </c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0"/>
      <c r="B545" s="93"/>
      <c r="C545" s="12"/>
      <c r="D545" s="23"/>
      <c r="E545" s="12"/>
      <c r="F545" s="12"/>
      <c r="G545" s="12"/>
      <c r="H545" s="12"/>
      <c r="I545" s="23"/>
      <c r="J545" s="12"/>
      <c r="K545" s="23"/>
      <c r="L545" s="24"/>
      <c r="M545" s="12"/>
      <c r="N545" s="26" t="str">
        <f t="shared" si="2"/>
        <v>
</v>
      </c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0"/>
      <c r="B546" s="12"/>
      <c r="C546" s="12"/>
      <c r="D546" s="35"/>
      <c r="E546" s="22"/>
      <c r="F546" s="12"/>
      <c r="G546" s="12"/>
      <c r="H546" s="12"/>
      <c r="I546" s="23"/>
      <c r="J546" s="12"/>
      <c r="K546" s="23"/>
      <c r="L546" s="24"/>
      <c r="M546" s="12"/>
      <c r="N546" s="26" t="str">
        <f t="shared" si="2"/>
        <v>
</v>
      </c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0"/>
      <c r="B547" s="12"/>
      <c r="C547" s="12"/>
      <c r="D547" s="23"/>
      <c r="E547" s="12"/>
      <c r="F547" s="12"/>
      <c r="G547" s="12"/>
      <c r="H547" s="12"/>
      <c r="I547" s="23"/>
      <c r="J547" s="12"/>
      <c r="K547" s="23"/>
      <c r="L547" s="24"/>
      <c r="M547" s="12"/>
      <c r="N547" s="26" t="str">
        <f t="shared" si="2"/>
        <v>
</v>
      </c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0"/>
      <c r="B548" s="12"/>
      <c r="C548" s="12"/>
      <c r="D548" s="23"/>
      <c r="E548" s="12"/>
      <c r="F548" s="12"/>
      <c r="G548" s="12"/>
      <c r="H548" s="12"/>
      <c r="I548" s="23"/>
      <c r="J548" s="12"/>
      <c r="K548" s="23"/>
      <c r="L548" s="24"/>
      <c r="M548" s="12"/>
      <c r="N548" s="26" t="str">
        <f t="shared" si="2"/>
        <v>
</v>
      </c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0"/>
      <c r="B549" s="12"/>
      <c r="C549" s="12"/>
      <c r="D549" s="35"/>
      <c r="E549" s="22"/>
      <c r="F549" s="12"/>
      <c r="G549" s="12"/>
      <c r="H549" s="12"/>
      <c r="I549" s="23"/>
      <c r="J549" s="12"/>
      <c r="K549" s="23"/>
      <c r="L549" s="24"/>
      <c r="M549" s="12"/>
      <c r="N549" s="26" t="str">
        <f t="shared" si="2"/>
        <v>
</v>
      </c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0"/>
      <c r="B550" s="12"/>
      <c r="C550" s="12"/>
      <c r="D550" s="35"/>
      <c r="E550" s="22"/>
      <c r="F550" s="12"/>
      <c r="G550" s="12"/>
      <c r="H550" s="12"/>
      <c r="I550" s="23"/>
      <c r="J550" s="12"/>
      <c r="K550" s="23"/>
      <c r="L550" s="24"/>
      <c r="M550" s="12"/>
      <c r="N550" s="26" t="str">
        <f t="shared" si="2"/>
        <v>
</v>
      </c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0"/>
      <c r="B551" s="12"/>
      <c r="C551" s="12"/>
      <c r="D551" s="23"/>
      <c r="E551" s="12"/>
      <c r="F551" s="12"/>
      <c r="G551" s="12"/>
      <c r="H551" s="12"/>
      <c r="I551" s="23"/>
      <c r="J551" s="12"/>
      <c r="K551" s="23"/>
      <c r="L551" s="24"/>
      <c r="M551" s="12"/>
      <c r="N551" s="26" t="str">
        <f t="shared" si="2"/>
        <v>
</v>
      </c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0"/>
      <c r="B552" s="12"/>
      <c r="C552" s="12"/>
      <c r="D552" s="35"/>
      <c r="E552" s="22"/>
      <c r="F552" s="12"/>
      <c r="G552" s="12"/>
      <c r="H552" s="12"/>
      <c r="I552" s="23"/>
      <c r="J552" s="12"/>
      <c r="K552" s="23"/>
      <c r="L552" s="24"/>
      <c r="M552" s="12"/>
      <c r="N552" s="26" t="str">
        <f t="shared" si="2"/>
        <v>
</v>
      </c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0"/>
      <c r="B553" s="12"/>
      <c r="C553" s="12"/>
      <c r="D553" s="23"/>
      <c r="E553" s="12"/>
      <c r="F553" s="12"/>
      <c r="G553" s="12"/>
      <c r="H553" s="12"/>
      <c r="I553" s="23"/>
      <c r="J553" s="12"/>
      <c r="K553" s="23"/>
      <c r="L553" s="24"/>
      <c r="M553" s="12"/>
      <c r="N553" s="26" t="str">
        <f t="shared" si="2"/>
        <v>
</v>
      </c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0"/>
      <c r="B554" s="12"/>
      <c r="C554" s="12"/>
      <c r="D554" s="35"/>
      <c r="E554" s="22"/>
      <c r="F554" s="12"/>
      <c r="G554" s="12"/>
      <c r="H554" s="12"/>
      <c r="I554" s="23"/>
      <c r="J554" s="12"/>
      <c r="K554" s="23"/>
      <c r="L554" s="24"/>
      <c r="M554" s="12"/>
      <c r="N554" s="26" t="str">
        <f t="shared" si="2"/>
        <v>
</v>
      </c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0"/>
      <c r="B555" s="12"/>
      <c r="C555" s="12"/>
      <c r="D555" s="35"/>
      <c r="E555" s="22"/>
      <c r="F555" s="12"/>
      <c r="G555" s="12"/>
      <c r="H555" s="12"/>
      <c r="I555" s="23"/>
      <c r="J555" s="12"/>
      <c r="K555" s="23"/>
      <c r="L555" s="24"/>
      <c r="M555" s="12"/>
      <c r="N555" s="26" t="str">
        <f t="shared" si="2"/>
        <v>
</v>
      </c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0"/>
      <c r="B556" s="12"/>
      <c r="C556" s="12"/>
      <c r="D556" s="23"/>
      <c r="E556" s="12"/>
      <c r="F556" s="12"/>
      <c r="G556" s="12"/>
      <c r="H556" s="12"/>
      <c r="I556" s="23"/>
      <c r="J556" s="12"/>
      <c r="K556" s="23"/>
      <c r="L556" s="24"/>
      <c r="M556" s="12"/>
      <c r="N556" s="26" t="str">
        <f t="shared" si="2"/>
        <v>
</v>
      </c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0"/>
      <c r="B557" s="12"/>
      <c r="C557" s="12"/>
      <c r="D557" s="35"/>
      <c r="E557" s="22"/>
      <c r="F557" s="12"/>
      <c r="G557" s="12"/>
      <c r="H557" s="12"/>
      <c r="I557" s="23"/>
      <c r="J557" s="12"/>
      <c r="K557" s="23"/>
      <c r="L557" s="24"/>
      <c r="M557" s="12"/>
      <c r="N557" s="26" t="str">
        <f t="shared" si="2"/>
        <v>
</v>
      </c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0"/>
      <c r="B558" s="12"/>
      <c r="C558" s="12"/>
      <c r="D558" s="23"/>
      <c r="E558" s="12"/>
      <c r="F558" s="12"/>
      <c r="G558" s="12"/>
      <c r="H558" s="12"/>
      <c r="I558" s="23"/>
      <c r="J558" s="12"/>
      <c r="K558" s="23"/>
      <c r="L558" s="24"/>
      <c r="M558" s="12"/>
      <c r="N558" s="26" t="str">
        <f t="shared" si="2"/>
        <v>
</v>
      </c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0"/>
      <c r="B559" s="12"/>
      <c r="C559" s="12"/>
      <c r="D559" s="35"/>
      <c r="E559" s="22"/>
      <c r="F559" s="12"/>
      <c r="G559" s="12"/>
      <c r="H559" s="12"/>
      <c r="I559" s="23"/>
      <c r="J559" s="12"/>
      <c r="K559" s="23"/>
      <c r="L559" s="24"/>
      <c r="M559" s="12"/>
      <c r="N559" s="26" t="str">
        <f t="shared" si="2"/>
        <v>
</v>
      </c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0"/>
      <c r="B560" s="12"/>
      <c r="C560" s="12"/>
      <c r="D560" s="23"/>
      <c r="E560" s="12"/>
      <c r="F560" s="12"/>
      <c r="G560" s="12"/>
      <c r="H560" s="12"/>
      <c r="I560" s="23"/>
      <c r="J560" s="12"/>
      <c r="K560" s="23"/>
      <c r="L560" s="24"/>
      <c r="M560" s="12"/>
      <c r="N560" s="26" t="str">
        <f t="shared" si="2"/>
        <v>
</v>
      </c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0"/>
      <c r="B561" s="12"/>
      <c r="C561" s="12"/>
      <c r="D561" s="35"/>
      <c r="E561" s="22"/>
      <c r="F561" s="12"/>
      <c r="G561" s="12"/>
      <c r="H561" s="12"/>
      <c r="I561" s="23"/>
      <c r="J561" s="12"/>
      <c r="K561" s="23"/>
      <c r="L561" s="24"/>
      <c r="M561" s="12"/>
      <c r="N561" s="26" t="str">
        <f t="shared" si="2"/>
        <v>
</v>
      </c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0"/>
      <c r="B562" s="12"/>
      <c r="C562" s="12"/>
      <c r="D562" s="23"/>
      <c r="E562" s="12"/>
      <c r="F562" s="12"/>
      <c r="G562" s="12"/>
      <c r="H562" s="12"/>
      <c r="I562" s="23"/>
      <c r="J562" s="12"/>
      <c r="K562" s="23"/>
      <c r="L562" s="24"/>
      <c r="M562" s="12"/>
      <c r="N562" s="26" t="str">
        <f t="shared" si="2"/>
        <v>
</v>
      </c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0"/>
      <c r="B563" s="12"/>
      <c r="C563" s="12"/>
      <c r="D563" s="35"/>
      <c r="E563" s="22"/>
      <c r="F563" s="12"/>
      <c r="G563" s="12"/>
      <c r="H563" s="12"/>
      <c r="I563" s="23"/>
      <c r="J563" s="12"/>
      <c r="K563" s="23"/>
      <c r="L563" s="24"/>
      <c r="M563" s="12"/>
      <c r="N563" s="26" t="str">
        <f t="shared" si="2"/>
        <v>
</v>
      </c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0"/>
      <c r="B564" s="12"/>
      <c r="C564" s="12"/>
      <c r="D564" s="23"/>
      <c r="E564" s="12"/>
      <c r="F564" s="12"/>
      <c r="G564" s="12"/>
      <c r="H564" s="12"/>
      <c r="I564" s="23"/>
      <c r="J564" s="12"/>
      <c r="K564" s="35"/>
      <c r="L564" s="24"/>
      <c r="M564" s="12"/>
      <c r="N564" s="26" t="str">
        <f t="shared" si="2"/>
        <v>
</v>
      </c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0"/>
      <c r="B565" s="12"/>
      <c r="C565" s="12"/>
      <c r="D565" s="23"/>
      <c r="E565" s="12"/>
      <c r="F565" s="12"/>
      <c r="G565" s="12"/>
      <c r="H565" s="12"/>
      <c r="I565" s="23"/>
      <c r="J565" s="12"/>
      <c r="K565" s="35"/>
      <c r="L565" s="24"/>
      <c r="M565" s="12"/>
      <c r="N565" s="26" t="str">
        <f t="shared" si="2"/>
        <v>
</v>
      </c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0"/>
      <c r="B566" s="12"/>
      <c r="C566" s="12"/>
      <c r="D566" s="35"/>
      <c r="E566" s="22"/>
      <c r="F566" s="12"/>
      <c r="G566" s="12"/>
      <c r="H566" s="12"/>
      <c r="I566" s="23"/>
      <c r="J566" s="12"/>
      <c r="K566" s="35"/>
      <c r="L566" s="24"/>
      <c r="M566" s="12"/>
      <c r="N566" s="26" t="str">
        <f t="shared" si="2"/>
        <v>
</v>
      </c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0"/>
      <c r="B567" s="12"/>
      <c r="C567" s="12"/>
      <c r="D567" s="35"/>
      <c r="E567" s="22"/>
      <c r="F567" s="12"/>
      <c r="G567" s="12"/>
      <c r="H567" s="12"/>
      <c r="I567" s="23"/>
      <c r="J567" s="12"/>
      <c r="K567" s="35"/>
      <c r="L567" s="24"/>
      <c r="M567" s="12"/>
      <c r="N567" s="26" t="str">
        <f t="shared" si="2"/>
        <v>
</v>
      </c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0"/>
      <c r="B568" s="12"/>
      <c r="C568" s="12"/>
      <c r="D568" s="35"/>
      <c r="E568" s="22"/>
      <c r="F568" s="12"/>
      <c r="G568" s="12"/>
      <c r="H568" s="12"/>
      <c r="I568" s="23"/>
      <c r="J568" s="12"/>
      <c r="K568" s="35"/>
      <c r="L568" s="24"/>
      <c r="M568" s="12"/>
      <c r="N568" s="26" t="str">
        <f t="shared" si="2"/>
        <v>
</v>
      </c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0"/>
      <c r="B569" s="12"/>
      <c r="C569" s="12"/>
      <c r="D569" s="35"/>
      <c r="E569" s="22"/>
      <c r="F569" s="12"/>
      <c r="G569" s="12"/>
      <c r="H569" s="12"/>
      <c r="I569" s="23"/>
      <c r="J569" s="12"/>
      <c r="K569" s="35"/>
      <c r="L569" s="24"/>
      <c r="M569" s="12"/>
      <c r="N569" s="26" t="str">
        <f t="shared" si="2"/>
        <v>
</v>
      </c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0"/>
      <c r="B570" s="12"/>
      <c r="C570" s="12"/>
      <c r="D570" s="35"/>
      <c r="E570" s="22"/>
      <c r="F570" s="12"/>
      <c r="G570" s="12"/>
      <c r="H570" s="12"/>
      <c r="I570" s="23"/>
      <c r="J570" s="12"/>
      <c r="K570" s="35"/>
      <c r="L570" s="24"/>
      <c r="M570" s="12"/>
      <c r="N570" s="26" t="str">
        <f t="shared" si="2"/>
        <v>
</v>
      </c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0"/>
      <c r="B571" s="12"/>
      <c r="C571" s="12"/>
      <c r="D571" s="35"/>
      <c r="E571" s="22"/>
      <c r="F571" s="12"/>
      <c r="G571" s="12"/>
      <c r="H571" s="12"/>
      <c r="I571" s="23"/>
      <c r="J571" s="12"/>
      <c r="K571" s="35"/>
      <c r="L571" s="24"/>
      <c r="M571" s="12"/>
      <c r="N571" s="26" t="str">
        <f t="shared" si="2"/>
        <v>
</v>
      </c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0"/>
      <c r="B572" s="12"/>
      <c r="C572" s="12"/>
      <c r="D572" s="35"/>
      <c r="E572" s="22"/>
      <c r="F572" s="12"/>
      <c r="G572" s="12"/>
      <c r="H572" s="12"/>
      <c r="I572" s="23"/>
      <c r="J572" s="12"/>
      <c r="K572" s="35"/>
      <c r="L572" s="24"/>
      <c r="M572" s="12"/>
      <c r="N572" s="26" t="str">
        <f t="shared" si="2"/>
        <v>
</v>
      </c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0"/>
      <c r="B573" s="12"/>
      <c r="C573" s="12"/>
      <c r="D573" s="35"/>
      <c r="E573" s="22"/>
      <c r="F573" s="12"/>
      <c r="G573" s="12"/>
      <c r="H573" s="12"/>
      <c r="I573" s="23"/>
      <c r="J573" s="12"/>
      <c r="K573" s="35"/>
      <c r="L573" s="24"/>
      <c r="M573" s="12"/>
      <c r="N573" s="26" t="str">
        <f t="shared" si="2"/>
        <v>
</v>
      </c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0"/>
      <c r="B574" s="12"/>
      <c r="C574" s="12"/>
      <c r="D574" s="23"/>
      <c r="E574" s="22"/>
      <c r="F574" s="12"/>
      <c r="G574" s="12"/>
      <c r="H574" s="12"/>
      <c r="I574" s="23"/>
      <c r="J574" s="12"/>
      <c r="K574" s="23"/>
      <c r="L574" s="24"/>
      <c r="M574" s="12"/>
      <c r="N574" s="26" t="str">
        <f t="shared" si="2"/>
        <v>
</v>
      </c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0"/>
      <c r="B575" s="12"/>
      <c r="C575" s="12"/>
      <c r="D575" s="35"/>
      <c r="E575" s="22"/>
      <c r="F575" s="12"/>
      <c r="G575" s="12"/>
      <c r="H575" s="12"/>
      <c r="I575" s="23"/>
      <c r="J575" s="12"/>
      <c r="K575" s="23"/>
      <c r="L575" s="24"/>
      <c r="M575" s="12"/>
      <c r="N575" s="26" t="str">
        <f t="shared" si="2"/>
        <v>
</v>
      </c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0"/>
      <c r="B576" s="12"/>
      <c r="C576" s="12"/>
      <c r="D576" s="35"/>
      <c r="E576" s="22"/>
      <c r="F576" s="12"/>
      <c r="G576" s="12"/>
      <c r="H576" s="12"/>
      <c r="I576" s="23"/>
      <c r="J576" s="12"/>
      <c r="K576" s="23"/>
      <c r="L576" s="24"/>
      <c r="M576" s="12"/>
      <c r="N576" s="26" t="str">
        <f t="shared" si="2"/>
        <v>
</v>
      </c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0"/>
      <c r="B577" s="12"/>
      <c r="C577" s="12"/>
      <c r="D577" s="35"/>
      <c r="E577" s="22"/>
      <c r="F577" s="12"/>
      <c r="G577" s="12"/>
      <c r="H577" s="12"/>
      <c r="I577" s="23"/>
      <c r="J577" s="12"/>
      <c r="K577" s="23"/>
      <c r="L577" s="24"/>
      <c r="M577" s="12"/>
      <c r="N577" s="26" t="str">
        <f t="shared" si="2"/>
        <v>
</v>
      </c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0"/>
      <c r="B578" s="12"/>
      <c r="C578" s="12"/>
      <c r="D578" s="35"/>
      <c r="E578" s="22"/>
      <c r="F578" s="12"/>
      <c r="G578" s="12"/>
      <c r="H578" s="12"/>
      <c r="I578" s="23"/>
      <c r="J578" s="12"/>
      <c r="K578" s="23"/>
      <c r="L578" s="24"/>
      <c r="M578" s="12"/>
      <c r="N578" s="26" t="str">
        <f t="shared" si="2"/>
        <v>
</v>
      </c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0"/>
      <c r="B579" s="12"/>
      <c r="C579" s="12"/>
      <c r="D579" s="35"/>
      <c r="E579" s="22"/>
      <c r="F579" s="12"/>
      <c r="G579" s="12"/>
      <c r="H579" s="12"/>
      <c r="I579" s="23"/>
      <c r="J579" s="12"/>
      <c r="K579" s="23"/>
      <c r="L579" s="24"/>
      <c r="M579" s="12"/>
      <c r="N579" s="26" t="str">
        <f t="shared" si="2"/>
        <v>
</v>
      </c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0"/>
      <c r="B580" s="12"/>
      <c r="C580" s="12"/>
      <c r="D580" s="35"/>
      <c r="E580" s="22"/>
      <c r="F580" s="12"/>
      <c r="G580" s="12"/>
      <c r="H580" s="12"/>
      <c r="I580" s="23"/>
      <c r="J580" s="12"/>
      <c r="K580" s="23"/>
      <c r="L580" s="24"/>
      <c r="M580" s="12"/>
      <c r="N580" s="26" t="str">
        <f t="shared" si="2"/>
        <v>
</v>
      </c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0"/>
      <c r="B581" s="12"/>
      <c r="C581" s="12"/>
      <c r="D581" s="35"/>
      <c r="E581" s="22"/>
      <c r="F581" s="12"/>
      <c r="G581" s="12"/>
      <c r="H581" s="12"/>
      <c r="I581" s="23"/>
      <c r="J581" s="12"/>
      <c r="K581" s="23"/>
      <c r="L581" s="24"/>
      <c r="M581" s="12"/>
      <c r="N581" s="26" t="str">
        <f t="shared" si="2"/>
        <v>
</v>
      </c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0"/>
      <c r="B582" s="12"/>
      <c r="C582" s="12"/>
      <c r="D582" s="23"/>
      <c r="E582" s="12"/>
      <c r="F582" s="12"/>
      <c r="G582" s="12"/>
      <c r="H582" s="12"/>
      <c r="I582" s="23"/>
      <c r="J582" s="12"/>
      <c r="K582" s="23"/>
      <c r="L582" s="24"/>
      <c r="M582" s="12"/>
      <c r="N582" s="26" t="str">
        <f t="shared" si="2"/>
        <v>
</v>
      </c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0"/>
      <c r="B583" s="12"/>
      <c r="C583" s="12"/>
      <c r="D583" s="50"/>
      <c r="E583" s="50"/>
      <c r="F583" s="12"/>
      <c r="G583" s="12"/>
      <c r="H583" s="12"/>
      <c r="I583" s="23"/>
      <c r="J583" s="12"/>
      <c r="K583" s="23"/>
      <c r="L583" s="24"/>
      <c r="M583" s="12"/>
      <c r="N583" s="26" t="str">
        <f t="shared" si="2"/>
        <v>
</v>
      </c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0"/>
      <c r="B584" s="12"/>
      <c r="C584" s="12"/>
      <c r="D584" s="35"/>
      <c r="E584" s="22"/>
      <c r="F584" s="12"/>
      <c r="G584" s="12"/>
      <c r="H584" s="12"/>
      <c r="I584" s="23"/>
      <c r="J584" s="12"/>
      <c r="K584" s="23"/>
      <c r="L584" s="24"/>
      <c r="M584" s="12"/>
      <c r="N584" s="26" t="str">
        <f t="shared" si="2"/>
        <v>
</v>
      </c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0"/>
      <c r="B585" s="12"/>
      <c r="C585" s="12"/>
      <c r="D585" s="35"/>
      <c r="E585" s="22"/>
      <c r="F585" s="12"/>
      <c r="G585" s="12"/>
      <c r="H585" s="12"/>
      <c r="I585" s="23"/>
      <c r="J585" s="12"/>
      <c r="K585" s="23"/>
      <c r="L585" s="24"/>
      <c r="M585" s="12"/>
      <c r="N585" s="26" t="str">
        <f t="shared" si="2"/>
        <v>
</v>
      </c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0"/>
      <c r="B586" s="12"/>
      <c r="C586" s="12"/>
      <c r="D586" s="35"/>
      <c r="E586" s="22"/>
      <c r="F586" s="12"/>
      <c r="G586" s="12"/>
      <c r="H586" s="12"/>
      <c r="I586" s="23"/>
      <c r="J586" s="12"/>
      <c r="K586" s="23"/>
      <c r="L586" s="24"/>
      <c r="M586" s="12"/>
      <c r="N586" s="26" t="str">
        <f t="shared" si="2"/>
        <v>
</v>
      </c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0"/>
      <c r="B587" s="12"/>
      <c r="C587" s="12"/>
      <c r="D587" s="23"/>
      <c r="E587" s="12"/>
      <c r="F587" s="12"/>
      <c r="G587" s="12"/>
      <c r="H587" s="12"/>
      <c r="I587" s="23"/>
      <c r="J587" s="12"/>
      <c r="K587" s="23"/>
      <c r="L587" s="24"/>
      <c r="M587" s="12"/>
      <c r="N587" s="26" t="str">
        <f t="shared" si="2"/>
        <v>
</v>
      </c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0"/>
      <c r="B588" s="12"/>
      <c r="C588" s="12"/>
      <c r="D588" s="23"/>
      <c r="E588" s="12"/>
      <c r="F588" s="12"/>
      <c r="G588" s="12"/>
      <c r="H588" s="12"/>
      <c r="I588" s="23"/>
      <c r="J588" s="12"/>
      <c r="K588" s="23"/>
      <c r="L588" s="24"/>
      <c r="M588" s="12"/>
      <c r="N588" s="26" t="str">
        <f t="shared" si="2"/>
        <v>
</v>
      </c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0"/>
      <c r="B589" s="12"/>
      <c r="C589" s="12"/>
      <c r="D589" s="35"/>
      <c r="E589" s="22"/>
      <c r="F589" s="12"/>
      <c r="G589" s="12"/>
      <c r="H589" s="12"/>
      <c r="I589" s="23"/>
      <c r="J589" s="12"/>
      <c r="K589" s="23"/>
      <c r="L589" s="24"/>
      <c r="M589" s="12"/>
      <c r="N589" s="26" t="str">
        <f t="shared" si="2"/>
        <v>
</v>
      </c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0"/>
      <c r="B590" s="12"/>
      <c r="C590" s="12"/>
      <c r="D590" s="23"/>
      <c r="E590" s="12"/>
      <c r="F590" s="12"/>
      <c r="G590" s="12"/>
      <c r="H590" s="12"/>
      <c r="I590" s="23"/>
      <c r="J590" s="12"/>
      <c r="K590" s="23"/>
      <c r="L590" s="24"/>
      <c r="M590" s="12"/>
      <c r="N590" s="26" t="str">
        <f t="shared" si="2"/>
        <v>
</v>
      </c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0"/>
      <c r="B591" s="12"/>
      <c r="C591" s="12"/>
      <c r="D591" s="23"/>
      <c r="E591" s="12"/>
      <c r="F591" s="12"/>
      <c r="G591" s="12"/>
      <c r="H591" s="12"/>
      <c r="I591" s="23"/>
      <c r="J591" s="12"/>
      <c r="K591" s="23"/>
      <c r="L591" s="24"/>
      <c r="M591" s="12"/>
      <c r="N591" s="26" t="str">
        <f t="shared" si="2"/>
        <v>
</v>
      </c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0"/>
      <c r="B592" s="12"/>
      <c r="C592" s="12"/>
      <c r="D592" s="23"/>
      <c r="E592" s="12"/>
      <c r="F592" s="12"/>
      <c r="G592" s="12"/>
      <c r="H592" s="12"/>
      <c r="I592" s="23"/>
      <c r="J592" s="12"/>
      <c r="K592" s="23"/>
      <c r="L592" s="24"/>
      <c r="M592" s="12"/>
      <c r="N592" s="26" t="str">
        <f t="shared" si="2"/>
        <v>
</v>
      </c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0"/>
      <c r="B593" s="12"/>
      <c r="C593" s="12"/>
      <c r="D593" s="23"/>
      <c r="E593" s="22"/>
      <c r="F593" s="12"/>
      <c r="G593" s="12"/>
      <c r="H593" s="12"/>
      <c r="I593" s="23"/>
      <c r="J593" s="12"/>
      <c r="K593" s="23"/>
      <c r="L593" s="24"/>
      <c r="M593" s="12"/>
      <c r="N593" s="26" t="str">
        <f t="shared" si="2"/>
        <v>
</v>
      </c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0"/>
      <c r="B594" s="12"/>
      <c r="C594" s="12"/>
      <c r="D594" s="23"/>
      <c r="E594" s="12"/>
      <c r="F594" s="12"/>
      <c r="G594" s="22"/>
      <c r="H594" s="12"/>
      <c r="I594" s="23"/>
      <c r="J594" s="12"/>
      <c r="K594" s="23"/>
      <c r="L594" s="24"/>
      <c r="M594" s="12"/>
      <c r="N594" s="26" t="str">
        <f t="shared" si="2"/>
        <v>
</v>
      </c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0"/>
      <c r="B595" s="12"/>
      <c r="C595" s="12"/>
      <c r="D595" s="23"/>
      <c r="E595" s="12"/>
      <c r="F595" s="12"/>
      <c r="G595" s="12"/>
      <c r="H595" s="12"/>
      <c r="I595" s="23"/>
      <c r="J595" s="12"/>
      <c r="K595" s="23"/>
      <c r="L595" s="24"/>
      <c r="M595" s="12"/>
      <c r="N595" s="26" t="str">
        <f t="shared" si="2"/>
        <v>
</v>
      </c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0"/>
      <c r="B596" s="12"/>
      <c r="C596" s="12"/>
      <c r="D596" s="23"/>
      <c r="E596" s="12"/>
      <c r="F596" s="12"/>
      <c r="G596" s="12"/>
      <c r="H596" s="12"/>
      <c r="I596" s="23"/>
      <c r="J596" s="12"/>
      <c r="K596" s="23"/>
      <c r="L596" s="24"/>
      <c r="M596" s="12"/>
      <c r="N596" s="26" t="str">
        <f t="shared" si="2"/>
        <v>
</v>
      </c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0"/>
      <c r="B597" s="12"/>
      <c r="C597" s="12"/>
      <c r="D597" s="23"/>
      <c r="E597" s="12"/>
      <c r="F597" s="12"/>
      <c r="G597" s="12"/>
      <c r="H597" s="12"/>
      <c r="I597" s="23"/>
      <c r="J597" s="12"/>
      <c r="K597" s="23"/>
      <c r="L597" s="24"/>
      <c r="M597" s="12"/>
      <c r="N597" s="26" t="str">
        <f t="shared" si="2"/>
        <v>
</v>
      </c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0"/>
      <c r="B598" s="12"/>
      <c r="C598" s="12"/>
      <c r="D598" s="23"/>
      <c r="E598" s="12"/>
      <c r="F598" s="12"/>
      <c r="G598" s="12"/>
      <c r="H598" s="12"/>
      <c r="I598" s="23"/>
      <c r="J598" s="12"/>
      <c r="K598" s="23"/>
      <c r="L598" s="24"/>
      <c r="M598" s="12"/>
      <c r="N598" s="26" t="str">
        <f t="shared" si="2"/>
        <v>
</v>
      </c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0"/>
      <c r="B599" s="12"/>
      <c r="C599" s="12"/>
      <c r="D599" s="23"/>
      <c r="E599" s="12"/>
      <c r="F599" s="12"/>
      <c r="G599" s="12"/>
      <c r="H599" s="12"/>
      <c r="I599" s="23"/>
      <c r="J599" s="12"/>
      <c r="K599" s="23"/>
      <c r="L599" s="24"/>
      <c r="M599" s="12"/>
      <c r="N599" s="26" t="str">
        <f t="shared" si="2"/>
        <v>
</v>
      </c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0"/>
      <c r="B600" s="12"/>
      <c r="C600" s="12"/>
      <c r="D600" s="23"/>
      <c r="E600" s="12"/>
      <c r="F600" s="12"/>
      <c r="G600" s="12"/>
      <c r="H600" s="12"/>
      <c r="I600" s="23"/>
      <c r="J600" s="12"/>
      <c r="K600" s="23"/>
      <c r="L600" s="24"/>
      <c r="M600" s="12"/>
      <c r="N600" s="26" t="str">
        <f t="shared" si="2"/>
        <v>
</v>
      </c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0"/>
      <c r="B601" s="12"/>
      <c r="C601" s="12"/>
      <c r="D601" s="23"/>
      <c r="E601" s="12"/>
      <c r="F601" s="12"/>
      <c r="G601" s="12"/>
      <c r="H601" s="12"/>
      <c r="I601" s="23"/>
      <c r="J601" s="12"/>
      <c r="K601" s="23"/>
      <c r="L601" s="24"/>
      <c r="M601" s="12"/>
      <c r="N601" s="26" t="str">
        <f t="shared" si="2"/>
        <v>
</v>
      </c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0"/>
      <c r="B602" s="12"/>
      <c r="C602" s="12"/>
      <c r="D602" s="23"/>
      <c r="E602" s="12"/>
      <c r="F602" s="12"/>
      <c r="G602" s="12"/>
      <c r="H602" s="12"/>
      <c r="I602" s="23"/>
      <c r="J602" s="12"/>
      <c r="K602" s="23"/>
      <c r="L602" s="24"/>
      <c r="M602" s="12"/>
      <c r="N602" s="26" t="str">
        <f t="shared" si="2"/>
        <v>
</v>
      </c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0"/>
      <c r="B603" s="12"/>
      <c r="C603" s="12"/>
      <c r="D603" s="23"/>
      <c r="E603" s="12"/>
      <c r="F603" s="12"/>
      <c r="G603" s="22"/>
      <c r="H603" s="12"/>
      <c r="I603" s="23"/>
      <c r="J603" s="12"/>
      <c r="K603" s="23"/>
      <c r="L603" s="24"/>
      <c r="M603" s="12"/>
      <c r="N603" s="26" t="str">
        <f t="shared" si="2"/>
        <v>
</v>
      </c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0"/>
      <c r="B604" s="12"/>
      <c r="C604" s="12"/>
      <c r="D604" s="23"/>
      <c r="E604" s="12"/>
      <c r="F604" s="12"/>
      <c r="G604" s="12"/>
      <c r="H604" s="12"/>
      <c r="I604" s="23"/>
      <c r="J604" s="12"/>
      <c r="K604" s="23"/>
      <c r="L604" s="24"/>
      <c r="M604" s="12"/>
      <c r="N604" s="26" t="str">
        <f t="shared" si="2"/>
        <v>
</v>
      </c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0"/>
      <c r="B605" s="12"/>
      <c r="C605" s="12"/>
      <c r="D605" s="23"/>
      <c r="E605" s="12"/>
      <c r="F605" s="12"/>
      <c r="G605" s="12"/>
      <c r="H605" s="12"/>
      <c r="I605" s="23"/>
      <c r="J605" s="12"/>
      <c r="K605" s="23"/>
      <c r="L605" s="24"/>
      <c r="M605" s="12"/>
      <c r="N605" s="26" t="str">
        <f t="shared" si="2"/>
        <v>
</v>
      </c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0"/>
      <c r="B606" s="12"/>
      <c r="C606" s="12"/>
      <c r="D606" s="23"/>
      <c r="E606" s="12"/>
      <c r="F606" s="12"/>
      <c r="G606" s="12"/>
      <c r="H606" s="12"/>
      <c r="I606" s="23"/>
      <c r="J606" s="12"/>
      <c r="K606" s="23"/>
      <c r="L606" s="24"/>
      <c r="M606" s="12"/>
      <c r="N606" s="26" t="str">
        <f t="shared" si="2"/>
        <v>
</v>
      </c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0"/>
      <c r="B607" s="12"/>
      <c r="C607" s="12"/>
      <c r="D607" s="23"/>
      <c r="E607" s="12"/>
      <c r="F607" s="12"/>
      <c r="G607" s="12"/>
      <c r="H607" s="12"/>
      <c r="I607" s="23"/>
      <c r="J607" s="12"/>
      <c r="K607" s="23"/>
      <c r="L607" s="24"/>
      <c r="M607" s="12"/>
      <c r="N607" s="26" t="str">
        <f t="shared" si="2"/>
        <v>
</v>
      </c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0"/>
      <c r="B608" s="12"/>
      <c r="C608" s="12"/>
      <c r="D608" s="23"/>
      <c r="E608" s="12"/>
      <c r="F608" s="12"/>
      <c r="G608" s="12"/>
      <c r="H608" s="12"/>
      <c r="I608" s="23"/>
      <c r="J608" s="12"/>
      <c r="K608" s="23"/>
      <c r="L608" s="24"/>
      <c r="M608" s="12"/>
      <c r="N608" s="26" t="str">
        <f t="shared" si="2"/>
        <v>
</v>
      </c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0"/>
      <c r="B609" s="12"/>
      <c r="C609" s="12"/>
      <c r="D609" s="23"/>
      <c r="E609" s="12"/>
      <c r="F609" s="12"/>
      <c r="G609" s="12"/>
      <c r="H609" s="12"/>
      <c r="I609" s="23"/>
      <c r="J609" s="12"/>
      <c r="K609" s="23"/>
      <c r="L609" s="24"/>
      <c r="M609" s="12"/>
      <c r="N609" s="26" t="str">
        <f t="shared" si="2"/>
        <v>
</v>
      </c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0"/>
      <c r="B610" s="12"/>
      <c r="C610" s="12"/>
      <c r="D610" s="23"/>
      <c r="E610" s="12"/>
      <c r="F610" s="12"/>
      <c r="G610" s="12"/>
      <c r="H610" s="12"/>
      <c r="I610" s="23"/>
      <c r="J610" s="12"/>
      <c r="K610" s="23"/>
      <c r="L610" s="24"/>
      <c r="M610" s="12"/>
      <c r="N610" s="26" t="str">
        <f t="shared" si="2"/>
        <v>
</v>
      </c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0"/>
      <c r="B611" s="12"/>
      <c r="C611" s="12"/>
      <c r="D611" s="23"/>
      <c r="E611" s="12"/>
      <c r="F611" s="12"/>
      <c r="G611" s="12"/>
      <c r="H611" s="12"/>
      <c r="I611" s="23"/>
      <c r="J611" s="12"/>
      <c r="K611" s="23"/>
      <c r="L611" s="24"/>
      <c r="M611" s="12"/>
      <c r="N611" s="26" t="str">
        <f t="shared" si="2"/>
        <v>
</v>
      </c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0"/>
      <c r="B612" s="12"/>
      <c r="C612" s="12"/>
      <c r="D612" s="23"/>
      <c r="E612" s="12"/>
      <c r="F612" s="12"/>
      <c r="G612" s="12"/>
      <c r="H612" s="12"/>
      <c r="I612" s="23"/>
      <c r="J612" s="12"/>
      <c r="K612" s="23"/>
      <c r="L612" s="24"/>
      <c r="M612" s="12"/>
      <c r="N612" s="26" t="str">
        <f t="shared" si="2"/>
        <v>
</v>
      </c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0"/>
      <c r="B613" s="12"/>
      <c r="C613" s="12"/>
      <c r="D613" s="47"/>
      <c r="E613" s="12"/>
      <c r="F613" s="12"/>
      <c r="G613" s="12"/>
      <c r="H613" s="12"/>
      <c r="I613" s="23"/>
      <c r="J613" s="12"/>
      <c r="K613" s="23"/>
      <c r="L613" s="24"/>
      <c r="M613" s="12"/>
      <c r="N613" s="26" t="str">
        <f t="shared" si="2"/>
        <v>
</v>
      </c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0"/>
      <c r="B614" s="12"/>
      <c r="C614" s="12"/>
      <c r="D614" s="23"/>
      <c r="E614" s="12"/>
      <c r="F614" s="12"/>
      <c r="G614" s="12"/>
      <c r="H614" s="12"/>
      <c r="I614" s="23"/>
      <c r="J614" s="12"/>
      <c r="K614" s="23"/>
      <c r="L614" s="24"/>
      <c r="M614" s="12"/>
      <c r="N614" s="26" t="str">
        <f t="shared" si="2"/>
        <v>
</v>
      </c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0"/>
      <c r="B615" s="12"/>
      <c r="C615" s="12"/>
      <c r="D615" s="35"/>
      <c r="E615" s="22"/>
      <c r="F615" s="12"/>
      <c r="G615" s="12"/>
      <c r="H615" s="12"/>
      <c r="I615" s="23"/>
      <c r="J615" s="12"/>
      <c r="K615" s="23"/>
      <c r="L615" s="24"/>
      <c r="M615" s="12"/>
      <c r="N615" s="26" t="str">
        <f t="shared" si="2"/>
        <v>
</v>
      </c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0"/>
      <c r="B616" s="12"/>
      <c r="C616" s="12"/>
      <c r="D616" s="35"/>
      <c r="E616" s="22"/>
      <c r="F616" s="12"/>
      <c r="G616" s="12"/>
      <c r="H616" s="12"/>
      <c r="I616" s="23"/>
      <c r="J616" s="12"/>
      <c r="K616" s="23"/>
      <c r="L616" s="24"/>
      <c r="M616" s="12"/>
      <c r="N616" s="26" t="str">
        <f t="shared" si="2"/>
        <v>
</v>
      </c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0"/>
      <c r="B617" s="12"/>
      <c r="C617" s="12"/>
      <c r="D617" s="23"/>
      <c r="E617" s="12"/>
      <c r="F617" s="12"/>
      <c r="G617" s="12"/>
      <c r="H617" s="12"/>
      <c r="I617" s="23"/>
      <c r="J617" s="12"/>
      <c r="K617" s="23"/>
      <c r="L617" s="24"/>
      <c r="M617" s="12"/>
      <c r="N617" s="26" t="str">
        <f t="shared" si="2"/>
        <v>
</v>
      </c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0"/>
      <c r="B618" s="12"/>
      <c r="C618" s="12"/>
      <c r="D618" s="35"/>
      <c r="E618" s="22"/>
      <c r="F618" s="12"/>
      <c r="G618" s="12"/>
      <c r="H618" s="12"/>
      <c r="I618" s="23"/>
      <c r="J618" s="12"/>
      <c r="K618" s="23"/>
      <c r="L618" s="24"/>
      <c r="M618" s="12"/>
      <c r="N618" s="26" t="str">
        <f t="shared" si="2"/>
        <v>
</v>
      </c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0"/>
      <c r="B619" s="12"/>
      <c r="C619" s="12"/>
      <c r="D619" s="35"/>
      <c r="E619" s="22"/>
      <c r="F619" s="12"/>
      <c r="G619" s="22"/>
      <c r="H619" s="12"/>
      <c r="I619" s="23"/>
      <c r="J619" s="12"/>
      <c r="K619" s="23"/>
      <c r="L619" s="24"/>
      <c r="M619" s="12"/>
      <c r="N619" s="26" t="str">
        <f t="shared" si="2"/>
        <v>
</v>
      </c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0"/>
      <c r="B620" s="12"/>
      <c r="C620" s="12"/>
      <c r="D620" s="23"/>
      <c r="E620" s="12"/>
      <c r="F620" s="12"/>
      <c r="G620" s="22"/>
      <c r="H620" s="12"/>
      <c r="I620" s="23"/>
      <c r="J620" s="12"/>
      <c r="K620" s="23"/>
      <c r="L620" s="24"/>
      <c r="M620" s="12"/>
      <c r="N620" s="26" t="str">
        <f t="shared" si="2"/>
        <v>
</v>
      </c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0"/>
      <c r="B621" s="12"/>
      <c r="C621" s="12"/>
      <c r="D621" s="23"/>
      <c r="E621" s="12"/>
      <c r="F621" s="12"/>
      <c r="G621" s="12"/>
      <c r="H621" s="12"/>
      <c r="I621" s="23"/>
      <c r="J621" s="12"/>
      <c r="K621" s="23"/>
      <c r="L621" s="24"/>
      <c r="M621" s="12"/>
      <c r="N621" s="26" t="str">
        <f t="shared" si="2"/>
        <v>
</v>
      </c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0"/>
      <c r="B622" s="12"/>
      <c r="C622" s="12"/>
      <c r="D622" s="23"/>
      <c r="E622" s="12"/>
      <c r="F622" s="12"/>
      <c r="G622" s="12"/>
      <c r="H622" s="12"/>
      <c r="I622" s="23"/>
      <c r="J622" s="12"/>
      <c r="K622" s="23"/>
      <c r="L622" s="24"/>
      <c r="M622" s="12"/>
      <c r="N622" s="26" t="str">
        <f t="shared" si="2"/>
        <v>
</v>
      </c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0"/>
      <c r="B623" s="12"/>
      <c r="C623" s="12"/>
      <c r="D623" s="23"/>
      <c r="E623" s="12"/>
      <c r="F623" s="12"/>
      <c r="G623" s="22"/>
      <c r="H623" s="12"/>
      <c r="I623" s="23"/>
      <c r="J623" s="12"/>
      <c r="K623" s="23"/>
      <c r="L623" s="24"/>
      <c r="M623" s="12"/>
      <c r="N623" s="26" t="str">
        <f t="shared" si="2"/>
        <v>
</v>
      </c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0"/>
      <c r="B624" s="12"/>
      <c r="C624" s="12"/>
      <c r="D624" s="35"/>
      <c r="E624" s="22"/>
      <c r="F624" s="12"/>
      <c r="G624" s="22"/>
      <c r="H624" s="12"/>
      <c r="I624" s="23"/>
      <c r="J624" s="12"/>
      <c r="K624" s="23"/>
      <c r="L624" s="24"/>
      <c r="M624" s="12"/>
      <c r="N624" s="26" t="str">
        <f t="shared" si="2"/>
        <v>
</v>
      </c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0"/>
      <c r="B625" s="12"/>
      <c r="C625" s="12"/>
      <c r="D625" s="23"/>
      <c r="E625" s="12"/>
      <c r="F625" s="12"/>
      <c r="G625" s="12"/>
      <c r="H625" s="12"/>
      <c r="I625" s="23"/>
      <c r="J625" s="12"/>
      <c r="K625" s="23"/>
      <c r="L625" s="24"/>
      <c r="M625" s="12"/>
      <c r="N625" s="26" t="str">
        <f t="shared" si="2"/>
        <v>
</v>
      </c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0"/>
      <c r="B626" s="12"/>
      <c r="C626" s="12"/>
      <c r="D626" s="23"/>
      <c r="E626" s="12"/>
      <c r="F626" s="12"/>
      <c r="G626" s="12"/>
      <c r="H626" s="12"/>
      <c r="I626" s="23"/>
      <c r="J626" s="12"/>
      <c r="K626" s="23"/>
      <c r="L626" s="24"/>
      <c r="M626" s="12"/>
      <c r="N626" s="26" t="str">
        <f t="shared" si="2"/>
        <v>
</v>
      </c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0"/>
      <c r="B627" s="12"/>
      <c r="C627" s="12"/>
      <c r="D627" s="23"/>
      <c r="E627" s="12"/>
      <c r="F627" s="12"/>
      <c r="G627" s="12"/>
      <c r="H627" s="12"/>
      <c r="I627" s="23"/>
      <c r="J627" s="12"/>
      <c r="K627" s="23"/>
      <c r="L627" s="24"/>
      <c r="M627" s="12"/>
      <c r="N627" s="26" t="str">
        <f t="shared" si="2"/>
        <v>
</v>
      </c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0"/>
      <c r="B628" s="12"/>
      <c r="C628" s="12"/>
      <c r="D628" s="23"/>
      <c r="E628" s="12"/>
      <c r="F628" s="12"/>
      <c r="G628" s="12"/>
      <c r="H628" s="12"/>
      <c r="I628" s="23"/>
      <c r="J628" s="12"/>
      <c r="K628" s="23"/>
      <c r="L628" s="24"/>
      <c r="M628" s="12"/>
      <c r="N628" s="26" t="str">
        <f t="shared" si="2"/>
        <v>
</v>
      </c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0"/>
      <c r="B629" s="12"/>
      <c r="C629" s="12"/>
      <c r="D629" s="23"/>
      <c r="E629" s="12"/>
      <c r="F629" s="12"/>
      <c r="G629" s="12"/>
      <c r="H629" s="12"/>
      <c r="I629" s="23"/>
      <c r="J629" s="12"/>
      <c r="K629" s="23"/>
      <c r="L629" s="24"/>
      <c r="M629" s="12"/>
      <c r="N629" s="26" t="str">
        <f t="shared" si="2"/>
        <v>
</v>
      </c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0"/>
      <c r="B630" s="12"/>
      <c r="C630" s="12"/>
      <c r="D630" s="23"/>
      <c r="E630" s="12"/>
      <c r="F630" s="12"/>
      <c r="G630" s="12"/>
      <c r="H630" s="12"/>
      <c r="I630" s="23"/>
      <c r="J630" s="12"/>
      <c r="K630" s="23"/>
      <c r="L630" s="24"/>
      <c r="M630" s="12"/>
      <c r="N630" s="26" t="str">
        <f t="shared" si="2"/>
        <v>
</v>
      </c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0"/>
      <c r="B631" s="12"/>
      <c r="C631" s="12"/>
      <c r="D631" s="23"/>
      <c r="E631" s="12"/>
      <c r="F631" s="12"/>
      <c r="G631" s="12"/>
      <c r="H631" s="12"/>
      <c r="I631" s="23"/>
      <c r="J631" s="12"/>
      <c r="K631" s="23"/>
      <c r="L631" s="24"/>
      <c r="M631" s="12"/>
      <c r="N631" s="26" t="str">
        <f t="shared" si="2"/>
        <v>
</v>
      </c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0"/>
      <c r="B632" s="12"/>
      <c r="C632" s="12"/>
      <c r="D632" s="23"/>
      <c r="E632" s="12"/>
      <c r="F632" s="12"/>
      <c r="G632" s="12"/>
      <c r="H632" s="12"/>
      <c r="I632" s="23"/>
      <c r="J632" s="12"/>
      <c r="K632" s="23"/>
      <c r="L632" s="24"/>
      <c r="M632" s="12"/>
      <c r="N632" s="26" t="str">
        <f t="shared" si="2"/>
        <v>
</v>
      </c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0"/>
      <c r="B633" s="12"/>
      <c r="C633" s="12"/>
      <c r="D633" s="23"/>
      <c r="E633" s="12"/>
      <c r="F633" s="12"/>
      <c r="G633" s="12"/>
      <c r="H633" s="12"/>
      <c r="I633" s="23"/>
      <c r="J633" s="12"/>
      <c r="K633" s="23"/>
      <c r="L633" s="24"/>
      <c r="M633" s="12"/>
      <c r="N633" s="26" t="str">
        <f t="shared" si="2"/>
        <v>
</v>
      </c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0"/>
      <c r="B634" s="12"/>
      <c r="C634" s="12"/>
      <c r="D634" s="23"/>
      <c r="E634" s="12"/>
      <c r="F634" s="12"/>
      <c r="G634" s="12"/>
      <c r="H634" s="12"/>
      <c r="I634" s="23"/>
      <c r="J634" s="12"/>
      <c r="K634" s="23"/>
      <c r="L634" s="24"/>
      <c r="M634" s="12"/>
      <c r="N634" s="26" t="str">
        <f t="shared" si="2"/>
        <v>
</v>
      </c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0"/>
      <c r="B635" s="12"/>
      <c r="C635" s="12"/>
      <c r="D635" s="23"/>
      <c r="E635" s="12"/>
      <c r="F635" s="12"/>
      <c r="G635" s="12"/>
      <c r="H635" s="12"/>
      <c r="I635" s="23"/>
      <c r="J635" s="12"/>
      <c r="K635" s="23"/>
      <c r="L635" s="24"/>
      <c r="M635" s="12"/>
      <c r="N635" s="26" t="str">
        <f t="shared" si="2"/>
        <v>
</v>
      </c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0"/>
      <c r="B636" s="12"/>
      <c r="C636" s="12"/>
      <c r="D636" s="35"/>
      <c r="E636" s="22"/>
      <c r="F636" s="12"/>
      <c r="G636" s="12"/>
      <c r="H636" s="12"/>
      <c r="I636" s="23"/>
      <c r="J636" s="12"/>
      <c r="K636" s="23"/>
      <c r="L636" s="24"/>
      <c r="M636" s="12"/>
      <c r="N636" s="26" t="str">
        <f t="shared" si="2"/>
        <v>
</v>
      </c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0"/>
      <c r="B637" s="12"/>
      <c r="C637" s="12"/>
      <c r="D637" s="35"/>
      <c r="E637" s="22"/>
      <c r="F637" s="12"/>
      <c r="G637" s="12"/>
      <c r="H637" s="12"/>
      <c r="I637" s="23"/>
      <c r="J637" s="12"/>
      <c r="K637" s="23"/>
      <c r="L637" s="24"/>
      <c r="M637" s="12"/>
      <c r="N637" s="26" t="str">
        <f t="shared" si="2"/>
        <v>
</v>
      </c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0"/>
      <c r="B638" s="12"/>
      <c r="C638" s="12"/>
      <c r="D638" s="35"/>
      <c r="E638" s="22"/>
      <c r="F638" s="12"/>
      <c r="G638" s="12"/>
      <c r="H638" s="12"/>
      <c r="I638" s="23"/>
      <c r="J638" s="12"/>
      <c r="K638" s="23"/>
      <c r="L638" s="24"/>
      <c r="M638" s="12"/>
      <c r="N638" s="26" t="str">
        <f t="shared" si="2"/>
        <v>
</v>
      </c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0"/>
      <c r="B639" s="12"/>
      <c r="C639" s="12"/>
      <c r="D639" s="23"/>
      <c r="E639" s="22"/>
      <c r="F639" s="12"/>
      <c r="G639" s="12"/>
      <c r="H639" s="12"/>
      <c r="I639" s="23"/>
      <c r="J639" s="12"/>
      <c r="K639" s="23"/>
      <c r="L639" s="24"/>
      <c r="M639" s="12"/>
      <c r="N639" s="26" t="str">
        <f t="shared" si="2"/>
        <v>
</v>
      </c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0"/>
      <c r="B640" s="12"/>
      <c r="C640" s="12"/>
      <c r="D640" s="23"/>
      <c r="E640" s="12"/>
      <c r="F640" s="12"/>
      <c r="G640" s="22"/>
      <c r="H640" s="12"/>
      <c r="I640" s="23"/>
      <c r="J640" s="12"/>
      <c r="K640" s="23"/>
      <c r="L640" s="24"/>
      <c r="M640" s="12"/>
      <c r="N640" s="26" t="str">
        <f t="shared" si="2"/>
        <v>
</v>
      </c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0"/>
      <c r="B641" s="12"/>
      <c r="C641" s="12"/>
      <c r="D641" s="23"/>
      <c r="E641" s="12"/>
      <c r="F641" s="12"/>
      <c r="G641" s="22"/>
      <c r="H641" s="12"/>
      <c r="I641" s="23"/>
      <c r="J641" s="12"/>
      <c r="K641" s="23"/>
      <c r="L641" s="24"/>
      <c r="M641" s="12"/>
      <c r="N641" s="26" t="str">
        <f t="shared" si="2"/>
        <v>
</v>
      </c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0"/>
      <c r="B642" s="12"/>
      <c r="C642" s="12"/>
      <c r="D642" s="23"/>
      <c r="E642" s="12"/>
      <c r="F642" s="12"/>
      <c r="G642" s="22"/>
      <c r="H642" s="12"/>
      <c r="I642" s="23"/>
      <c r="J642" s="12"/>
      <c r="K642" s="23"/>
      <c r="L642" s="24"/>
      <c r="M642" s="12"/>
      <c r="N642" s="26" t="str">
        <f t="shared" si="2"/>
        <v>
</v>
      </c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0"/>
      <c r="B643" s="12"/>
      <c r="C643" s="12"/>
      <c r="D643" s="23"/>
      <c r="E643" s="12"/>
      <c r="F643" s="12"/>
      <c r="G643" s="22"/>
      <c r="H643" s="12"/>
      <c r="I643" s="23"/>
      <c r="J643" s="12"/>
      <c r="K643" s="23"/>
      <c r="L643" s="24"/>
      <c r="M643" s="12"/>
      <c r="N643" s="26" t="str">
        <f t="shared" si="2"/>
        <v>
</v>
      </c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0"/>
      <c r="B644" s="12"/>
      <c r="C644" s="12"/>
      <c r="D644" s="23"/>
      <c r="E644" s="12"/>
      <c r="F644" s="12"/>
      <c r="G644" s="22"/>
      <c r="H644" s="12"/>
      <c r="I644" s="23"/>
      <c r="J644" s="12"/>
      <c r="K644" s="23"/>
      <c r="L644" s="24"/>
      <c r="M644" s="12"/>
      <c r="N644" s="26" t="str">
        <f t="shared" si="2"/>
        <v>
</v>
      </c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0"/>
      <c r="B645" s="12"/>
      <c r="C645" s="12"/>
      <c r="D645" s="23"/>
      <c r="E645" s="12"/>
      <c r="F645" s="12"/>
      <c r="G645" s="22"/>
      <c r="H645" s="12"/>
      <c r="I645" s="23"/>
      <c r="J645" s="12"/>
      <c r="K645" s="23"/>
      <c r="L645" s="24"/>
      <c r="M645" s="12"/>
      <c r="N645" s="26" t="str">
        <f t="shared" si="2"/>
        <v>
</v>
      </c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0"/>
      <c r="B646" s="12"/>
      <c r="C646" s="12"/>
      <c r="D646" s="23"/>
      <c r="E646" s="12"/>
      <c r="F646" s="12"/>
      <c r="G646" s="22"/>
      <c r="H646" s="12"/>
      <c r="I646" s="23"/>
      <c r="J646" s="12"/>
      <c r="K646" s="23"/>
      <c r="L646" s="24"/>
      <c r="M646" s="12"/>
      <c r="N646" s="26" t="str">
        <f t="shared" si="2"/>
        <v>
</v>
      </c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0"/>
      <c r="B647" s="12"/>
      <c r="C647" s="12"/>
      <c r="D647" s="23"/>
      <c r="E647" s="12"/>
      <c r="F647" s="12"/>
      <c r="G647" s="12"/>
      <c r="H647" s="12"/>
      <c r="I647" s="23"/>
      <c r="J647" s="12"/>
      <c r="K647" s="23"/>
      <c r="L647" s="24"/>
      <c r="M647" s="12"/>
      <c r="N647" s="26" t="str">
        <f t="shared" si="2"/>
        <v>
</v>
      </c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0"/>
      <c r="B648" s="12"/>
      <c r="C648" s="12"/>
      <c r="D648" s="23"/>
      <c r="E648" s="12"/>
      <c r="F648" s="12"/>
      <c r="G648" s="12"/>
      <c r="H648" s="12"/>
      <c r="I648" s="23"/>
      <c r="J648" s="12"/>
      <c r="K648" s="23"/>
      <c r="L648" s="24"/>
      <c r="M648" s="12"/>
      <c r="N648" s="26" t="str">
        <f t="shared" si="2"/>
        <v>
</v>
      </c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0"/>
      <c r="B649" s="12"/>
      <c r="C649" s="12"/>
      <c r="D649" s="23"/>
      <c r="E649" s="12"/>
      <c r="F649" s="12"/>
      <c r="G649" s="12"/>
      <c r="H649" s="12"/>
      <c r="I649" s="23"/>
      <c r="J649" s="12"/>
      <c r="K649" s="23"/>
      <c r="L649" s="24"/>
      <c r="M649" s="12"/>
      <c r="N649" s="26" t="str">
        <f t="shared" si="2"/>
        <v>
</v>
      </c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0"/>
      <c r="B650" s="12"/>
      <c r="C650" s="12"/>
      <c r="D650" s="23"/>
      <c r="E650" s="12"/>
      <c r="F650" s="12"/>
      <c r="G650" s="12"/>
      <c r="H650" s="12"/>
      <c r="I650" s="23"/>
      <c r="J650" s="12"/>
      <c r="K650" s="23"/>
      <c r="L650" s="24"/>
      <c r="M650" s="12"/>
      <c r="N650" s="26" t="str">
        <f t="shared" si="2"/>
        <v>
</v>
      </c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0"/>
      <c r="B651" s="12"/>
      <c r="C651" s="12"/>
      <c r="D651" s="23"/>
      <c r="E651" s="12"/>
      <c r="F651" s="12"/>
      <c r="G651" s="12"/>
      <c r="H651" s="12"/>
      <c r="I651" s="23"/>
      <c r="J651" s="12"/>
      <c r="K651" s="23"/>
      <c r="L651" s="24"/>
      <c r="M651" s="12"/>
      <c r="N651" s="26" t="str">
        <f t="shared" si="2"/>
        <v>
</v>
      </c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0"/>
      <c r="B652" s="12"/>
      <c r="C652" s="12"/>
      <c r="D652" s="23"/>
      <c r="E652" s="12"/>
      <c r="F652" s="12"/>
      <c r="G652" s="12"/>
      <c r="H652" s="12"/>
      <c r="I652" s="23"/>
      <c r="J652" s="12"/>
      <c r="K652" s="23"/>
      <c r="L652" s="24"/>
      <c r="M652" s="12"/>
      <c r="N652" s="26" t="str">
        <f t="shared" si="2"/>
        <v>
</v>
      </c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0"/>
      <c r="B653" s="12"/>
      <c r="C653" s="12"/>
      <c r="D653" s="23"/>
      <c r="E653" s="12"/>
      <c r="F653" s="12"/>
      <c r="G653" s="12"/>
      <c r="H653" s="12"/>
      <c r="I653" s="23"/>
      <c r="J653" s="12"/>
      <c r="K653" s="23"/>
      <c r="L653" s="24"/>
      <c r="M653" s="12"/>
      <c r="N653" s="26" t="str">
        <f t="shared" si="2"/>
        <v>
</v>
      </c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0"/>
      <c r="B654" s="12"/>
      <c r="C654" s="12"/>
      <c r="D654" s="23"/>
      <c r="E654" s="12"/>
      <c r="F654" s="12"/>
      <c r="G654" s="12"/>
      <c r="H654" s="12"/>
      <c r="I654" s="23"/>
      <c r="J654" s="12"/>
      <c r="K654" s="23"/>
      <c r="L654" s="24"/>
      <c r="M654" s="12"/>
      <c r="N654" s="26" t="str">
        <f t="shared" si="2"/>
        <v>
</v>
      </c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0"/>
      <c r="B655" s="12"/>
      <c r="C655" s="12"/>
      <c r="D655" s="36"/>
      <c r="E655" s="12"/>
      <c r="F655" s="12"/>
      <c r="G655" s="12"/>
      <c r="H655" s="12"/>
      <c r="I655" s="23"/>
      <c r="J655" s="12"/>
      <c r="K655" s="23"/>
      <c r="L655" s="24"/>
      <c r="M655" s="12"/>
      <c r="N655" s="26" t="str">
        <f t="shared" si="2"/>
        <v>
</v>
      </c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0"/>
      <c r="B656" s="12"/>
      <c r="C656" s="12"/>
      <c r="D656" s="23"/>
      <c r="E656" s="12"/>
      <c r="F656" s="12"/>
      <c r="G656" s="12"/>
      <c r="H656" s="12"/>
      <c r="I656" s="23"/>
      <c r="J656" s="12"/>
      <c r="K656" s="23"/>
      <c r="L656" s="24"/>
      <c r="M656" s="12"/>
      <c r="N656" s="26" t="str">
        <f t="shared" si="2"/>
        <v>
</v>
      </c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0"/>
      <c r="B657" s="12"/>
      <c r="C657" s="12"/>
      <c r="D657" s="47"/>
      <c r="E657" s="12"/>
      <c r="F657" s="12"/>
      <c r="G657" s="12"/>
      <c r="H657" s="12"/>
      <c r="I657" s="23"/>
      <c r="J657" s="12"/>
      <c r="K657" s="23"/>
      <c r="L657" s="24"/>
      <c r="M657" s="12"/>
      <c r="N657" s="26" t="str">
        <f t="shared" si="2"/>
        <v>
</v>
      </c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0"/>
      <c r="B658" s="12"/>
      <c r="C658" s="12"/>
      <c r="D658" s="23"/>
      <c r="E658" s="12"/>
      <c r="F658" s="12"/>
      <c r="G658" s="12"/>
      <c r="H658" s="12"/>
      <c r="I658" s="23"/>
      <c r="J658" s="12"/>
      <c r="K658" s="23"/>
      <c r="L658" s="24"/>
      <c r="M658" s="12"/>
      <c r="N658" s="26" t="str">
        <f t="shared" si="2"/>
        <v>
</v>
      </c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0"/>
      <c r="B659" s="12"/>
      <c r="C659" s="12"/>
      <c r="D659" s="35"/>
      <c r="E659" s="22"/>
      <c r="F659" s="12"/>
      <c r="G659" s="22"/>
      <c r="H659" s="22"/>
      <c r="I659" s="35"/>
      <c r="J659" s="22"/>
      <c r="K659" s="35"/>
      <c r="L659" s="24"/>
      <c r="M659" s="12"/>
      <c r="N659" s="26" t="str">
        <f t="shared" si="2"/>
        <v>
</v>
      </c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 ht="40.5" customHeight="1">
      <c r="A660" s="20"/>
      <c r="B660" s="12"/>
      <c r="C660" s="12"/>
      <c r="D660" s="35"/>
      <c r="E660" s="22"/>
      <c r="F660" s="12"/>
      <c r="G660" s="22"/>
      <c r="H660" s="22"/>
      <c r="I660" s="35"/>
      <c r="J660" s="22"/>
      <c r="K660" s="35"/>
      <c r="L660" s="24"/>
      <c r="M660" s="12"/>
      <c r="N660" s="26" t="str">
        <f t="shared" si="2"/>
        <v>
</v>
      </c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0"/>
      <c r="B661" s="12"/>
      <c r="C661" s="12"/>
      <c r="D661" s="23"/>
      <c r="E661" s="12"/>
      <c r="F661" s="12"/>
      <c r="G661" s="12"/>
      <c r="H661" s="12"/>
      <c r="I661" s="23"/>
      <c r="J661" s="12"/>
      <c r="K661" s="23"/>
      <c r="L661" s="24"/>
      <c r="M661" s="12"/>
      <c r="N661" s="26" t="str">
        <f t="shared" si="2"/>
        <v>
</v>
      </c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0"/>
      <c r="B662" s="12"/>
      <c r="C662" s="12"/>
      <c r="D662" s="23"/>
      <c r="E662" s="12"/>
      <c r="F662" s="12"/>
      <c r="G662" s="12"/>
      <c r="H662" s="12"/>
      <c r="I662" s="23"/>
      <c r="J662" s="12"/>
      <c r="K662" s="23"/>
      <c r="L662" s="24"/>
      <c r="M662" s="12"/>
      <c r="N662" s="26" t="str">
        <f t="shared" si="2"/>
        <v>
</v>
      </c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0"/>
      <c r="B663" s="12"/>
      <c r="C663" s="12"/>
      <c r="D663" s="23"/>
      <c r="E663" s="12"/>
      <c r="F663" s="12"/>
      <c r="G663" s="22"/>
      <c r="H663" s="12"/>
      <c r="I663" s="23"/>
      <c r="J663" s="12"/>
      <c r="K663" s="23"/>
      <c r="L663" s="24"/>
      <c r="M663" s="12"/>
      <c r="N663" s="26" t="str">
        <f t="shared" si="2"/>
        <v>
</v>
      </c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0"/>
      <c r="B664" s="12"/>
      <c r="C664" s="12"/>
      <c r="D664" s="23"/>
      <c r="E664" s="12"/>
      <c r="F664" s="12"/>
      <c r="G664" s="22"/>
      <c r="H664" s="12"/>
      <c r="I664" s="23"/>
      <c r="J664" s="12"/>
      <c r="K664" s="23"/>
      <c r="L664" s="24"/>
      <c r="M664" s="12"/>
      <c r="N664" s="26" t="str">
        <f t="shared" si="2"/>
        <v>
</v>
      </c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0"/>
      <c r="B665" s="12"/>
      <c r="C665" s="12"/>
      <c r="D665" s="23"/>
      <c r="E665" s="12"/>
      <c r="F665" s="12"/>
      <c r="G665" s="22"/>
      <c r="H665" s="12"/>
      <c r="I665" s="23"/>
      <c r="J665" s="12"/>
      <c r="K665" s="23"/>
      <c r="L665" s="24"/>
      <c r="M665" s="12"/>
      <c r="N665" s="26" t="str">
        <f t="shared" si="2"/>
        <v>
</v>
      </c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0"/>
      <c r="B666" s="12"/>
      <c r="C666" s="12"/>
      <c r="D666" s="23"/>
      <c r="E666" s="12"/>
      <c r="F666" s="12"/>
      <c r="G666" s="22"/>
      <c r="H666" s="12"/>
      <c r="I666" s="23"/>
      <c r="J666" s="12"/>
      <c r="K666" s="23"/>
      <c r="L666" s="24"/>
      <c r="M666" s="12"/>
      <c r="N666" s="26" t="str">
        <f t="shared" si="2"/>
        <v>
</v>
      </c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0"/>
      <c r="B667" s="12"/>
      <c r="C667" s="12"/>
      <c r="D667" s="23"/>
      <c r="E667" s="12"/>
      <c r="F667" s="12"/>
      <c r="G667" s="12"/>
      <c r="H667" s="12"/>
      <c r="I667" s="23"/>
      <c r="J667" s="12"/>
      <c r="K667" s="23"/>
      <c r="L667" s="24"/>
      <c r="M667" s="12"/>
      <c r="N667" s="26" t="str">
        <f t="shared" si="2"/>
        <v>
</v>
      </c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0"/>
      <c r="B668" s="12"/>
      <c r="C668" s="12"/>
      <c r="D668" s="47"/>
      <c r="E668" s="12"/>
      <c r="F668" s="12"/>
      <c r="G668" s="12"/>
      <c r="H668" s="12"/>
      <c r="I668" s="23"/>
      <c r="J668" s="12"/>
      <c r="K668" s="23"/>
      <c r="L668" s="24"/>
      <c r="M668" s="12"/>
      <c r="N668" s="26" t="str">
        <f t="shared" si="2"/>
        <v>
</v>
      </c>
      <c r="O668" s="26"/>
      <c r="P668" s="73"/>
      <c r="Q668" s="26"/>
      <c r="R668" s="26"/>
      <c r="S668" s="26"/>
      <c r="T668" s="26"/>
      <c r="U668" s="26"/>
      <c r="V668" s="26"/>
      <c r="W668" s="26"/>
      <c r="X668" s="26"/>
    </row>
    <row r="669">
      <c r="A669" s="20"/>
      <c r="B669" s="12"/>
      <c r="C669" s="12"/>
      <c r="D669" s="23"/>
      <c r="E669" s="12"/>
      <c r="F669" s="12"/>
      <c r="G669" s="12"/>
      <c r="H669" s="12"/>
      <c r="I669" s="23"/>
      <c r="J669" s="12"/>
      <c r="K669" s="23"/>
      <c r="L669" s="24"/>
      <c r="M669" s="12"/>
      <c r="N669" s="26" t="str">
        <f t="shared" si="2"/>
        <v>
</v>
      </c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0"/>
      <c r="B670" s="12"/>
      <c r="C670" s="12"/>
      <c r="D670" s="35"/>
      <c r="E670" s="22"/>
      <c r="F670" s="12"/>
      <c r="G670" s="22"/>
      <c r="H670" s="12"/>
      <c r="I670" s="23"/>
      <c r="J670" s="12"/>
      <c r="K670" s="23"/>
      <c r="L670" s="24"/>
      <c r="M670" s="94"/>
      <c r="N670" s="26" t="str">
        <f t="shared" si="2"/>
        <v>
</v>
      </c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0"/>
      <c r="B671" s="12"/>
      <c r="C671" s="12"/>
      <c r="D671" s="35"/>
      <c r="E671" s="22"/>
      <c r="F671" s="12"/>
      <c r="G671" s="12"/>
      <c r="H671" s="12"/>
      <c r="I671" s="23"/>
      <c r="J671" s="12"/>
      <c r="K671" s="23"/>
      <c r="L671" s="24"/>
      <c r="M671" s="94"/>
      <c r="N671" s="26" t="str">
        <f t="shared" si="2"/>
        <v>
</v>
      </c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0"/>
      <c r="B672" s="12"/>
      <c r="C672" s="12"/>
      <c r="D672" s="23"/>
      <c r="E672" s="12"/>
      <c r="F672" s="12"/>
      <c r="G672" s="12"/>
      <c r="H672" s="12"/>
      <c r="I672" s="23"/>
      <c r="J672" s="12"/>
      <c r="K672" s="23"/>
      <c r="L672" s="24"/>
      <c r="M672" s="94"/>
      <c r="N672" s="26" t="str">
        <f t="shared" si="2"/>
        <v>
</v>
      </c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0"/>
      <c r="B673" s="12"/>
      <c r="C673" s="12"/>
      <c r="D673" s="23"/>
      <c r="E673" s="12"/>
      <c r="F673" s="12"/>
      <c r="G673" s="12"/>
      <c r="H673" s="12"/>
      <c r="I673" s="23"/>
      <c r="J673" s="12"/>
      <c r="K673" s="23"/>
      <c r="L673" s="24"/>
      <c r="M673" s="94"/>
      <c r="N673" s="26" t="str">
        <f t="shared" si="2"/>
        <v>
</v>
      </c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0"/>
      <c r="B674" s="12"/>
      <c r="C674" s="12"/>
      <c r="D674" s="35"/>
      <c r="E674" s="22"/>
      <c r="F674" s="12"/>
      <c r="G674" s="12"/>
      <c r="H674" s="12"/>
      <c r="I674" s="23"/>
      <c r="J674" s="12"/>
      <c r="K674" s="23"/>
      <c r="L674" s="24"/>
      <c r="M674" s="94"/>
      <c r="N674" s="26" t="str">
        <f t="shared" si="2"/>
        <v>
</v>
      </c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0"/>
      <c r="B675" s="12"/>
      <c r="C675" s="12"/>
      <c r="D675" s="23"/>
      <c r="E675" s="12"/>
      <c r="F675" s="12"/>
      <c r="G675" s="12"/>
      <c r="H675" s="12"/>
      <c r="I675" s="23"/>
      <c r="J675" s="12"/>
      <c r="K675" s="35"/>
      <c r="L675" s="24"/>
      <c r="M675" s="94"/>
      <c r="N675" s="26" t="str">
        <f t="shared" si="2"/>
        <v>
</v>
      </c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0"/>
      <c r="B676" s="12"/>
      <c r="C676" s="12"/>
      <c r="D676" s="35"/>
      <c r="E676" s="22"/>
      <c r="F676" s="12"/>
      <c r="G676" s="12"/>
      <c r="H676" s="12"/>
      <c r="I676" s="23"/>
      <c r="J676" s="12"/>
      <c r="K676" s="35"/>
      <c r="L676" s="24"/>
      <c r="M676" s="94"/>
      <c r="N676" s="26" t="str">
        <f t="shared" si="2"/>
        <v>
</v>
      </c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0"/>
      <c r="B677" s="12"/>
      <c r="C677" s="12"/>
      <c r="D677" s="35"/>
      <c r="E677" s="22"/>
      <c r="F677" s="12"/>
      <c r="G677" s="22"/>
      <c r="H677" s="12"/>
      <c r="I677" s="35"/>
      <c r="J677" s="22"/>
      <c r="K677" s="35"/>
      <c r="L677" s="24"/>
      <c r="M677" s="94"/>
      <c r="N677" s="26" t="str">
        <f t="shared" si="2"/>
        <v>
</v>
      </c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0"/>
      <c r="B678" s="12"/>
      <c r="C678" s="12"/>
      <c r="D678" s="47"/>
      <c r="E678" s="12"/>
      <c r="F678" s="12"/>
      <c r="G678" s="12"/>
      <c r="H678" s="12"/>
      <c r="I678" s="23"/>
      <c r="J678" s="12"/>
      <c r="K678" s="23"/>
      <c r="L678" s="24"/>
      <c r="M678" s="94"/>
      <c r="N678" s="26" t="str">
        <f t="shared" si="2"/>
        <v>
</v>
      </c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0"/>
      <c r="B679" s="12"/>
      <c r="C679" s="12"/>
      <c r="D679" s="23"/>
      <c r="E679" s="12"/>
      <c r="F679" s="12"/>
      <c r="G679" s="22"/>
      <c r="H679" s="12"/>
      <c r="I679" s="23"/>
      <c r="J679" s="12"/>
      <c r="K679" s="23"/>
      <c r="L679" s="24"/>
      <c r="M679" s="12"/>
      <c r="N679" s="26" t="str">
        <f t="shared" si="2"/>
        <v>
</v>
      </c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0"/>
      <c r="B680" s="12"/>
      <c r="C680" s="12"/>
      <c r="D680" s="23"/>
      <c r="E680" s="12"/>
      <c r="F680" s="12"/>
      <c r="G680" s="12"/>
      <c r="H680" s="12"/>
      <c r="I680" s="23"/>
      <c r="J680" s="12"/>
      <c r="K680" s="23"/>
      <c r="L680" s="24"/>
      <c r="M680" s="12"/>
      <c r="N680" s="26" t="str">
        <f t="shared" si="2"/>
        <v>
</v>
      </c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0"/>
      <c r="B681" s="12"/>
      <c r="C681" s="12"/>
      <c r="D681" s="12"/>
      <c r="E681" s="12"/>
      <c r="F681" s="12"/>
      <c r="G681" s="12"/>
      <c r="H681" s="12"/>
      <c r="I681" s="23"/>
      <c r="J681" s="12"/>
      <c r="K681" s="23"/>
      <c r="L681" s="24"/>
      <c r="M681" s="12"/>
      <c r="N681" s="26" t="str">
        <f t="shared" si="2"/>
        <v>
</v>
      </c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0"/>
      <c r="B682" s="12"/>
      <c r="C682" s="12"/>
      <c r="D682" s="35"/>
      <c r="E682" s="22"/>
      <c r="F682" s="12"/>
      <c r="G682" s="12"/>
      <c r="H682" s="12"/>
      <c r="I682" s="23"/>
      <c r="J682" s="12"/>
      <c r="K682" s="23"/>
      <c r="L682" s="24"/>
      <c r="M682" s="12"/>
      <c r="N682" s="26" t="str">
        <f t="shared" si="2"/>
        <v>
</v>
      </c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0"/>
      <c r="B683" s="12"/>
      <c r="C683" s="12"/>
      <c r="D683" s="35"/>
      <c r="E683" s="22"/>
      <c r="F683" s="12"/>
      <c r="G683" s="22"/>
      <c r="H683" s="12"/>
      <c r="I683" s="23"/>
      <c r="J683" s="12"/>
      <c r="K683" s="23"/>
      <c r="L683" s="24"/>
      <c r="M683" s="12"/>
      <c r="N683" s="26" t="str">
        <f t="shared" si="2"/>
        <v>
</v>
      </c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0"/>
      <c r="B684" s="12"/>
      <c r="C684" s="12"/>
      <c r="D684" s="35"/>
      <c r="E684" s="22"/>
      <c r="F684" s="12"/>
      <c r="G684" s="22"/>
      <c r="H684" s="12"/>
      <c r="I684" s="23"/>
      <c r="J684" s="12"/>
      <c r="K684" s="23"/>
      <c r="L684" s="24"/>
      <c r="M684" s="12"/>
      <c r="N684" s="26" t="str">
        <f t="shared" si="2"/>
        <v>
</v>
      </c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0"/>
      <c r="B685" s="12"/>
      <c r="C685" s="12"/>
      <c r="D685" s="35"/>
      <c r="E685" s="22"/>
      <c r="F685" s="12"/>
      <c r="G685" s="22"/>
      <c r="H685" s="12"/>
      <c r="I685" s="23"/>
      <c r="J685" s="12"/>
      <c r="K685" s="23"/>
      <c r="L685" s="24"/>
      <c r="M685" s="12"/>
      <c r="N685" s="26" t="str">
        <f t="shared" si="2"/>
        <v>
</v>
      </c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0"/>
      <c r="B686" s="12"/>
      <c r="C686" s="12"/>
      <c r="D686" s="35"/>
      <c r="E686" s="22"/>
      <c r="F686" s="12"/>
      <c r="G686" s="12"/>
      <c r="H686" s="12"/>
      <c r="I686" s="23"/>
      <c r="J686" s="12"/>
      <c r="K686" s="23"/>
      <c r="L686" s="24"/>
      <c r="M686" s="12"/>
      <c r="N686" s="26" t="str">
        <f t="shared" si="2"/>
        <v>
</v>
      </c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0"/>
      <c r="B687" s="12"/>
      <c r="C687" s="12"/>
      <c r="D687" s="35"/>
      <c r="E687" s="22"/>
      <c r="F687" s="12"/>
      <c r="G687" s="12"/>
      <c r="H687" s="12"/>
      <c r="I687" s="23"/>
      <c r="J687" s="12"/>
      <c r="K687" s="23"/>
      <c r="L687" s="24"/>
      <c r="M687" s="12"/>
      <c r="N687" s="26" t="str">
        <f t="shared" si="2"/>
        <v>
</v>
      </c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0"/>
      <c r="B688" s="12"/>
      <c r="C688" s="12"/>
      <c r="D688" s="23"/>
      <c r="E688" s="22"/>
      <c r="F688" s="12"/>
      <c r="G688" s="12"/>
      <c r="H688" s="12"/>
      <c r="I688" s="23"/>
      <c r="J688" s="12"/>
      <c r="K688" s="23"/>
      <c r="L688" s="24"/>
      <c r="M688" s="12"/>
      <c r="N688" s="26" t="str">
        <f t="shared" si="2"/>
        <v>
</v>
      </c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0"/>
      <c r="B689" s="12"/>
      <c r="C689" s="12"/>
      <c r="D689" s="23"/>
      <c r="E689" s="22"/>
      <c r="F689" s="12"/>
      <c r="G689" s="12"/>
      <c r="H689" s="12"/>
      <c r="I689" s="23"/>
      <c r="J689" s="12"/>
      <c r="K689" s="23"/>
      <c r="L689" s="24"/>
      <c r="M689" s="12"/>
      <c r="N689" s="26" t="str">
        <f t="shared" si="2"/>
        <v>
</v>
      </c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0"/>
      <c r="B690" s="12"/>
      <c r="C690" s="12"/>
      <c r="D690" s="23"/>
      <c r="E690" s="22"/>
      <c r="F690" s="12"/>
      <c r="G690" s="12"/>
      <c r="H690" s="12"/>
      <c r="I690" s="23"/>
      <c r="J690" s="12"/>
      <c r="K690" s="23"/>
      <c r="L690" s="24"/>
      <c r="M690" s="12"/>
      <c r="N690" s="26" t="str">
        <f t="shared" si="2"/>
        <v>
</v>
      </c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0"/>
      <c r="B691" s="12"/>
      <c r="C691" s="12"/>
      <c r="D691" s="23"/>
      <c r="E691" s="12"/>
      <c r="F691" s="12"/>
      <c r="G691" s="12"/>
      <c r="H691" s="12"/>
      <c r="I691" s="23"/>
      <c r="J691" s="12"/>
      <c r="K691" s="23"/>
      <c r="L691" s="24"/>
      <c r="M691" s="12"/>
      <c r="N691" s="26" t="str">
        <f t="shared" si="2"/>
        <v>
</v>
      </c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0"/>
      <c r="B692" s="12"/>
      <c r="C692" s="12"/>
      <c r="D692" s="23"/>
      <c r="E692" s="22"/>
      <c r="F692" s="12"/>
      <c r="G692" s="12"/>
      <c r="H692" s="12"/>
      <c r="I692" s="23"/>
      <c r="J692" s="12"/>
      <c r="K692" s="23"/>
      <c r="L692" s="24"/>
      <c r="M692" s="12"/>
      <c r="N692" s="26" t="str">
        <f t="shared" si="2"/>
        <v>
</v>
      </c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0"/>
      <c r="B693" s="12"/>
      <c r="C693" s="12"/>
      <c r="D693" s="23"/>
      <c r="E693" s="12"/>
      <c r="F693" s="12"/>
      <c r="G693" s="22"/>
      <c r="H693" s="12"/>
      <c r="I693" s="23"/>
      <c r="J693" s="12"/>
      <c r="K693" s="23"/>
      <c r="L693" s="24"/>
      <c r="M693" s="12"/>
      <c r="N693" s="26" t="str">
        <f t="shared" si="2"/>
        <v>
</v>
      </c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0"/>
      <c r="B694" s="12"/>
      <c r="C694" s="12"/>
      <c r="D694" s="23"/>
      <c r="E694" s="12"/>
      <c r="F694" s="12"/>
      <c r="G694" s="12"/>
      <c r="H694" s="12"/>
      <c r="I694" s="23"/>
      <c r="J694" s="12"/>
      <c r="K694" s="23"/>
      <c r="L694" s="24"/>
      <c r="M694" s="12"/>
      <c r="N694" s="26" t="str">
        <f t="shared" si="2"/>
        <v>
</v>
      </c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0"/>
      <c r="B695" s="12"/>
      <c r="C695" s="12"/>
      <c r="D695" s="23"/>
      <c r="E695" s="12"/>
      <c r="F695" s="12"/>
      <c r="G695" s="12"/>
      <c r="H695" s="12"/>
      <c r="I695" s="23"/>
      <c r="J695" s="12"/>
      <c r="K695" s="23"/>
      <c r="L695" s="24"/>
      <c r="M695" s="12"/>
      <c r="N695" s="26" t="str">
        <f t="shared" si="2"/>
        <v>
</v>
      </c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0"/>
      <c r="B696" s="12"/>
      <c r="C696" s="12"/>
      <c r="D696" s="23"/>
      <c r="E696" s="12"/>
      <c r="F696" s="12"/>
      <c r="G696" s="12"/>
      <c r="H696" s="12"/>
      <c r="I696" s="23"/>
      <c r="J696" s="12"/>
      <c r="K696" s="23"/>
      <c r="L696" s="24"/>
      <c r="M696" s="12"/>
      <c r="N696" s="26" t="str">
        <f t="shared" si="2"/>
        <v>
</v>
      </c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0"/>
      <c r="B697" s="12"/>
      <c r="C697" s="12"/>
      <c r="D697" s="23"/>
      <c r="E697" s="12"/>
      <c r="F697" s="12"/>
      <c r="G697" s="12"/>
      <c r="H697" s="12"/>
      <c r="I697" s="23"/>
      <c r="J697" s="12"/>
      <c r="K697" s="23"/>
      <c r="L697" s="24"/>
      <c r="M697" s="12"/>
      <c r="N697" s="26" t="str">
        <f t="shared" si="2"/>
        <v>
</v>
      </c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0"/>
      <c r="B698" s="12"/>
      <c r="C698" s="12"/>
      <c r="D698" s="35"/>
      <c r="E698" s="22"/>
      <c r="F698" s="12"/>
      <c r="G698" s="12"/>
      <c r="H698" s="12"/>
      <c r="I698" s="23"/>
      <c r="J698" s="12"/>
      <c r="K698" s="23"/>
      <c r="L698" s="24"/>
      <c r="M698" s="12"/>
      <c r="N698" s="26" t="str">
        <f t="shared" si="2"/>
        <v>
</v>
      </c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0"/>
      <c r="B699" s="12"/>
      <c r="C699" s="12"/>
      <c r="D699" s="35"/>
      <c r="E699" s="22"/>
      <c r="F699" s="12"/>
      <c r="G699" s="12"/>
      <c r="H699" s="12"/>
      <c r="I699" s="23"/>
      <c r="J699" s="12"/>
      <c r="K699" s="23"/>
      <c r="L699" s="24"/>
      <c r="M699" s="12"/>
      <c r="N699" s="26" t="str">
        <f t="shared" si="2"/>
        <v>
</v>
      </c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0"/>
      <c r="B700" s="12"/>
      <c r="C700" s="12"/>
      <c r="D700" s="35"/>
      <c r="E700" s="22"/>
      <c r="F700" s="12"/>
      <c r="G700" s="12"/>
      <c r="H700" s="12"/>
      <c r="I700" s="23"/>
      <c r="J700" s="12"/>
      <c r="K700" s="23"/>
      <c r="L700" s="24"/>
      <c r="M700" s="12"/>
      <c r="N700" s="26" t="str">
        <f t="shared" si="2"/>
        <v>
</v>
      </c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0"/>
      <c r="B701" s="12"/>
      <c r="C701" s="12"/>
      <c r="D701" s="35"/>
      <c r="E701" s="22"/>
      <c r="F701" s="12"/>
      <c r="G701" s="12"/>
      <c r="H701" s="12"/>
      <c r="I701" s="23"/>
      <c r="J701" s="12"/>
      <c r="K701" s="23"/>
      <c r="L701" s="24"/>
      <c r="M701" s="12"/>
      <c r="N701" s="26" t="str">
        <f t="shared" si="2"/>
        <v>
</v>
      </c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0"/>
      <c r="B702" s="12"/>
      <c r="C702" s="12"/>
      <c r="D702" s="35"/>
      <c r="E702" s="22"/>
      <c r="F702" s="12"/>
      <c r="G702" s="12"/>
      <c r="H702" s="12"/>
      <c r="I702" s="23"/>
      <c r="J702" s="12"/>
      <c r="K702" s="23"/>
      <c r="L702" s="24"/>
      <c r="M702" s="12"/>
      <c r="N702" s="26" t="str">
        <f t="shared" si="2"/>
        <v>
</v>
      </c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0"/>
      <c r="B703" s="12"/>
      <c r="C703" s="12"/>
      <c r="D703" s="35"/>
      <c r="E703" s="22"/>
      <c r="F703" s="12"/>
      <c r="G703" s="12"/>
      <c r="H703" s="12"/>
      <c r="I703" s="23"/>
      <c r="J703" s="12"/>
      <c r="K703" s="23"/>
      <c r="L703" s="24"/>
      <c r="M703" s="12"/>
      <c r="N703" s="26" t="str">
        <f t="shared" si="2"/>
        <v>
</v>
      </c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0"/>
      <c r="B704" s="12"/>
      <c r="C704" s="12"/>
      <c r="D704" s="35"/>
      <c r="E704" s="22"/>
      <c r="F704" s="12"/>
      <c r="G704" s="12"/>
      <c r="H704" s="12"/>
      <c r="I704" s="23"/>
      <c r="J704" s="12"/>
      <c r="K704" s="23"/>
      <c r="L704" s="24"/>
      <c r="M704" s="12"/>
      <c r="N704" s="26" t="str">
        <f t="shared" si="2"/>
        <v>
</v>
      </c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0"/>
      <c r="B705" s="12"/>
      <c r="C705" s="12"/>
      <c r="D705" s="35"/>
      <c r="E705" s="22"/>
      <c r="F705" s="12"/>
      <c r="G705" s="12"/>
      <c r="H705" s="12"/>
      <c r="I705" s="23"/>
      <c r="J705" s="12"/>
      <c r="K705" s="23"/>
      <c r="L705" s="24"/>
      <c r="M705" s="12"/>
      <c r="N705" s="26" t="str">
        <f t="shared" si="2"/>
        <v>
</v>
      </c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0"/>
      <c r="B706" s="12"/>
      <c r="C706" s="12"/>
      <c r="D706" s="35"/>
      <c r="E706" s="22"/>
      <c r="F706" s="12"/>
      <c r="G706" s="12"/>
      <c r="H706" s="12"/>
      <c r="I706" s="23"/>
      <c r="J706" s="12"/>
      <c r="K706" s="23"/>
      <c r="L706" s="24"/>
      <c r="M706" s="12"/>
      <c r="N706" s="26" t="str">
        <f t="shared" si="2"/>
        <v>
</v>
      </c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0"/>
      <c r="B707" s="12"/>
      <c r="C707" s="12"/>
      <c r="D707" s="35"/>
      <c r="E707" s="22"/>
      <c r="F707" s="12"/>
      <c r="G707" s="12"/>
      <c r="H707" s="12"/>
      <c r="I707" s="23"/>
      <c r="J707" s="12"/>
      <c r="K707" s="23"/>
      <c r="L707" s="24"/>
      <c r="M707" s="12"/>
      <c r="N707" s="26" t="str">
        <f t="shared" si="2"/>
        <v>
</v>
      </c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0"/>
      <c r="B708" s="12"/>
      <c r="C708" s="12"/>
      <c r="D708" s="35"/>
      <c r="E708" s="22"/>
      <c r="F708" s="12"/>
      <c r="G708" s="12"/>
      <c r="H708" s="12"/>
      <c r="I708" s="23"/>
      <c r="J708" s="12"/>
      <c r="K708" s="23"/>
      <c r="L708" s="24"/>
      <c r="M708" s="12"/>
      <c r="N708" s="26" t="str">
        <f t="shared" si="2"/>
        <v>
</v>
      </c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0"/>
      <c r="B709" s="12"/>
      <c r="C709" s="12"/>
      <c r="D709" s="35"/>
      <c r="E709" s="22"/>
      <c r="F709" s="12"/>
      <c r="G709" s="22"/>
      <c r="H709" s="12"/>
      <c r="I709" s="23"/>
      <c r="J709" s="12"/>
      <c r="K709" s="23"/>
      <c r="L709" s="24"/>
      <c r="M709" s="12"/>
      <c r="N709" s="26" t="str">
        <f t="shared" si="2"/>
        <v>
</v>
      </c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0"/>
      <c r="B710" s="12"/>
      <c r="C710" s="12"/>
      <c r="D710" s="23"/>
      <c r="E710" s="12"/>
      <c r="F710" s="12"/>
      <c r="G710" s="22"/>
      <c r="H710" s="12"/>
      <c r="I710" s="23"/>
      <c r="J710" s="12"/>
      <c r="K710" s="23"/>
      <c r="L710" s="24"/>
      <c r="M710" s="12"/>
      <c r="N710" s="26" t="str">
        <f t="shared" si="2"/>
        <v>
</v>
      </c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0"/>
      <c r="B711" s="12"/>
      <c r="C711" s="12"/>
      <c r="D711" s="36"/>
      <c r="E711" s="12"/>
      <c r="F711" s="12"/>
      <c r="G711" s="12"/>
      <c r="H711" s="12"/>
      <c r="I711" s="23"/>
      <c r="J711" s="12"/>
      <c r="K711" s="23"/>
      <c r="L711" s="24"/>
      <c r="M711" s="12"/>
      <c r="N711" s="26" t="str">
        <f t="shared" si="2"/>
        <v>
</v>
      </c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0"/>
      <c r="B712" s="12"/>
      <c r="C712" s="12"/>
      <c r="D712" s="35"/>
      <c r="E712" s="22"/>
      <c r="F712" s="12"/>
      <c r="G712" s="12"/>
      <c r="H712" s="12"/>
      <c r="I712" s="23"/>
      <c r="J712" s="12"/>
      <c r="K712" s="23"/>
      <c r="L712" s="24"/>
      <c r="M712" s="12"/>
      <c r="N712" s="26" t="str">
        <f t="shared" si="2"/>
        <v>
</v>
      </c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0"/>
      <c r="B713" s="12"/>
      <c r="C713" s="12"/>
      <c r="D713" s="35"/>
      <c r="E713" s="22"/>
      <c r="F713" s="12"/>
      <c r="G713" s="12"/>
      <c r="H713" s="12"/>
      <c r="I713" s="23"/>
      <c r="J713" s="12"/>
      <c r="K713" s="23"/>
      <c r="L713" s="24"/>
      <c r="M713" s="12"/>
      <c r="N713" s="26" t="str">
        <f t="shared" si="2"/>
        <v>
</v>
      </c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0"/>
      <c r="B714" s="12"/>
      <c r="C714" s="12"/>
      <c r="D714" s="35"/>
      <c r="E714" s="22"/>
      <c r="F714" s="12"/>
      <c r="G714" s="12"/>
      <c r="H714" s="12"/>
      <c r="I714" s="23"/>
      <c r="J714" s="12"/>
      <c r="K714" s="23"/>
      <c r="L714" s="24"/>
      <c r="M714" s="12"/>
      <c r="N714" s="26" t="str">
        <f t="shared" si="2"/>
        <v>
</v>
      </c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0"/>
      <c r="B715" s="12"/>
      <c r="C715" s="12"/>
      <c r="D715" s="35"/>
      <c r="E715" s="22"/>
      <c r="F715" s="12"/>
      <c r="G715" s="12"/>
      <c r="H715" s="12"/>
      <c r="I715" s="23"/>
      <c r="J715" s="12"/>
      <c r="K715" s="23"/>
      <c r="L715" s="24"/>
      <c r="M715" s="12"/>
      <c r="N715" s="26" t="str">
        <f t="shared" si="2"/>
        <v>
</v>
      </c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0"/>
      <c r="B716" s="12"/>
      <c r="C716" s="12"/>
      <c r="D716" s="35"/>
      <c r="E716" s="22"/>
      <c r="F716" s="12"/>
      <c r="G716" s="22"/>
      <c r="H716" s="12"/>
      <c r="I716" s="23"/>
      <c r="J716" s="12"/>
      <c r="K716" s="23"/>
      <c r="L716" s="24"/>
      <c r="M716" s="12"/>
      <c r="N716" s="26" t="str">
        <f t="shared" si="2"/>
        <v>
</v>
      </c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0"/>
      <c r="B717" s="12"/>
      <c r="C717" s="12"/>
      <c r="D717" s="35"/>
      <c r="E717" s="22"/>
      <c r="F717" s="12"/>
      <c r="G717" s="12"/>
      <c r="H717" s="12"/>
      <c r="I717" s="35"/>
      <c r="J717" s="12"/>
      <c r="K717" s="23"/>
      <c r="L717" s="24"/>
      <c r="M717" s="12"/>
      <c r="N717" s="26" t="str">
        <f t="shared" si="2"/>
        <v>
</v>
      </c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0"/>
      <c r="B718" s="12"/>
      <c r="C718" s="12"/>
      <c r="D718" s="23"/>
      <c r="E718" s="12"/>
      <c r="F718" s="12"/>
      <c r="G718" s="12"/>
      <c r="H718" s="12"/>
      <c r="I718" s="23"/>
      <c r="J718" s="12"/>
      <c r="K718" s="23"/>
      <c r="L718" s="24"/>
      <c r="M718" s="12"/>
      <c r="N718" s="26" t="str">
        <f t="shared" si="2"/>
        <v>
</v>
      </c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0"/>
      <c r="B719" s="12"/>
      <c r="C719" s="12"/>
      <c r="D719" s="35"/>
      <c r="E719" s="22"/>
      <c r="F719" s="12"/>
      <c r="G719" s="12"/>
      <c r="H719" s="12"/>
      <c r="I719" s="35"/>
      <c r="J719" s="22"/>
      <c r="K719" s="23"/>
      <c r="L719" s="24"/>
      <c r="M719" s="12"/>
      <c r="N719" s="26" t="str">
        <f t="shared" si="2"/>
        <v>
</v>
      </c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0"/>
      <c r="B720" s="12"/>
      <c r="C720" s="12"/>
      <c r="D720" s="35"/>
      <c r="E720" s="22"/>
      <c r="F720" s="12"/>
      <c r="G720" s="22"/>
      <c r="H720" s="12"/>
      <c r="I720" s="23"/>
      <c r="J720" s="12"/>
      <c r="K720" s="23"/>
      <c r="L720" s="24"/>
      <c r="M720" s="12"/>
      <c r="N720" s="26" t="str">
        <f t="shared" si="2"/>
        <v>
</v>
      </c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0"/>
      <c r="B721" s="12"/>
      <c r="C721" s="12"/>
      <c r="D721" s="35"/>
      <c r="E721" s="22"/>
      <c r="F721" s="12"/>
      <c r="G721" s="12"/>
      <c r="H721" s="12"/>
      <c r="I721" s="23"/>
      <c r="J721" s="12"/>
      <c r="K721" s="23"/>
      <c r="L721" s="24"/>
      <c r="M721" s="12"/>
      <c r="N721" s="26" t="str">
        <f t="shared" si="2"/>
        <v>
</v>
      </c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0"/>
      <c r="B722" s="12"/>
      <c r="C722" s="12"/>
      <c r="D722" s="35"/>
      <c r="E722" s="22"/>
      <c r="F722" s="12"/>
      <c r="G722" s="12"/>
      <c r="H722" s="12"/>
      <c r="I722" s="23"/>
      <c r="J722" s="12"/>
      <c r="K722" s="23"/>
      <c r="L722" s="24"/>
      <c r="M722" s="12"/>
      <c r="N722" s="26" t="str">
        <f t="shared" si="2"/>
        <v>
</v>
      </c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0"/>
      <c r="B723" s="12"/>
      <c r="C723" s="12"/>
      <c r="D723" s="36"/>
      <c r="E723" s="12"/>
      <c r="F723" s="12"/>
      <c r="G723" s="12"/>
      <c r="H723" s="12"/>
      <c r="I723" s="23"/>
      <c r="J723" s="12"/>
      <c r="K723" s="23"/>
      <c r="L723" s="24"/>
      <c r="M723" s="12"/>
      <c r="N723" s="26" t="str">
        <f t="shared" si="2"/>
        <v>
</v>
      </c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0"/>
      <c r="B724" s="12"/>
      <c r="C724" s="12"/>
      <c r="D724" s="35"/>
      <c r="E724" s="22"/>
      <c r="F724" s="12"/>
      <c r="G724" s="12"/>
      <c r="H724" s="12"/>
      <c r="I724" s="23"/>
      <c r="J724" s="12"/>
      <c r="K724" s="23"/>
      <c r="L724" s="24"/>
      <c r="M724" s="12"/>
      <c r="N724" s="26" t="str">
        <f t="shared" si="2"/>
        <v>
</v>
      </c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0"/>
      <c r="B725" s="12"/>
      <c r="C725" s="12"/>
      <c r="D725" s="23"/>
      <c r="E725" s="12"/>
      <c r="F725" s="12"/>
      <c r="G725" s="12"/>
      <c r="H725" s="12"/>
      <c r="I725" s="35"/>
      <c r="J725" s="12"/>
      <c r="K725" s="23"/>
      <c r="L725" s="24"/>
      <c r="M725" s="12"/>
      <c r="N725" s="26" t="str">
        <f t="shared" si="2"/>
        <v>
</v>
      </c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0"/>
      <c r="B726" s="12"/>
      <c r="C726" s="12"/>
      <c r="D726" s="23"/>
      <c r="E726" s="12"/>
      <c r="F726" s="12"/>
      <c r="G726" s="12"/>
      <c r="H726" s="12"/>
      <c r="I726" s="23"/>
      <c r="J726" s="12"/>
      <c r="K726" s="23"/>
      <c r="L726" s="24"/>
      <c r="M726" s="12"/>
      <c r="N726" s="26" t="str">
        <f t="shared" si="2"/>
        <v>
</v>
      </c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0"/>
      <c r="B727" s="12"/>
      <c r="C727" s="12"/>
      <c r="D727" s="23"/>
      <c r="E727" s="12"/>
      <c r="F727" s="12"/>
      <c r="G727" s="12"/>
      <c r="H727" s="12"/>
      <c r="I727" s="35"/>
      <c r="J727" s="12"/>
      <c r="K727" s="23"/>
      <c r="L727" s="24"/>
      <c r="M727" s="12"/>
      <c r="N727" s="26" t="str">
        <f t="shared" si="2"/>
        <v>
</v>
      </c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0"/>
      <c r="B728" s="12"/>
      <c r="C728" s="12"/>
      <c r="D728" s="35"/>
      <c r="E728" s="22"/>
      <c r="F728" s="12"/>
      <c r="G728" s="12"/>
      <c r="H728" s="12"/>
      <c r="I728" s="35"/>
      <c r="J728" s="12"/>
      <c r="K728" s="23"/>
      <c r="L728" s="24"/>
      <c r="M728" s="12"/>
      <c r="N728" s="26" t="str">
        <f t="shared" si="2"/>
        <v>
</v>
      </c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0"/>
      <c r="B729" s="12"/>
      <c r="C729" s="12"/>
      <c r="D729" s="23"/>
      <c r="E729" s="12"/>
      <c r="F729" s="12"/>
      <c r="G729" s="12"/>
      <c r="H729" s="12"/>
      <c r="I729" s="23"/>
      <c r="J729" s="12"/>
      <c r="K729" s="23"/>
      <c r="L729" s="24"/>
      <c r="M729" s="12"/>
      <c r="N729" s="26" t="str">
        <f t="shared" si="2"/>
        <v>
</v>
      </c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0"/>
      <c r="B730" s="12"/>
      <c r="C730" s="12"/>
      <c r="D730" s="23"/>
      <c r="E730" s="12"/>
      <c r="F730" s="12"/>
      <c r="G730" s="12"/>
      <c r="H730" s="12"/>
      <c r="I730" s="23"/>
      <c r="J730" s="12"/>
      <c r="K730" s="23"/>
      <c r="L730" s="24"/>
      <c r="M730" s="12"/>
      <c r="N730" s="26" t="str">
        <f t="shared" si="2"/>
        <v>
</v>
      </c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0"/>
      <c r="B731" s="12"/>
      <c r="C731" s="12"/>
      <c r="D731" s="23"/>
      <c r="E731" s="12"/>
      <c r="F731" s="12"/>
      <c r="G731" s="12"/>
      <c r="H731" s="12"/>
      <c r="I731" s="23"/>
      <c r="J731" s="12"/>
      <c r="K731" s="23"/>
      <c r="L731" s="24"/>
      <c r="M731" s="12"/>
      <c r="N731" s="26" t="str">
        <f t="shared" si="2"/>
        <v>
</v>
      </c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0"/>
      <c r="B732" s="12"/>
      <c r="C732" s="12"/>
      <c r="D732" s="23"/>
      <c r="E732" s="12"/>
      <c r="F732" s="12"/>
      <c r="G732" s="12"/>
      <c r="H732" s="12"/>
      <c r="I732" s="23"/>
      <c r="J732" s="12"/>
      <c r="K732" s="23"/>
      <c r="L732" s="24"/>
      <c r="M732" s="12"/>
      <c r="N732" s="26" t="str">
        <f t="shared" si="2"/>
        <v>
</v>
      </c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0"/>
      <c r="B733" s="12"/>
      <c r="C733" s="12"/>
      <c r="D733" s="23"/>
      <c r="E733" s="12"/>
      <c r="F733" s="12"/>
      <c r="G733" s="12"/>
      <c r="H733" s="12"/>
      <c r="I733" s="23"/>
      <c r="J733" s="12"/>
      <c r="K733" s="23"/>
      <c r="L733" s="24"/>
      <c r="M733" s="12"/>
      <c r="N733" s="26" t="str">
        <f t="shared" si="2"/>
        <v>
</v>
      </c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0"/>
      <c r="B734" s="12"/>
      <c r="C734" s="12"/>
      <c r="D734" s="35"/>
      <c r="E734" s="22"/>
      <c r="F734" s="12"/>
      <c r="G734" s="12"/>
      <c r="H734" s="12"/>
      <c r="I734" s="23"/>
      <c r="J734" s="12"/>
      <c r="K734" s="23"/>
      <c r="L734" s="24"/>
      <c r="M734" s="12"/>
      <c r="N734" s="26" t="str">
        <f t="shared" si="2"/>
        <v>
</v>
      </c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0"/>
      <c r="B735" s="12"/>
      <c r="C735" s="12"/>
      <c r="D735" s="23"/>
      <c r="E735" s="12"/>
      <c r="F735" s="12"/>
      <c r="G735" s="12"/>
      <c r="H735" s="12"/>
      <c r="I735" s="23"/>
      <c r="J735" s="12"/>
      <c r="K735" s="23"/>
      <c r="L735" s="24"/>
      <c r="M735" s="12"/>
      <c r="N735" s="26" t="str">
        <f t="shared" si="2"/>
        <v>
</v>
      </c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0"/>
      <c r="B736" s="12"/>
      <c r="C736" s="12"/>
      <c r="D736" s="35"/>
      <c r="E736" s="22"/>
      <c r="F736" s="12"/>
      <c r="G736" s="12"/>
      <c r="H736" s="12"/>
      <c r="I736" s="23"/>
      <c r="J736" s="22"/>
      <c r="K736" s="23"/>
      <c r="L736" s="24"/>
      <c r="M736" s="12"/>
      <c r="N736" s="26" t="str">
        <f t="shared" si="2"/>
        <v>
</v>
      </c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0"/>
      <c r="B737" s="12"/>
      <c r="C737" s="12"/>
      <c r="D737" s="35"/>
      <c r="E737" s="22"/>
      <c r="F737" s="12"/>
      <c r="G737" s="12"/>
      <c r="H737" s="12"/>
      <c r="I737" s="23"/>
      <c r="J737" s="12"/>
      <c r="K737" s="23"/>
      <c r="L737" s="24"/>
      <c r="M737" s="12"/>
      <c r="N737" s="26" t="str">
        <f t="shared" si="2"/>
        <v>
</v>
      </c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0"/>
      <c r="B738" s="12"/>
      <c r="C738" s="12"/>
      <c r="D738" s="23"/>
      <c r="E738" s="12"/>
      <c r="F738" s="12"/>
      <c r="G738" s="12"/>
      <c r="H738" s="12"/>
      <c r="I738" s="23"/>
      <c r="J738" s="12"/>
      <c r="K738" s="23"/>
      <c r="L738" s="24"/>
      <c r="M738" s="12"/>
      <c r="N738" s="26" t="str">
        <f t="shared" si="2"/>
        <v>
</v>
      </c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0"/>
      <c r="B739" s="12"/>
      <c r="C739" s="12"/>
      <c r="D739" s="23"/>
      <c r="E739" s="12"/>
      <c r="F739" s="12"/>
      <c r="G739" s="12"/>
      <c r="H739" s="12"/>
      <c r="I739" s="23"/>
      <c r="J739" s="12"/>
      <c r="K739" s="35"/>
      <c r="L739" s="24"/>
      <c r="M739" s="12"/>
      <c r="N739" s="26" t="str">
        <f t="shared" si="2"/>
        <v>
</v>
      </c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0"/>
      <c r="B740" s="12"/>
      <c r="C740" s="12"/>
      <c r="D740" s="35"/>
      <c r="E740" s="22"/>
      <c r="F740" s="12"/>
      <c r="G740" s="22"/>
      <c r="H740" s="12"/>
      <c r="I740" s="35"/>
      <c r="J740" s="22"/>
      <c r="K740" s="35"/>
      <c r="L740" s="24"/>
      <c r="M740" s="12"/>
      <c r="N740" s="26" t="str">
        <f t="shared" si="2"/>
        <v>
</v>
      </c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0"/>
      <c r="B741" s="12"/>
      <c r="C741" s="12"/>
      <c r="D741" s="23"/>
      <c r="E741" s="12"/>
      <c r="F741" s="12"/>
      <c r="G741" s="12"/>
      <c r="H741" s="12"/>
      <c r="I741" s="23"/>
      <c r="J741" s="12"/>
      <c r="K741" s="23"/>
      <c r="L741" s="24"/>
      <c r="M741" s="12"/>
      <c r="N741" s="26" t="str">
        <f t="shared" si="2"/>
        <v>
</v>
      </c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0"/>
      <c r="B742" s="12"/>
      <c r="C742" s="12"/>
      <c r="D742" s="23"/>
      <c r="E742" s="12"/>
      <c r="F742" s="12"/>
      <c r="G742" s="12"/>
      <c r="H742" s="12"/>
      <c r="I742" s="23"/>
      <c r="J742" s="12"/>
      <c r="K742" s="23"/>
      <c r="L742" s="24"/>
      <c r="M742" s="12"/>
      <c r="N742" s="26" t="str">
        <f t="shared" si="2"/>
        <v>
</v>
      </c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0"/>
      <c r="B743" s="12"/>
      <c r="C743" s="12"/>
      <c r="D743" s="23"/>
      <c r="E743" s="12"/>
      <c r="F743" s="12"/>
      <c r="G743" s="12"/>
      <c r="H743" s="12"/>
      <c r="I743" s="23"/>
      <c r="J743" s="12"/>
      <c r="K743" s="23"/>
      <c r="L743" s="24"/>
      <c r="M743" s="12"/>
      <c r="N743" s="26" t="str">
        <f t="shared" si="2"/>
        <v>
</v>
      </c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0"/>
      <c r="B744" s="12"/>
      <c r="C744" s="12"/>
      <c r="D744" s="35"/>
      <c r="E744" s="22"/>
      <c r="F744" s="12"/>
      <c r="G744" s="12"/>
      <c r="H744" s="12"/>
      <c r="I744" s="23"/>
      <c r="J744" s="12"/>
      <c r="K744" s="23"/>
      <c r="L744" s="24"/>
      <c r="M744" s="12"/>
      <c r="N744" s="26" t="str">
        <f t="shared" si="2"/>
        <v>
</v>
      </c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0"/>
      <c r="B745" s="12"/>
      <c r="C745" s="12"/>
      <c r="D745" s="35"/>
      <c r="E745" s="22"/>
      <c r="F745" s="12"/>
      <c r="G745" s="12"/>
      <c r="H745" s="12"/>
      <c r="I745" s="23"/>
      <c r="J745" s="12"/>
      <c r="K745" s="23"/>
      <c r="L745" s="24"/>
      <c r="M745" s="12"/>
      <c r="N745" s="26" t="str">
        <f t="shared" si="2"/>
        <v>
</v>
      </c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0"/>
      <c r="B746" s="12"/>
      <c r="C746" s="12"/>
      <c r="D746" s="35"/>
      <c r="E746" s="22"/>
      <c r="F746" s="12"/>
      <c r="G746" s="12"/>
      <c r="H746" s="12"/>
      <c r="I746" s="23"/>
      <c r="J746" s="12"/>
      <c r="K746" s="23"/>
      <c r="L746" s="24"/>
      <c r="M746" s="12"/>
      <c r="N746" s="26" t="str">
        <f t="shared" si="2"/>
        <v>
</v>
      </c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0"/>
      <c r="B747" s="12"/>
      <c r="C747" s="12"/>
      <c r="D747" s="35"/>
      <c r="E747" s="22"/>
      <c r="F747" s="12"/>
      <c r="G747" s="12"/>
      <c r="H747" s="12"/>
      <c r="I747" s="23"/>
      <c r="J747" s="12"/>
      <c r="K747" s="23"/>
      <c r="L747" s="24"/>
      <c r="M747" s="12"/>
      <c r="N747" s="26" t="str">
        <f t="shared" si="2"/>
        <v>
</v>
      </c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0"/>
      <c r="B748" s="12"/>
      <c r="C748" s="12"/>
      <c r="D748" s="35"/>
      <c r="E748" s="22"/>
      <c r="F748" s="12"/>
      <c r="G748" s="12"/>
      <c r="H748" s="12"/>
      <c r="I748" s="23"/>
      <c r="J748" s="12"/>
      <c r="K748" s="23"/>
      <c r="L748" s="24"/>
      <c r="M748" s="12"/>
      <c r="N748" s="26" t="str">
        <f t="shared" si="2"/>
        <v>
</v>
      </c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0"/>
      <c r="B749" s="12"/>
      <c r="C749" s="12"/>
      <c r="D749" s="35"/>
      <c r="E749" s="22"/>
      <c r="F749" s="12"/>
      <c r="G749" s="22"/>
      <c r="H749" s="12"/>
      <c r="I749" s="23"/>
      <c r="J749" s="12"/>
      <c r="K749" s="23"/>
      <c r="L749" s="24"/>
      <c r="M749" s="12"/>
      <c r="N749" s="26" t="str">
        <f t="shared" si="2"/>
        <v>
</v>
      </c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0"/>
      <c r="B750" s="12"/>
      <c r="C750" s="12"/>
      <c r="D750" s="23"/>
      <c r="E750" s="12"/>
      <c r="F750" s="12"/>
      <c r="G750" s="22"/>
      <c r="H750" s="12"/>
      <c r="I750" s="23"/>
      <c r="J750" s="12"/>
      <c r="K750" s="23"/>
      <c r="L750" s="24"/>
      <c r="M750" s="12"/>
      <c r="N750" s="26" t="str">
        <f t="shared" si="2"/>
        <v>
</v>
      </c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0"/>
      <c r="B751" s="12"/>
      <c r="C751" s="12"/>
      <c r="D751" s="35"/>
      <c r="E751" s="22"/>
      <c r="F751" s="12"/>
      <c r="G751" s="12"/>
      <c r="H751" s="12"/>
      <c r="I751" s="23"/>
      <c r="J751" s="12"/>
      <c r="K751" s="23"/>
      <c r="L751" s="24"/>
      <c r="M751" s="12"/>
      <c r="N751" s="26" t="str">
        <f t="shared" si="2"/>
        <v>
</v>
      </c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0"/>
      <c r="B752" s="12"/>
      <c r="C752" s="12"/>
      <c r="D752" s="35"/>
      <c r="E752" s="22"/>
      <c r="F752" s="12"/>
      <c r="G752" s="12"/>
      <c r="H752" s="12"/>
      <c r="I752" s="23"/>
      <c r="J752" s="12"/>
      <c r="K752" s="23"/>
      <c r="L752" s="24"/>
      <c r="M752" s="12"/>
      <c r="N752" s="26" t="str">
        <f t="shared" si="2"/>
        <v>
</v>
      </c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0"/>
      <c r="B753" s="12"/>
      <c r="C753" s="12"/>
      <c r="D753" s="35"/>
      <c r="E753" s="22"/>
      <c r="F753" s="12"/>
      <c r="G753" s="12"/>
      <c r="H753" s="12"/>
      <c r="I753" s="23"/>
      <c r="J753" s="12"/>
      <c r="K753" s="23"/>
      <c r="L753" s="24"/>
      <c r="M753" s="12"/>
      <c r="N753" s="26" t="str">
        <f t="shared" si="2"/>
        <v>
</v>
      </c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0"/>
      <c r="B754" s="12"/>
      <c r="C754" s="12"/>
      <c r="D754" s="23"/>
      <c r="E754" s="12"/>
      <c r="F754" s="12"/>
      <c r="G754" s="12"/>
      <c r="H754" s="12"/>
      <c r="I754" s="23"/>
      <c r="J754" s="12"/>
      <c r="K754" s="23"/>
      <c r="L754" s="24"/>
      <c r="M754" s="12"/>
      <c r="N754" s="26" t="str">
        <f t="shared" si="2"/>
        <v>
</v>
      </c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0"/>
      <c r="B755" s="12"/>
      <c r="C755" s="12"/>
      <c r="D755" s="23"/>
      <c r="E755" s="12"/>
      <c r="F755" s="12"/>
      <c r="G755" s="12"/>
      <c r="H755" s="12"/>
      <c r="I755" s="23"/>
      <c r="J755" s="12"/>
      <c r="K755" s="23"/>
      <c r="L755" s="24"/>
      <c r="M755" s="12"/>
      <c r="N755" s="26" t="str">
        <f t="shared" si="2"/>
        <v>
</v>
      </c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0"/>
      <c r="B756" s="12"/>
      <c r="C756" s="12"/>
      <c r="D756" s="35"/>
      <c r="E756" s="22"/>
      <c r="F756" s="12"/>
      <c r="G756" s="12"/>
      <c r="H756" s="12"/>
      <c r="I756" s="23"/>
      <c r="J756" s="12"/>
      <c r="K756" s="23"/>
      <c r="L756" s="24"/>
      <c r="M756" s="12"/>
      <c r="N756" s="26" t="str">
        <f t="shared" si="2"/>
        <v>
</v>
      </c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0"/>
      <c r="B757" s="12"/>
      <c r="C757" s="12"/>
      <c r="D757" s="23"/>
      <c r="E757" s="12"/>
      <c r="F757" s="12"/>
      <c r="G757" s="12"/>
      <c r="H757" s="12"/>
      <c r="I757" s="23"/>
      <c r="J757" s="12"/>
      <c r="K757" s="23"/>
      <c r="L757" s="24"/>
      <c r="M757" s="12"/>
      <c r="N757" s="26" t="str">
        <f t="shared" si="2"/>
        <v>
</v>
      </c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0"/>
      <c r="B758" s="12"/>
      <c r="C758" s="12"/>
      <c r="D758" s="35"/>
      <c r="E758" s="22"/>
      <c r="F758" s="12"/>
      <c r="G758" s="12"/>
      <c r="H758" s="12"/>
      <c r="I758" s="23"/>
      <c r="J758" s="12"/>
      <c r="K758" s="23"/>
      <c r="L758" s="24"/>
      <c r="M758" s="12"/>
      <c r="N758" s="26" t="str">
        <f t="shared" si="2"/>
        <v>
</v>
      </c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0"/>
      <c r="B759" s="12"/>
      <c r="C759" s="12"/>
      <c r="D759" s="35"/>
      <c r="E759" s="22"/>
      <c r="F759" s="12"/>
      <c r="G759" s="12"/>
      <c r="H759" s="12"/>
      <c r="I759" s="23"/>
      <c r="J759" s="12"/>
      <c r="K759" s="23"/>
      <c r="L759" s="24"/>
      <c r="M759" s="12"/>
      <c r="N759" s="26" t="str">
        <f t="shared" si="2"/>
        <v>
</v>
      </c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0"/>
      <c r="B760" s="12"/>
      <c r="C760" s="12"/>
      <c r="D760" s="23"/>
      <c r="E760" s="12"/>
      <c r="F760" s="12"/>
      <c r="G760" s="12"/>
      <c r="H760" s="12"/>
      <c r="I760" s="23"/>
      <c r="J760" s="12"/>
      <c r="K760" s="23"/>
      <c r="L760" s="24"/>
      <c r="M760" s="12"/>
      <c r="N760" s="26" t="str">
        <f t="shared" si="2"/>
        <v>
</v>
      </c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0"/>
      <c r="B761" s="12"/>
      <c r="C761" s="12"/>
      <c r="D761" s="23"/>
      <c r="E761" s="12"/>
      <c r="F761" s="12"/>
      <c r="G761" s="12"/>
      <c r="H761" s="12"/>
      <c r="I761" s="23"/>
      <c r="J761" s="12"/>
      <c r="K761" s="23"/>
      <c r="L761" s="24"/>
      <c r="M761" s="12"/>
      <c r="N761" s="26" t="str">
        <f t="shared" si="2"/>
        <v>
</v>
      </c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0"/>
      <c r="B762" s="12"/>
      <c r="C762" s="12"/>
      <c r="D762" s="23"/>
      <c r="E762" s="12"/>
      <c r="F762" s="12"/>
      <c r="G762" s="12"/>
      <c r="H762" s="12"/>
      <c r="I762" s="35"/>
      <c r="J762" s="12"/>
      <c r="K762" s="23"/>
      <c r="L762" s="24"/>
      <c r="M762" s="12"/>
      <c r="N762" s="26" t="str">
        <f t="shared" si="2"/>
        <v>
</v>
      </c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0"/>
      <c r="B763" s="12"/>
      <c r="C763" s="12"/>
      <c r="D763" s="23"/>
      <c r="E763" s="12"/>
      <c r="F763" s="12"/>
      <c r="G763" s="12"/>
      <c r="H763" s="12"/>
      <c r="I763" s="23"/>
      <c r="J763" s="12"/>
      <c r="K763" s="23"/>
      <c r="L763" s="24"/>
      <c r="M763" s="12"/>
      <c r="N763" s="26" t="str">
        <f t="shared" si="2"/>
        <v>
</v>
      </c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0"/>
      <c r="B764" s="12"/>
      <c r="C764" s="12"/>
      <c r="D764" s="23"/>
      <c r="E764" s="12"/>
      <c r="F764" s="12"/>
      <c r="G764" s="12"/>
      <c r="H764" s="12"/>
      <c r="I764" s="23"/>
      <c r="J764" s="12"/>
      <c r="K764" s="23"/>
      <c r="L764" s="24"/>
      <c r="M764" s="12"/>
      <c r="N764" s="26" t="str">
        <f t="shared" si="2"/>
        <v>
</v>
      </c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0"/>
      <c r="B765" s="12"/>
      <c r="C765" s="12"/>
      <c r="D765" s="23"/>
      <c r="E765" s="12"/>
      <c r="F765" s="12"/>
      <c r="G765" s="22"/>
      <c r="H765" s="12"/>
      <c r="I765" s="35"/>
      <c r="J765" s="12"/>
      <c r="K765" s="23"/>
      <c r="L765" s="24"/>
      <c r="M765" s="12"/>
      <c r="N765" s="26" t="str">
        <f t="shared" si="2"/>
        <v>
</v>
      </c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0"/>
      <c r="B766" s="12"/>
      <c r="C766" s="12"/>
      <c r="D766" s="23"/>
      <c r="E766" s="12"/>
      <c r="F766" s="12"/>
      <c r="G766" s="12"/>
      <c r="H766" s="12"/>
      <c r="I766" s="23"/>
      <c r="J766" s="12"/>
      <c r="K766" s="23"/>
      <c r="L766" s="24"/>
      <c r="M766" s="12"/>
      <c r="N766" s="26" t="str">
        <f t="shared" si="2"/>
        <v>
</v>
      </c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0"/>
      <c r="B767" s="12"/>
      <c r="C767" s="12"/>
      <c r="D767" s="35"/>
      <c r="E767" s="22"/>
      <c r="F767" s="12"/>
      <c r="G767" s="12"/>
      <c r="H767" s="12"/>
      <c r="I767" s="35"/>
      <c r="J767" s="12"/>
      <c r="K767" s="23"/>
      <c r="L767" s="24"/>
      <c r="M767" s="12"/>
      <c r="N767" s="26" t="str">
        <f t="shared" si="2"/>
        <v>
</v>
      </c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0"/>
      <c r="B768" s="12"/>
      <c r="C768" s="12"/>
      <c r="D768" s="35"/>
      <c r="E768" s="22"/>
      <c r="F768" s="12"/>
      <c r="G768" s="22"/>
      <c r="H768" s="12"/>
      <c r="I768" s="23"/>
      <c r="J768" s="12"/>
      <c r="K768" s="23"/>
      <c r="L768" s="24"/>
      <c r="M768" s="12"/>
      <c r="N768" s="26" t="str">
        <f t="shared" si="2"/>
        <v>
</v>
      </c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0"/>
      <c r="B769" s="12"/>
      <c r="C769" s="12"/>
      <c r="D769" s="35"/>
      <c r="E769" s="22"/>
      <c r="F769" s="12"/>
      <c r="G769" s="12"/>
      <c r="H769" s="12"/>
      <c r="I769" s="23"/>
      <c r="J769" s="12"/>
      <c r="K769" s="23"/>
      <c r="L769" s="24"/>
      <c r="M769" s="12"/>
      <c r="N769" s="26" t="str">
        <f t="shared" si="2"/>
        <v>
</v>
      </c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0"/>
      <c r="B770" s="12"/>
      <c r="C770" s="12"/>
      <c r="D770" s="23"/>
      <c r="E770" s="12"/>
      <c r="F770" s="12"/>
      <c r="G770" s="22"/>
      <c r="H770" s="12"/>
      <c r="I770" s="35"/>
      <c r="J770" s="12"/>
      <c r="K770" s="23"/>
      <c r="L770" s="24"/>
      <c r="M770" s="12"/>
      <c r="N770" s="26" t="str">
        <f t="shared" si="2"/>
        <v>
</v>
      </c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0"/>
      <c r="B771" s="12"/>
      <c r="C771" s="12"/>
      <c r="D771" s="23"/>
      <c r="E771" s="12"/>
      <c r="F771" s="12"/>
      <c r="G771" s="12"/>
      <c r="H771" s="12"/>
      <c r="I771" s="23"/>
      <c r="J771" s="12"/>
      <c r="K771" s="23"/>
      <c r="L771" s="24"/>
      <c r="M771" s="12"/>
      <c r="N771" s="26" t="str">
        <f t="shared" si="2"/>
        <v>
</v>
      </c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0"/>
      <c r="B772" s="12"/>
      <c r="C772" s="12"/>
      <c r="D772" s="23"/>
      <c r="E772" s="12"/>
      <c r="F772" s="12"/>
      <c r="G772" s="12"/>
      <c r="H772" s="12"/>
      <c r="I772" s="35"/>
      <c r="J772" s="12"/>
      <c r="K772" s="23"/>
      <c r="L772" s="24"/>
      <c r="M772" s="12"/>
      <c r="N772" s="26" t="str">
        <f t="shared" si="2"/>
        <v>
</v>
      </c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0"/>
      <c r="B773" s="12"/>
      <c r="C773" s="12"/>
      <c r="D773" s="23"/>
      <c r="E773" s="12"/>
      <c r="F773" s="12"/>
      <c r="G773" s="12"/>
      <c r="H773" s="12"/>
      <c r="I773" s="35"/>
      <c r="J773" s="12"/>
      <c r="K773" s="23"/>
      <c r="L773" s="24"/>
      <c r="M773" s="12"/>
      <c r="N773" s="26" t="str">
        <f t="shared" si="2"/>
        <v>
</v>
      </c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0"/>
      <c r="B774" s="12"/>
      <c r="C774" s="12"/>
      <c r="D774" s="23"/>
      <c r="E774" s="12"/>
      <c r="F774" s="12"/>
      <c r="G774" s="22"/>
      <c r="H774" s="12"/>
      <c r="I774" s="35"/>
      <c r="J774" s="12"/>
      <c r="K774" s="23"/>
      <c r="L774" s="24"/>
      <c r="M774" s="12"/>
      <c r="N774" s="26" t="str">
        <f t="shared" si="2"/>
        <v>
</v>
      </c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0"/>
      <c r="B775" s="12"/>
      <c r="C775" s="12"/>
      <c r="D775" s="35"/>
      <c r="E775" s="22"/>
      <c r="F775" s="12"/>
      <c r="G775" s="12"/>
      <c r="H775" s="12"/>
      <c r="I775" s="23"/>
      <c r="J775" s="12"/>
      <c r="K775" s="23"/>
      <c r="L775" s="24"/>
      <c r="M775" s="12"/>
      <c r="N775" s="26" t="str">
        <f t="shared" si="2"/>
        <v>
</v>
      </c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0"/>
      <c r="B776" s="12"/>
      <c r="C776" s="12"/>
      <c r="D776" s="23"/>
      <c r="E776" s="12"/>
      <c r="F776" s="12"/>
      <c r="G776" s="12"/>
      <c r="H776" s="12"/>
      <c r="I776" s="23"/>
      <c r="J776" s="12"/>
      <c r="K776" s="23"/>
      <c r="L776" s="24"/>
      <c r="M776" s="12"/>
      <c r="N776" s="26" t="str">
        <f t="shared" si="2"/>
        <v>
</v>
      </c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0"/>
      <c r="B777" s="12"/>
      <c r="C777" s="12"/>
      <c r="D777" s="35"/>
      <c r="E777" s="22"/>
      <c r="F777" s="12"/>
      <c r="G777" s="12"/>
      <c r="H777" s="12"/>
      <c r="I777" s="23"/>
      <c r="J777" s="12"/>
      <c r="K777" s="23"/>
      <c r="L777" s="24"/>
      <c r="M777" s="12"/>
      <c r="N777" s="26" t="str">
        <f t="shared" si="2"/>
        <v>
</v>
      </c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0"/>
      <c r="B778" s="12"/>
      <c r="C778" s="12"/>
      <c r="D778" s="23"/>
      <c r="E778" s="12"/>
      <c r="F778" s="12"/>
      <c r="G778" s="12"/>
      <c r="H778" s="12"/>
      <c r="I778" s="23"/>
      <c r="J778" s="12"/>
      <c r="K778" s="23"/>
      <c r="L778" s="24"/>
      <c r="M778" s="12"/>
      <c r="N778" s="26" t="str">
        <f t="shared" si="2"/>
        <v>
</v>
      </c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0"/>
      <c r="B779" s="12"/>
      <c r="C779" s="12"/>
      <c r="D779" s="35"/>
      <c r="E779" s="22"/>
      <c r="F779" s="12"/>
      <c r="G779" s="12"/>
      <c r="H779" s="12"/>
      <c r="I779" s="23"/>
      <c r="J779" s="12"/>
      <c r="K779" s="23"/>
      <c r="L779" s="24"/>
      <c r="M779" s="12"/>
      <c r="N779" s="26" t="str">
        <f t="shared" si="2"/>
        <v>
</v>
      </c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0"/>
      <c r="B780" s="12"/>
      <c r="C780" s="12"/>
      <c r="D780" s="23"/>
      <c r="E780" s="12"/>
      <c r="F780" s="12"/>
      <c r="G780" s="12"/>
      <c r="H780" s="12"/>
      <c r="I780" s="35"/>
      <c r="J780" s="12"/>
      <c r="K780" s="23"/>
      <c r="L780" s="24"/>
      <c r="M780" s="12"/>
      <c r="N780" s="26" t="str">
        <f t="shared" si="2"/>
        <v>
</v>
      </c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0"/>
      <c r="B781" s="12"/>
      <c r="C781" s="12"/>
      <c r="D781" s="23"/>
      <c r="E781" s="12"/>
      <c r="F781" s="12"/>
      <c r="G781" s="12"/>
      <c r="H781" s="12"/>
      <c r="I781" s="23"/>
      <c r="J781" s="22"/>
      <c r="K781" s="23"/>
      <c r="L781" s="24"/>
      <c r="M781" s="12"/>
      <c r="N781" s="26" t="str">
        <f t="shared" si="2"/>
        <v>
</v>
      </c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0"/>
      <c r="B782" s="12"/>
      <c r="C782" s="12"/>
      <c r="D782" s="23"/>
      <c r="E782" s="12"/>
      <c r="F782" s="12"/>
      <c r="G782" s="12"/>
      <c r="H782" s="12"/>
      <c r="I782" s="23"/>
      <c r="J782" s="12"/>
      <c r="K782" s="23"/>
      <c r="L782" s="24"/>
      <c r="M782" s="12"/>
      <c r="N782" s="26" t="str">
        <f t="shared" si="2"/>
        <v>
</v>
      </c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0"/>
      <c r="B783" s="12"/>
      <c r="C783" s="12"/>
      <c r="D783" s="35"/>
      <c r="E783" s="22"/>
      <c r="F783" s="12"/>
      <c r="G783" s="22"/>
      <c r="H783" s="12"/>
      <c r="I783" s="23"/>
      <c r="J783" s="12"/>
      <c r="K783" s="23"/>
      <c r="L783" s="24"/>
      <c r="M783" s="12"/>
      <c r="N783" s="26" t="str">
        <f t="shared" si="2"/>
        <v>
</v>
      </c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0"/>
      <c r="B784" s="12"/>
      <c r="C784" s="12"/>
      <c r="D784" s="23"/>
      <c r="E784" s="12"/>
      <c r="F784" s="12"/>
      <c r="G784" s="12"/>
      <c r="H784" s="12"/>
      <c r="I784" s="23"/>
      <c r="J784" s="12"/>
      <c r="K784" s="23"/>
      <c r="L784" s="24"/>
      <c r="M784" s="12"/>
      <c r="N784" s="26" t="str">
        <f t="shared" si="2"/>
        <v>
</v>
      </c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0"/>
      <c r="B785" s="12"/>
      <c r="C785" s="12"/>
      <c r="D785" s="35"/>
      <c r="E785" s="22"/>
      <c r="F785" s="12"/>
      <c r="G785" s="12"/>
      <c r="H785" s="12"/>
      <c r="I785" s="23"/>
      <c r="J785" s="12"/>
      <c r="K785" s="23"/>
      <c r="L785" s="24"/>
      <c r="M785" s="12"/>
      <c r="N785" s="26" t="str">
        <f t="shared" si="2"/>
        <v>
</v>
      </c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0"/>
      <c r="B786" s="12"/>
      <c r="C786" s="12"/>
      <c r="D786" s="23"/>
      <c r="E786" s="12"/>
      <c r="F786" s="12"/>
      <c r="G786" s="12"/>
      <c r="H786" s="12"/>
      <c r="I786" s="35"/>
      <c r="J786" s="12"/>
      <c r="K786" s="23"/>
      <c r="L786" s="24"/>
      <c r="M786" s="12"/>
      <c r="N786" s="26" t="str">
        <f t="shared" si="2"/>
        <v>
</v>
      </c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0"/>
      <c r="B787" s="12"/>
      <c r="C787" s="12"/>
      <c r="D787" s="35"/>
      <c r="E787" s="22"/>
      <c r="F787" s="12"/>
      <c r="G787" s="12"/>
      <c r="H787" s="12"/>
      <c r="I787" s="23"/>
      <c r="J787" s="12"/>
      <c r="K787" s="23"/>
      <c r="L787" s="24"/>
      <c r="M787" s="12"/>
      <c r="N787" s="26" t="str">
        <f t="shared" si="2"/>
        <v>
</v>
      </c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0"/>
      <c r="B788" s="12"/>
      <c r="C788" s="12"/>
      <c r="D788" s="35"/>
      <c r="E788" s="22"/>
      <c r="F788" s="12"/>
      <c r="G788" s="12"/>
      <c r="H788" s="12"/>
      <c r="I788" s="35"/>
      <c r="J788" s="12"/>
      <c r="K788" s="23"/>
      <c r="L788" s="24"/>
      <c r="M788" s="12"/>
      <c r="N788" s="26" t="str">
        <f t="shared" si="2"/>
        <v>
</v>
      </c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0"/>
      <c r="B789" s="12"/>
      <c r="C789" s="12"/>
      <c r="D789" s="23"/>
      <c r="E789" s="12"/>
      <c r="F789" s="12"/>
      <c r="G789" s="12"/>
      <c r="H789" s="12"/>
      <c r="I789" s="23"/>
      <c r="J789" s="12"/>
      <c r="K789" s="23"/>
      <c r="L789" s="24"/>
      <c r="M789" s="12"/>
      <c r="N789" s="26" t="str">
        <f t="shared" si="2"/>
        <v>
</v>
      </c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0"/>
      <c r="B790" s="12"/>
      <c r="C790" s="12"/>
      <c r="D790" s="23"/>
      <c r="E790" s="12"/>
      <c r="F790" s="12"/>
      <c r="G790" s="12"/>
      <c r="H790" s="12"/>
      <c r="I790" s="23"/>
      <c r="J790" s="12"/>
      <c r="K790" s="23"/>
      <c r="L790" s="24"/>
      <c r="M790" s="12"/>
      <c r="N790" s="26" t="str">
        <f t="shared" si="2"/>
        <v>
</v>
      </c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0"/>
      <c r="B791" s="12"/>
      <c r="C791" s="12"/>
      <c r="D791" s="23"/>
      <c r="E791" s="12"/>
      <c r="F791" s="12"/>
      <c r="G791" s="22"/>
      <c r="H791" s="12"/>
      <c r="I791" s="23"/>
      <c r="J791" s="12"/>
      <c r="K791" s="23"/>
      <c r="L791" s="24"/>
      <c r="M791" s="12"/>
      <c r="N791" s="26" t="str">
        <f t="shared" si="2"/>
        <v>
</v>
      </c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0"/>
      <c r="B792" s="12"/>
      <c r="C792" s="12"/>
      <c r="D792" s="23"/>
      <c r="E792" s="12"/>
      <c r="F792" s="12"/>
      <c r="G792" s="12"/>
      <c r="H792" s="12"/>
      <c r="I792" s="23"/>
      <c r="J792" s="12"/>
      <c r="K792" s="23"/>
      <c r="L792" s="24"/>
      <c r="M792" s="12"/>
      <c r="N792" s="26" t="str">
        <f t="shared" si="2"/>
        <v>
</v>
      </c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0"/>
      <c r="B793" s="12"/>
      <c r="C793" s="12"/>
      <c r="D793" s="23"/>
      <c r="E793" s="12"/>
      <c r="F793" s="12"/>
      <c r="G793" s="12"/>
      <c r="H793" s="12"/>
      <c r="I793" s="23"/>
      <c r="J793" s="12"/>
      <c r="K793" s="23"/>
      <c r="L793" s="24"/>
      <c r="M793" s="12"/>
      <c r="N793" s="26" t="str">
        <f t="shared" si="2"/>
        <v>
</v>
      </c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0"/>
      <c r="B794" s="12"/>
      <c r="C794" s="12"/>
      <c r="D794" s="35"/>
      <c r="E794" s="22"/>
      <c r="F794" s="12"/>
      <c r="G794" s="12"/>
      <c r="H794" s="12"/>
      <c r="I794" s="23"/>
      <c r="J794" s="12"/>
      <c r="K794" s="23"/>
      <c r="L794" s="24"/>
      <c r="M794" s="12"/>
      <c r="N794" s="26" t="str">
        <f t="shared" si="2"/>
        <v>
</v>
      </c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0"/>
      <c r="B795" s="12"/>
      <c r="C795" s="12"/>
      <c r="D795" s="23"/>
      <c r="E795" s="12"/>
      <c r="F795" s="12"/>
      <c r="G795" s="12"/>
      <c r="H795" s="12"/>
      <c r="I795" s="23"/>
      <c r="J795" s="12"/>
      <c r="K795" s="23"/>
      <c r="L795" s="24"/>
      <c r="M795" s="12"/>
      <c r="N795" s="26" t="str">
        <f t="shared" si="2"/>
        <v>
</v>
      </c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0"/>
      <c r="B796" s="12"/>
      <c r="C796" s="12"/>
      <c r="D796" s="35"/>
      <c r="E796" s="22"/>
      <c r="F796" s="12"/>
      <c r="G796" s="12"/>
      <c r="H796" s="12"/>
      <c r="I796" s="23"/>
      <c r="J796" s="12"/>
      <c r="K796" s="23"/>
      <c r="L796" s="24"/>
      <c r="M796" s="12"/>
      <c r="N796" s="26" t="str">
        <f t="shared" si="2"/>
        <v>
</v>
      </c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0"/>
      <c r="B797" s="12"/>
      <c r="C797" s="12"/>
      <c r="D797" s="35"/>
      <c r="E797" s="22"/>
      <c r="F797" s="12"/>
      <c r="G797" s="12"/>
      <c r="H797" s="12"/>
      <c r="I797" s="23"/>
      <c r="J797" s="12"/>
      <c r="K797" s="23"/>
      <c r="L797" s="24"/>
      <c r="M797" s="12"/>
      <c r="N797" s="26" t="str">
        <f t="shared" si="2"/>
        <v>
</v>
      </c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0"/>
      <c r="B798" s="12"/>
      <c r="C798" s="12"/>
      <c r="D798" s="35"/>
      <c r="E798" s="22"/>
      <c r="F798" s="12"/>
      <c r="G798" s="12"/>
      <c r="H798" s="12"/>
      <c r="I798" s="23"/>
      <c r="J798" s="12"/>
      <c r="K798" s="23"/>
      <c r="L798" s="24"/>
      <c r="M798" s="12"/>
      <c r="N798" s="26" t="str">
        <f t="shared" si="2"/>
        <v>
</v>
      </c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0"/>
      <c r="B799" s="12"/>
      <c r="C799" s="12"/>
      <c r="D799" s="35"/>
      <c r="E799" s="22"/>
      <c r="F799" s="12"/>
      <c r="G799" s="12"/>
      <c r="H799" s="12"/>
      <c r="I799" s="23"/>
      <c r="J799" s="12"/>
      <c r="K799" s="23"/>
      <c r="L799" s="24"/>
      <c r="M799" s="12"/>
      <c r="N799" s="26" t="str">
        <f t="shared" si="2"/>
        <v>
</v>
      </c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0"/>
      <c r="B800" s="12"/>
      <c r="C800" s="12"/>
      <c r="D800" s="23"/>
      <c r="E800" s="12"/>
      <c r="F800" s="12"/>
      <c r="G800" s="12"/>
      <c r="H800" s="12"/>
      <c r="I800" s="35"/>
      <c r="J800" s="12"/>
      <c r="K800" s="23"/>
      <c r="L800" s="24"/>
      <c r="M800" s="12"/>
      <c r="N800" s="26" t="str">
        <f t="shared" si="2"/>
        <v>
</v>
      </c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0"/>
      <c r="B801" s="12"/>
      <c r="C801" s="12"/>
      <c r="D801" s="23"/>
      <c r="E801" s="12"/>
      <c r="F801" s="12"/>
      <c r="G801" s="12"/>
      <c r="H801" s="12"/>
      <c r="I801" s="35"/>
      <c r="J801" s="12"/>
      <c r="K801" s="23"/>
      <c r="L801" s="24"/>
      <c r="M801" s="12"/>
      <c r="N801" s="26" t="str">
        <f t="shared" si="2"/>
        <v>
</v>
      </c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0"/>
      <c r="B802" s="12"/>
      <c r="C802" s="12"/>
      <c r="D802" s="35"/>
      <c r="E802" s="22"/>
      <c r="F802" s="12"/>
      <c r="G802" s="22"/>
      <c r="H802" s="12"/>
      <c r="I802" s="23"/>
      <c r="J802" s="12"/>
      <c r="K802" s="23"/>
      <c r="L802" s="24"/>
      <c r="M802" s="12"/>
      <c r="N802" s="26" t="str">
        <f t="shared" si="2"/>
        <v>
</v>
      </c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0"/>
      <c r="B803" s="12"/>
      <c r="C803" s="12"/>
      <c r="D803" s="23"/>
      <c r="E803" s="12"/>
      <c r="F803" s="12"/>
      <c r="G803" s="12"/>
      <c r="H803" s="12"/>
      <c r="I803" s="23"/>
      <c r="J803" s="12"/>
      <c r="K803" s="23"/>
      <c r="L803" s="24"/>
      <c r="M803" s="12"/>
      <c r="N803" s="26" t="str">
        <f t="shared" si="2"/>
        <v>
</v>
      </c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0"/>
      <c r="B804" s="12"/>
      <c r="C804" s="12"/>
      <c r="D804" s="35"/>
      <c r="E804" s="22"/>
      <c r="F804" s="12"/>
      <c r="G804" s="12"/>
      <c r="H804" s="12"/>
      <c r="I804" s="23"/>
      <c r="J804" s="12"/>
      <c r="K804" s="23"/>
      <c r="L804" s="24"/>
      <c r="M804" s="12"/>
      <c r="N804" s="26" t="str">
        <f t="shared" si="2"/>
        <v>
</v>
      </c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0"/>
      <c r="B805" s="12"/>
      <c r="C805" s="12"/>
      <c r="D805" s="35"/>
      <c r="E805" s="22"/>
      <c r="F805" s="12"/>
      <c r="G805" s="12"/>
      <c r="H805" s="12"/>
      <c r="I805" s="23"/>
      <c r="J805" s="12"/>
      <c r="K805" s="23"/>
      <c r="L805" s="24"/>
      <c r="M805" s="12"/>
      <c r="N805" s="26" t="str">
        <f t="shared" si="2"/>
        <v>
</v>
      </c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0"/>
      <c r="B806" s="12"/>
      <c r="C806" s="12"/>
      <c r="D806" s="35"/>
      <c r="E806" s="22"/>
      <c r="F806" s="12"/>
      <c r="G806" s="12"/>
      <c r="H806" s="12"/>
      <c r="I806" s="23"/>
      <c r="J806" s="12"/>
      <c r="K806" s="23"/>
      <c r="L806" s="24"/>
      <c r="M806" s="12"/>
      <c r="N806" s="26" t="str">
        <f t="shared" si="2"/>
        <v>
</v>
      </c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0"/>
      <c r="B807" s="12"/>
      <c r="C807" s="12"/>
      <c r="D807" s="35"/>
      <c r="E807" s="22"/>
      <c r="F807" s="12"/>
      <c r="G807" s="12"/>
      <c r="H807" s="12"/>
      <c r="I807" s="23"/>
      <c r="J807" s="12"/>
      <c r="K807" s="23"/>
      <c r="L807" s="24"/>
      <c r="M807" s="12"/>
      <c r="N807" s="26" t="str">
        <f t="shared" si="2"/>
        <v>
</v>
      </c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0"/>
      <c r="B808" s="12"/>
      <c r="C808" s="12"/>
      <c r="D808" s="35"/>
      <c r="E808" s="22"/>
      <c r="F808" s="12"/>
      <c r="G808" s="12"/>
      <c r="H808" s="12"/>
      <c r="I808" s="23"/>
      <c r="J808" s="12"/>
      <c r="K808" s="23"/>
      <c r="L808" s="24"/>
      <c r="M808" s="12"/>
      <c r="N808" s="26" t="str">
        <f t="shared" si="2"/>
        <v>
</v>
      </c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0"/>
      <c r="B809" s="12"/>
      <c r="C809" s="12"/>
      <c r="D809" s="35"/>
      <c r="E809" s="22"/>
      <c r="F809" s="12"/>
      <c r="G809" s="12"/>
      <c r="H809" s="12"/>
      <c r="I809" s="23"/>
      <c r="J809" s="12"/>
      <c r="K809" s="23"/>
      <c r="L809" s="24"/>
      <c r="M809" s="12"/>
      <c r="N809" s="26" t="str">
        <f t="shared" si="2"/>
        <v>
</v>
      </c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0"/>
      <c r="B810" s="12"/>
      <c r="C810" s="12"/>
      <c r="D810" s="35"/>
      <c r="E810" s="22"/>
      <c r="F810" s="12"/>
      <c r="G810" s="12"/>
      <c r="H810" s="12"/>
      <c r="I810" s="23"/>
      <c r="J810" s="12"/>
      <c r="K810" s="23"/>
      <c r="L810" s="24"/>
      <c r="M810" s="12"/>
      <c r="N810" s="26" t="str">
        <f t="shared" si="2"/>
        <v>
</v>
      </c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0"/>
      <c r="B811" s="12"/>
      <c r="C811" s="12"/>
      <c r="D811" s="23"/>
      <c r="E811" s="12"/>
      <c r="F811" s="12"/>
      <c r="G811" s="12"/>
      <c r="H811" s="12"/>
      <c r="I811" s="23"/>
      <c r="J811" s="12"/>
      <c r="K811" s="23"/>
      <c r="L811" s="24"/>
      <c r="M811" s="12"/>
      <c r="N811" s="26" t="str">
        <f t="shared" si="2"/>
        <v>
</v>
      </c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0"/>
      <c r="B812" s="12"/>
      <c r="C812" s="12"/>
      <c r="D812" s="23"/>
      <c r="E812" s="12"/>
      <c r="F812" s="12"/>
      <c r="G812" s="22"/>
      <c r="H812" s="12"/>
      <c r="I812" s="23"/>
      <c r="J812" s="12"/>
      <c r="K812" s="23"/>
      <c r="L812" s="24"/>
      <c r="M812" s="12"/>
      <c r="N812" s="26" t="str">
        <f t="shared" si="2"/>
        <v>
</v>
      </c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0"/>
      <c r="B813" s="12"/>
      <c r="C813" s="12"/>
      <c r="D813" s="35"/>
      <c r="E813" s="22"/>
      <c r="F813" s="12"/>
      <c r="G813" s="22"/>
      <c r="H813" s="12"/>
      <c r="I813" s="35"/>
      <c r="J813" s="12"/>
      <c r="K813" s="23"/>
      <c r="L813" s="24"/>
      <c r="M813" s="12"/>
      <c r="N813" s="26" t="str">
        <f t="shared" si="2"/>
        <v>
</v>
      </c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0"/>
      <c r="B814" s="12"/>
      <c r="C814" s="12"/>
      <c r="D814" s="35"/>
      <c r="E814" s="22"/>
      <c r="F814" s="12"/>
      <c r="G814" s="12"/>
      <c r="H814" s="12"/>
      <c r="I814" s="23"/>
      <c r="J814" s="12"/>
      <c r="K814" s="23"/>
      <c r="L814" s="24"/>
      <c r="M814" s="12"/>
      <c r="N814" s="26" t="str">
        <f t="shared" si="2"/>
        <v>
</v>
      </c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0"/>
      <c r="B815" s="12"/>
      <c r="C815" s="12"/>
      <c r="D815" s="23"/>
      <c r="E815" s="12"/>
      <c r="F815" s="12"/>
      <c r="G815" s="22"/>
      <c r="H815" s="12"/>
      <c r="I815" s="23"/>
      <c r="J815" s="12"/>
      <c r="K815" s="23"/>
      <c r="L815" s="24"/>
      <c r="M815" s="12"/>
      <c r="N815" s="26" t="str">
        <f t="shared" si="2"/>
        <v>
</v>
      </c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0"/>
      <c r="B816" s="12"/>
      <c r="C816" s="12"/>
      <c r="D816" s="35"/>
      <c r="E816" s="22"/>
      <c r="F816" s="12"/>
      <c r="G816" s="12"/>
      <c r="H816" s="12"/>
      <c r="I816" s="23"/>
      <c r="J816" s="12"/>
      <c r="K816" s="23"/>
      <c r="L816" s="24"/>
      <c r="M816" s="12"/>
      <c r="N816" s="26" t="str">
        <f t="shared" si="2"/>
        <v>
</v>
      </c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0"/>
      <c r="B817" s="12"/>
      <c r="C817" s="12"/>
      <c r="D817" s="35"/>
      <c r="E817" s="22"/>
      <c r="F817" s="12"/>
      <c r="G817" s="12"/>
      <c r="H817" s="12"/>
      <c r="I817" s="23"/>
      <c r="J817" s="12"/>
      <c r="K817" s="23"/>
      <c r="L817" s="24"/>
      <c r="M817" s="12"/>
      <c r="N817" s="26" t="str">
        <f t="shared" si="2"/>
        <v>
</v>
      </c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0"/>
      <c r="B818" s="12"/>
      <c r="C818" s="12"/>
      <c r="D818" s="35"/>
      <c r="E818" s="22"/>
      <c r="F818" s="12"/>
      <c r="G818" s="12"/>
      <c r="H818" s="12"/>
      <c r="I818" s="23"/>
      <c r="J818" s="12"/>
      <c r="K818" s="23"/>
      <c r="L818" s="24"/>
      <c r="M818" s="12"/>
      <c r="N818" s="26" t="str">
        <f t="shared" si="2"/>
        <v>
</v>
      </c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0"/>
      <c r="B819" s="12"/>
      <c r="C819" s="12"/>
      <c r="D819" s="35"/>
      <c r="E819" s="22"/>
      <c r="F819" s="12"/>
      <c r="G819" s="12"/>
      <c r="H819" s="12"/>
      <c r="I819" s="23"/>
      <c r="J819" s="12"/>
      <c r="K819" s="23"/>
      <c r="L819" s="24"/>
      <c r="M819" s="12"/>
      <c r="N819" s="26" t="str">
        <f t="shared" si="2"/>
        <v>
</v>
      </c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0"/>
      <c r="B820" s="12"/>
      <c r="C820" s="12"/>
      <c r="D820" s="35"/>
      <c r="E820" s="22"/>
      <c r="F820" s="12"/>
      <c r="G820" s="22"/>
      <c r="H820" s="12"/>
      <c r="I820" s="23"/>
      <c r="J820" s="12"/>
      <c r="K820" s="23"/>
      <c r="L820" s="24"/>
      <c r="M820" s="12"/>
      <c r="N820" s="26" t="str">
        <f t="shared" si="2"/>
        <v>
</v>
      </c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0"/>
      <c r="B821" s="12"/>
      <c r="C821" s="12"/>
      <c r="D821" s="35"/>
      <c r="E821" s="22"/>
      <c r="F821" s="12"/>
      <c r="G821" s="12"/>
      <c r="H821" s="12"/>
      <c r="I821" s="35"/>
      <c r="J821" s="12"/>
      <c r="K821" s="23"/>
      <c r="L821" s="24"/>
      <c r="M821" s="12"/>
      <c r="N821" s="26" t="str">
        <f t="shared" si="2"/>
        <v>
</v>
      </c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0"/>
      <c r="B822" s="12"/>
      <c r="C822" s="12"/>
      <c r="D822" s="35"/>
      <c r="E822" s="22"/>
      <c r="F822" s="12"/>
      <c r="G822" s="12"/>
      <c r="H822" s="12"/>
      <c r="I822" s="35"/>
      <c r="J822" s="22"/>
      <c r="K822" s="23"/>
      <c r="L822" s="24"/>
      <c r="M822" s="12"/>
      <c r="N822" s="26" t="str">
        <f t="shared" si="2"/>
        <v>
</v>
      </c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0"/>
      <c r="B823" s="12"/>
      <c r="C823" s="12"/>
      <c r="D823" s="35"/>
      <c r="E823" s="22"/>
      <c r="F823" s="12"/>
      <c r="G823" s="12"/>
      <c r="H823" s="12"/>
      <c r="I823" s="23"/>
      <c r="J823" s="12"/>
      <c r="K823" s="23"/>
      <c r="L823" s="24"/>
      <c r="M823" s="12"/>
      <c r="N823" s="26" t="str">
        <f t="shared" si="2"/>
        <v>
</v>
      </c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0"/>
      <c r="B824" s="12"/>
      <c r="C824" s="12"/>
      <c r="D824" s="23"/>
      <c r="E824" s="12"/>
      <c r="F824" s="12"/>
      <c r="G824" s="12"/>
      <c r="H824" s="12"/>
      <c r="I824" s="23"/>
      <c r="J824" s="12"/>
      <c r="K824" s="23"/>
      <c r="L824" s="24"/>
      <c r="M824" s="12"/>
      <c r="N824" s="26" t="str">
        <f t="shared" si="2"/>
        <v>
</v>
      </c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0"/>
      <c r="B825" s="12"/>
      <c r="C825" s="12"/>
      <c r="D825" s="23"/>
      <c r="E825" s="12"/>
      <c r="F825" s="12"/>
      <c r="G825" s="12"/>
      <c r="H825" s="12"/>
      <c r="I825" s="23"/>
      <c r="J825" s="12"/>
      <c r="K825" s="23"/>
      <c r="L825" s="24"/>
      <c r="M825" s="12"/>
      <c r="N825" s="26" t="str">
        <f t="shared" si="2"/>
        <v>
</v>
      </c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0"/>
      <c r="B826" s="12"/>
      <c r="C826" s="12"/>
      <c r="D826" s="35"/>
      <c r="E826" s="22"/>
      <c r="F826" s="12"/>
      <c r="G826" s="12"/>
      <c r="H826" s="12"/>
      <c r="I826" s="35"/>
      <c r="J826" s="12"/>
      <c r="K826" s="23"/>
      <c r="L826" s="24"/>
      <c r="M826" s="12"/>
      <c r="N826" s="26" t="str">
        <f t="shared" si="2"/>
        <v>
</v>
      </c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0"/>
      <c r="B827" s="12"/>
      <c r="C827" s="12"/>
      <c r="D827" s="23"/>
      <c r="E827" s="12"/>
      <c r="F827" s="12"/>
      <c r="G827" s="12"/>
      <c r="H827" s="12"/>
      <c r="I827" s="23"/>
      <c r="J827" s="12"/>
      <c r="K827" s="23"/>
      <c r="L827" s="24"/>
      <c r="M827" s="12"/>
      <c r="N827" s="26" t="str">
        <f t="shared" si="2"/>
        <v>
</v>
      </c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0"/>
      <c r="B828" s="12"/>
      <c r="C828" s="12"/>
      <c r="D828" s="35"/>
      <c r="E828" s="22"/>
      <c r="F828" s="12"/>
      <c r="G828" s="12"/>
      <c r="H828" s="12"/>
      <c r="I828" s="23"/>
      <c r="J828" s="12"/>
      <c r="K828" s="23"/>
      <c r="L828" s="24"/>
      <c r="M828" s="12"/>
      <c r="N828" s="26" t="str">
        <f t="shared" si="2"/>
        <v>
</v>
      </c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0"/>
      <c r="B829" s="12"/>
      <c r="C829" s="12"/>
      <c r="D829" s="23"/>
      <c r="E829" s="22"/>
      <c r="F829" s="12"/>
      <c r="G829" s="12"/>
      <c r="H829" s="12"/>
      <c r="I829" s="23"/>
      <c r="J829" s="12"/>
      <c r="K829" s="23"/>
      <c r="L829" s="24"/>
      <c r="M829" s="12"/>
      <c r="N829" s="26" t="str">
        <f t="shared" si="2"/>
        <v>
</v>
      </c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0"/>
      <c r="B830" s="12"/>
      <c r="C830" s="12"/>
      <c r="D830" s="23"/>
      <c r="E830" s="12"/>
      <c r="F830" s="12"/>
      <c r="G830" s="12"/>
      <c r="H830" s="12"/>
      <c r="I830" s="23"/>
      <c r="J830" s="12"/>
      <c r="K830" s="23"/>
      <c r="L830" s="24"/>
      <c r="M830" s="12"/>
      <c r="N830" s="26" t="str">
        <f t="shared" si="2"/>
        <v>
</v>
      </c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0"/>
      <c r="B831" s="12"/>
      <c r="C831" s="12"/>
      <c r="D831" s="35"/>
      <c r="E831" s="22"/>
      <c r="F831" s="12"/>
      <c r="G831" s="12"/>
      <c r="H831" s="12"/>
      <c r="I831" s="35"/>
      <c r="J831" s="12"/>
      <c r="K831" s="23"/>
      <c r="L831" s="24"/>
      <c r="M831" s="12"/>
      <c r="N831" s="26" t="str">
        <f t="shared" si="2"/>
        <v>
</v>
      </c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0"/>
      <c r="B832" s="12"/>
      <c r="C832" s="12"/>
      <c r="D832" s="35"/>
      <c r="E832" s="22"/>
      <c r="F832" s="12"/>
      <c r="G832" s="12"/>
      <c r="H832" s="12"/>
      <c r="I832" s="35"/>
      <c r="J832" s="12"/>
      <c r="K832" s="23"/>
      <c r="L832" s="24"/>
      <c r="M832" s="12"/>
      <c r="N832" s="26" t="str">
        <f t="shared" si="2"/>
        <v>
</v>
      </c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0"/>
      <c r="B833" s="12"/>
      <c r="C833" s="12"/>
      <c r="D833" s="35"/>
      <c r="E833" s="22"/>
      <c r="F833" s="12"/>
      <c r="G833" s="12"/>
      <c r="H833" s="12"/>
      <c r="I833" s="23"/>
      <c r="J833" s="12"/>
      <c r="K833" s="23"/>
      <c r="L833" s="24"/>
      <c r="M833" s="12"/>
      <c r="N833" s="26" t="str">
        <f t="shared" si="2"/>
        <v>
</v>
      </c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0"/>
      <c r="B834" s="12"/>
      <c r="C834" s="12"/>
      <c r="D834" s="23"/>
      <c r="E834" s="12"/>
      <c r="F834" s="12"/>
      <c r="G834" s="12"/>
      <c r="H834" s="12"/>
      <c r="I834" s="23"/>
      <c r="J834" s="12"/>
      <c r="K834" s="23"/>
      <c r="L834" s="24"/>
      <c r="M834" s="12"/>
      <c r="N834" s="26" t="str">
        <f t="shared" si="2"/>
        <v>
</v>
      </c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0"/>
      <c r="B835" s="12"/>
      <c r="C835" s="12"/>
      <c r="D835" s="23"/>
      <c r="E835" s="12"/>
      <c r="F835" s="12"/>
      <c r="G835" s="12"/>
      <c r="H835" s="12"/>
      <c r="I835" s="23"/>
      <c r="J835" s="12"/>
      <c r="K835" s="23"/>
      <c r="L835" s="24"/>
      <c r="M835" s="12"/>
      <c r="N835" s="26" t="str">
        <f t="shared" si="2"/>
        <v>
</v>
      </c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0"/>
      <c r="B836" s="12"/>
      <c r="C836" s="12"/>
      <c r="D836" s="23"/>
      <c r="E836" s="12"/>
      <c r="F836" s="12"/>
      <c r="G836" s="12"/>
      <c r="H836" s="12"/>
      <c r="I836" s="23"/>
      <c r="J836" s="12"/>
      <c r="K836" s="23"/>
      <c r="L836" s="24"/>
      <c r="M836" s="12"/>
      <c r="N836" s="26" t="str">
        <f t="shared" si="2"/>
        <v>
</v>
      </c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0"/>
      <c r="B837" s="12"/>
      <c r="C837" s="12"/>
      <c r="D837" s="35"/>
      <c r="E837" s="22"/>
      <c r="F837" s="12"/>
      <c r="G837" s="12"/>
      <c r="H837" s="12"/>
      <c r="I837" s="23"/>
      <c r="J837" s="12"/>
      <c r="K837" s="23"/>
      <c r="L837" s="24"/>
      <c r="M837" s="12"/>
      <c r="N837" s="26" t="str">
        <f t="shared" si="2"/>
        <v>
</v>
      </c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0"/>
      <c r="B838" s="12"/>
      <c r="C838" s="12"/>
      <c r="D838" s="23"/>
      <c r="E838" s="12"/>
      <c r="F838" s="12"/>
      <c r="G838" s="12"/>
      <c r="H838" s="12"/>
      <c r="I838" s="23"/>
      <c r="J838" s="12"/>
      <c r="K838" s="23"/>
      <c r="L838" s="24"/>
      <c r="M838" s="12"/>
      <c r="N838" s="26" t="str">
        <f t="shared" si="2"/>
        <v>
</v>
      </c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0"/>
      <c r="B839" s="12"/>
      <c r="C839" s="12"/>
      <c r="D839" s="35"/>
      <c r="E839" s="22"/>
      <c r="F839" s="12"/>
      <c r="G839" s="12"/>
      <c r="H839" s="12"/>
      <c r="I839" s="23"/>
      <c r="J839" s="12"/>
      <c r="K839" s="23"/>
      <c r="L839" s="24"/>
      <c r="M839" s="12"/>
      <c r="N839" s="26" t="str">
        <f t="shared" si="2"/>
        <v>
</v>
      </c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0"/>
      <c r="B840" s="12"/>
      <c r="C840" s="12"/>
      <c r="D840" s="35"/>
      <c r="E840" s="22"/>
      <c r="F840" s="22"/>
      <c r="G840" s="22"/>
      <c r="H840" s="12"/>
      <c r="I840" s="23"/>
      <c r="J840" s="12"/>
      <c r="K840" s="23"/>
      <c r="L840" s="24"/>
      <c r="M840" s="12"/>
      <c r="N840" s="26" t="str">
        <f t="shared" si="2"/>
        <v>
</v>
      </c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0"/>
      <c r="B841" s="12"/>
      <c r="C841" s="12"/>
      <c r="D841" s="23"/>
      <c r="E841" s="12"/>
      <c r="F841" s="12"/>
      <c r="G841" s="12"/>
      <c r="H841" s="12"/>
      <c r="I841" s="23"/>
      <c r="J841" s="12"/>
      <c r="K841" s="23"/>
      <c r="L841" s="24"/>
      <c r="M841" s="12"/>
      <c r="N841" s="26" t="str">
        <f t="shared" si="2"/>
        <v>
</v>
      </c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0"/>
      <c r="B842" s="12"/>
      <c r="C842" s="12"/>
      <c r="D842" s="23"/>
      <c r="E842" s="12"/>
      <c r="F842" s="12"/>
      <c r="G842" s="12"/>
      <c r="H842" s="12"/>
      <c r="I842" s="23"/>
      <c r="J842" s="12"/>
      <c r="K842" s="23"/>
      <c r="L842" s="24"/>
      <c r="M842" s="12"/>
      <c r="N842" s="26" t="str">
        <f t="shared" si="2"/>
        <v>
</v>
      </c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0"/>
      <c r="B843" s="12"/>
      <c r="C843" s="12"/>
      <c r="D843" s="35"/>
      <c r="E843" s="22"/>
      <c r="F843" s="12"/>
      <c r="G843" s="12"/>
      <c r="H843" s="12"/>
      <c r="I843" s="23"/>
      <c r="J843" s="12"/>
      <c r="K843" s="23"/>
      <c r="L843" s="24"/>
      <c r="M843" s="12"/>
      <c r="N843" s="26" t="str">
        <f t="shared" si="2"/>
        <v>
</v>
      </c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0"/>
      <c r="B844" s="12"/>
      <c r="C844" s="12"/>
      <c r="D844" s="23"/>
      <c r="E844" s="12"/>
      <c r="F844" s="12"/>
      <c r="G844" s="12"/>
      <c r="H844" s="12"/>
      <c r="I844" s="23"/>
      <c r="J844" s="12"/>
      <c r="K844" s="23"/>
      <c r="L844" s="24"/>
      <c r="M844" s="12"/>
      <c r="N844" s="26" t="str">
        <f t="shared" si="2"/>
        <v>
</v>
      </c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0"/>
      <c r="B845" s="12"/>
      <c r="C845" s="12"/>
      <c r="D845" s="23"/>
      <c r="E845" s="12"/>
      <c r="F845" s="12"/>
      <c r="G845" s="12"/>
      <c r="H845" s="12"/>
      <c r="I845" s="23"/>
      <c r="J845" s="12"/>
      <c r="K845" s="23"/>
      <c r="L845" s="24"/>
      <c r="M845" s="12"/>
      <c r="N845" s="26" t="str">
        <f t="shared" si="2"/>
        <v>
</v>
      </c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0"/>
      <c r="B846" s="12"/>
      <c r="C846" s="12"/>
      <c r="D846" s="23"/>
      <c r="E846" s="12"/>
      <c r="F846" s="12"/>
      <c r="G846" s="12"/>
      <c r="H846" s="12"/>
      <c r="I846" s="23"/>
      <c r="J846" s="12"/>
      <c r="K846" s="23"/>
      <c r="L846" s="24"/>
      <c r="M846" s="12"/>
      <c r="N846" s="26" t="str">
        <f t="shared" si="2"/>
        <v>
</v>
      </c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0"/>
      <c r="B847" s="12"/>
      <c r="C847" s="12"/>
      <c r="D847" s="23"/>
      <c r="E847" s="12"/>
      <c r="F847" s="12"/>
      <c r="G847" s="12"/>
      <c r="H847" s="12"/>
      <c r="I847" s="23"/>
      <c r="J847" s="12"/>
      <c r="K847" s="23"/>
      <c r="L847" s="24"/>
      <c r="M847" s="12"/>
      <c r="N847" s="26" t="str">
        <f t="shared" si="2"/>
        <v>
</v>
      </c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0"/>
      <c r="B848" s="12"/>
      <c r="C848" s="12"/>
      <c r="D848" s="23"/>
      <c r="E848" s="12"/>
      <c r="F848" s="12"/>
      <c r="G848" s="12"/>
      <c r="H848" s="12"/>
      <c r="I848" s="23"/>
      <c r="J848" s="12"/>
      <c r="K848" s="23"/>
      <c r="L848" s="24"/>
      <c r="M848" s="12"/>
      <c r="N848" s="26" t="str">
        <f t="shared" si="2"/>
        <v>
</v>
      </c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0"/>
      <c r="B849" s="12"/>
      <c r="C849" s="12"/>
      <c r="D849" s="47"/>
      <c r="E849" s="12"/>
      <c r="F849" s="12"/>
      <c r="G849" s="12"/>
      <c r="H849" s="12"/>
      <c r="I849" s="23"/>
      <c r="J849" s="12"/>
      <c r="K849" s="23"/>
      <c r="L849" s="24"/>
      <c r="M849" s="12"/>
      <c r="N849" s="26" t="str">
        <f t="shared" si="2"/>
        <v>
</v>
      </c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0"/>
      <c r="B850" s="12"/>
      <c r="C850" s="12"/>
      <c r="D850" s="35"/>
      <c r="E850" s="22"/>
      <c r="F850" s="12"/>
      <c r="G850" s="12"/>
      <c r="H850" s="12"/>
      <c r="I850" s="23"/>
      <c r="J850" s="12"/>
      <c r="K850" s="23"/>
      <c r="L850" s="24"/>
      <c r="M850" s="12"/>
      <c r="N850" s="26" t="str">
        <f t="shared" si="2"/>
        <v>
</v>
      </c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0"/>
      <c r="B851" s="12"/>
      <c r="C851" s="12"/>
      <c r="D851" s="35"/>
      <c r="E851" s="22"/>
      <c r="F851" s="12"/>
      <c r="G851" s="12"/>
      <c r="H851" s="12"/>
      <c r="I851" s="23"/>
      <c r="J851" s="12"/>
      <c r="K851" s="23"/>
      <c r="L851" s="24"/>
      <c r="M851" s="12"/>
      <c r="N851" s="26" t="str">
        <f t="shared" si="2"/>
        <v>
</v>
      </c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0"/>
      <c r="B852" s="12"/>
      <c r="C852" s="12"/>
      <c r="D852" s="35"/>
      <c r="E852" s="22"/>
      <c r="F852" s="12"/>
      <c r="G852" s="12"/>
      <c r="H852" s="12"/>
      <c r="I852" s="23"/>
      <c r="J852" s="12"/>
      <c r="K852" s="23"/>
      <c r="L852" s="24"/>
      <c r="M852" s="12"/>
      <c r="N852" s="26" t="str">
        <f t="shared" si="2"/>
        <v>
</v>
      </c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0"/>
      <c r="B853" s="12"/>
      <c r="C853" s="12"/>
      <c r="D853" s="35"/>
      <c r="E853" s="22"/>
      <c r="F853" s="12"/>
      <c r="G853" s="12"/>
      <c r="H853" s="12"/>
      <c r="I853" s="23"/>
      <c r="J853" s="12"/>
      <c r="K853" s="23"/>
      <c r="L853" s="24"/>
      <c r="M853" s="12"/>
      <c r="N853" s="26" t="str">
        <f t="shared" si="2"/>
        <v>
</v>
      </c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0"/>
      <c r="B854" s="12"/>
      <c r="C854" s="12"/>
      <c r="D854" s="35"/>
      <c r="E854" s="22"/>
      <c r="F854" s="12"/>
      <c r="G854" s="22"/>
      <c r="H854" s="12"/>
      <c r="I854" s="35"/>
      <c r="J854" s="12"/>
      <c r="K854" s="23"/>
      <c r="L854" s="24"/>
      <c r="M854" s="12"/>
      <c r="N854" s="26" t="str">
        <f t="shared" si="2"/>
        <v>
</v>
      </c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0"/>
      <c r="B855" s="12"/>
      <c r="C855" s="12"/>
      <c r="D855" s="23"/>
      <c r="E855" s="12"/>
      <c r="F855" s="12"/>
      <c r="G855" s="22"/>
      <c r="H855" s="12"/>
      <c r="I855" s="35"/>
      <c r="J855" s="12"/>
      <c r="K855" s="23"/>
      <c r="L855" s="24"/>
      <c r="M855" s="12"/>
      <c r="N855" s="26" t="str">
        <f t="shared" si="2"/>
        <v>
</v>
      </c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0"/>
      <c r="B856" s="12"/>
      <c r="C856" s="12"/>
      <c r="D856" s="35"/>
      <c r="E856" s="22"/>
      <c r="F856" s="12"/>
      <c r="G856" s="22"/>
      <c r="H856" s="12"/>
      <c r="I856" s="35"/>
      <c r="J856" s="12"/>
      <c r="K856" s="23"/>
      <c r="L856" s="24"/>
      <c r="M856" s="12"/>
      <c r="N856" s="26" t="str">
        <f t="shared" si="2"/>
        <v>
</v>
      </c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0"/>
      <c r="B857" s="12"/>
      <c r="C857" s="12"/>
      <c r="D857" s="23"/>
      <c r="E857" s="12"/>
      <c r="F857" s="12"/>
      <c r="G857" s="12"/>
      <c r="H857" s="12"/>
      <c r="I857" s="23"/>
      <c r="J857" s="12"/>
      <c r="K857" s="23"/>
      <c r="L857" s="24"/>
      <c r="M857" s="12"/>
      <c r="N857" s="26" t="str">
        <f t="shared" si="2"/>
        <v>
</v>
      </c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0"/>
      <c r="B858" s="12"/>
      <c r="C858" s="12"/>
      <c r="D858" s="23"/>
      <c r="E858" s="12"/>
      <c r="F858" s="12"/>
      <c r="G858" s="22"/>
      <c r="H858" s="12"/>
      <c r="I858" s="23"/>
      <c r="J858" s="12"/>
      <c r="K858" s="23"/>
      <c r="L858" s="24"/>
      <c r="M858" s="12"/>
      <c r="N858" s="26" t="str">
        <f t="shared" si="2"/>
        <v>
</v>
      </c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0"/>
      <c r="B859" s="12"/>
      <c r="C859" s="12"/>
      <c r="D859" s="47"/>
      <c r="E859" s="12"/>
      <c r="F859" s="12"/>
      <c r="G859" s="22"/>
      <c r="H859" s="12"/>
      <c r="I859" s="23"/>
      <c r="J859" s="12"/>
      <c r="K859" s="23"/>
      <c r="L859" s="24"/>
      <c r="M859" s="12"/>
      <c r="N859" s="26" t="str">
        <f t="shared" si="2"/>
        <v>
</v>
      </c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0"/>
      <c r="B860" s="12"/>
      <c r="C860" s="12"/>
      <c r="D860" s="35"/>
      <c r="E860" s="22"/>
      <c r="F860" s="12"/>
      <c r="G860" s="12"/>
      <c r="H860" s="12"/>
      <c r="I860" s="23"/>
      <c r="J860" s="12"/>
      <c r="K860" s="23"/>
      <c r="L860" s="24"/>
      <c r="M860" s="12"/>
      <c r="N860" s="26" t="str">
        <f t="shared" si="2"/>
        <v>
</v>
      </c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0"/>
      <c r="B861" s="12"/>
      <c r="C861" s="12"/>
      <c r="D861" s="23"/>
      <c r="E861" s="12"/>
      <c r="F861" s="12"/>
      <c r="G861" s="22"/>
      <c r="H861" s="12"/>
      <c r="I861" s="23"/>
      <c r="J861" s="12"/>
      <c r="K861" s="23"/>
      <c r="L861" s="24"/>
      <c r="M861" s="12"/>
      <c r="N861" s="26" t="str">
        <f t="shared" si="2"/>
        <v>
</v>
      </c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0"/>
      <c r="B862" s="12"/>
      <c r="C862" s="12"/>
      <c r="D862" s="35"/>
      <c r="E862" s="22"/>
      <c r="F862" s="12"/>
      <c r="G862" s="12"/>
      <c r="H862" s="12"/>
      <c r="I862" s="23"/>
      <c r="J862" s="12"/>
      <c r="K862" s="23"/>
      <c r="L862" s="24"/>
      <c r="M862" s="12"/>
      <c r="N862" s="26" t="str">
        <f t="shared" si="2"/>
        <v>
</v>
      </c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0"/>
      <c r="B863" s="12"/>
      <c r="C863" s="12"/>
      <c r="D863" s="23"/>
      <c r="E863" s="12"/>
      <c r="F863" s="12"/>
      <c r="G863" s="12"/>
      <c r="H863" s="12"/>
      <c r="I863" s="23"/>
      <c r="J863" s="12"/>
      <c r="K863" s="23"/>
      <c r="L863" s="24"/>
      <c r="M863" s="39"/>
      <c r="N863" s="26" t="str">
        <f t="shared" si="2"/>
        <v>
</v>
      </c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0"/>
      <c r="B864" s="12"/>
      <c r="C864" s="12"/>
      <c r="D864" s="23"/>
      <c r="E864" s="12"/>
      <c r="F864" s="12"/>
      <c r="G864" s="12"/>
      <c r="H864" s="12"/>
      <c r="I864" s="23"/>
      <c r="J864" s="12"/>
      <c r="K864" s="23"/>
      <c r="L864" s="24"/>
      <c r="M864" s="12"/>
      <c r="N864" s="26" t="str">
        <f t="shared" si="2"/>
        <v>
</v>
      </c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0"/>
      <c r="B865" s="12"/>
      <c r="C865" s="12"/>
      <c r="D865" s="23"/>
      <c r="E865" s="12"/>
      <c r="F865" s="12"/>
      <c r="G865" s="12"/>
      <c r="H865" s="12"/>
      <c r="I865" s="23"/>
      <c r="J865" s="12"/>
      <c r="K865" s="23"/>
      <c r="L865" s="24"/>
      <c r="M865" s="12"/>
      <c r="N865" s="26" t="str">
        <f t="shared" si="2"/>
        <v>
</v>
      </c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0"/>
      <c r="B866" s="12"/>
      <c r="C866" s="12"/>
      <c r="D866" s="23"/>
      <c r="E866" s="12"/>
      <c r="F866" s="12"/>
      <c r="G866" s="12"/>
      <c r="H866" s="12"/>
      <c r="I866" s="23"/>
      <c r="J866" s="12"/>
      <c r="K866" s="23"/>
      <c r="L866" s="24"/>
      <c r="M866" s="12"/>
      <c r="N866" s="26" t="str">
        <f t="shared" si="2"/>
        <v>
</v>
      </c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0"/>
      <c r="B867" s="12"/>
      <c r="C867" s="12"/>
      <c r="D867" s="23"/>
      <c r="E867" s="12"/>
      <c r="F867" s="12"/>
      <c r="G867" s="12"/>
      <c r="H867" s="12"/>
      <c r="I867" s="23"/>
      <c r="J867" s="12"/>
      <c r="K867" s="23"/>
      <c r="L867" s="24"/>
      <c r="M867" s="12"/>
      <c r="N867" s="26" t="str">
        <f t="shared" si="2"/>
        <v>
</v>
      </c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0"/>
      <c r="B868" s="12"/>
      <c r="C868" s="12"/>
      <c r="D868" s="47"/>
      <c r="E868" s="12"/>
      <c r="F868" s="12"/>
      <c r="G868" s="12"/>
      <c r="H868" s="12"/>
      <c r="I868" s="23"/>
      <c r="J868" s="12"/>
      <c r="K868" s="23"/>
      <c r="L868" s="24"/>
      <c r="M868" s="12"/>
      <c r="N868" s="26" t="str">
        <f t="shared" si="2"/>
        <v>
</v>
      </c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0"/>
      <c r="B869" s="12"/>
      <c r="C869" s="12"/>
      <c r="D869" s="23"/>
      <c r="E869" s="12"/>
      <c r="F869" s="12"/>
      <c r="G869" s="12"/>
      <c r="H869" s="12"/>
      <c r="I869" s="23"/>
      <c r="J869" s="12"/>
      <c r="K869" s="23"/>
      <c r="L869" s="24"/>
      <c r="M869" s="12"/>
      <c r="N869" s="26" t="str">
        <f t="shared" si="2"/>
        <v>
</v>
      </c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0"/>
      <c r="B870" s="12"/>
      <c r="C870" s="12"/>
      <c r="D870" s="23"/>
      <c r="E870" s="12"/>
      <c r="F870" s="12"/>
      <c r="G870" s="12"/>
      <c r="H870" s="12"/>
      <c r="I870" s="23"/>
      <c r="J870" s="12"/>
      <c r="K870" s="23"/>
      <c r="L870" s="24"/>
      <c r="M870" s="12"/>
      <c r="N870" s="26" t="str">
        <f t="shared" si="2"/>
        <v>
</v>
      </c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0"/>
      <c r="B871" s="12"/>
      <c r="C871" s="12"/>
      <c r="D871" s="23"/>
      <c r="E871" s="12"/>
      <c r="F871" s="12"/>
      <c r="G871" s="12"/>
      <c r="H871" s="12"/>
      <c r="I871" s="23"/>
      <c r="J871" s="12"/>
      <c r="K871" s="23"/>
      <c r="L871" s="24"/>
      <c r="M871" s="12"/>
      <c r="N871" s="26" t="str">
        <f t="shared" si="2"/>
        <v>
</v>
      </c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0"/>
      <c r="B872" s="12"/>
      <c r="C872" s="12"/>
      <c r="D872" s="23"/>
      <c r="E872" s="12"/>
      <c r="F872" s="12"/>
      <c r="G872" s="12"/>
      <c r="H872" s="12"/>
      <c r="I872" s="23"/>
      <c r="J872" s="12"/>
      <c r="K872" s="23"/>
      <c r="L872" s="24"/>
      <c r="M872" s="12"/>
      <c r="N872" s="26" t="str">
        <f t="shared" si="2"/>
        <v>
</v>
      </c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0"/>
      <c r="B873" s="12"/>
      <c r="C873" s="12"/>
      <c r="D873" s="23"/>
      <c r="E873" s="12"/>
      <c r="F873" s="12"/>
      <c r="G873" s="12"/>
      <c r="H873" s="12"/>
      <c r="I873" s="23"/>
      <c r="J873" s="12"/>
      <c r="K873" s="23"/>
      <c r="L873" s="24"/>
      <c r="M873" s="12"/>
      <c r="N873" s="26" t="str">
        <f t="shared" si="2"/>
        <v>
</v>
      </c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0"/>
      <c r="B874" s="12"/>
      <c r="C874" s="12"/>
      <c r="D874" s="23"/>
      <c r="E874" s="12"/>
      <c r="F874" s="12"/>
      <c r="G874" s="12"/>
      <c r="H874" s="12"/>
      <c r="I874" s="23"/>
      <c r="J874" s="12"/>
      <c r="K874" s="23"/>
      <c r="L874" s="24"/>
      <c r="M874" s="12"/>
      <c r="N874" s="26" t="str">
        <f t="shared" si="2"/>
        <v>
</v>
      </c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0"/>
      <c r="B875" s="12"/>
      <c r="C875" s="12"/>
      <c r="D875" s="23"/>
      <c r="E875" s="12"/>
      <c r="F875" s="12"/>
      <c r="G875" s="12"/>
      <c r="H875" s="12"/>
      <c r="I875" s="23"/>
      <c r="J875" s="12"/>
      <c r="K875" s="23"/>
      <c r="L875" s="24"/>
      <c r="M875" s="12"/>
      <c r="N875" s="26" t="str">
        <f t="shared" si="2"/>
        <v>
</v>
      </c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0"/>
      <c r="B876" s="12"/>
      <c r="C876" s="12"/>
      <c r="D876" s="23"/>
      <c r="E876" s="12"/>
      <c r="F876" s="12"/>
      <c r="G876" s="12"/>
      <c r="H876" s="12"/>
      <c r="I876" s="23"/>
      <c r="J876" s="12"/>
      <c r="K876" s="23"/>
      <c r="L876" s="24"/>
      <c r="M876" s="12"/>
      <c r="N876" s="26" t="str">
        <f t="shared" si="2"/>
        <v>
</v>
      </c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0"/>
      <c r="B877" s="12"/>
      <c r="C877" s="12"/>
      <c r="D877" s="23"/>
      <c r="E877" s="12"/>
      <c r="F877" s="12"/>
      <c r="G877" s="22"/>
      <c r="H877" s="12"/>
      <c r="I877" s="23"/>
      <c r="J877" s="12"/>
      <c r="K877" s="23"/>
      <c r="L877" s="24"/>
      <c r="M877" s="12"/>
      <c r="N877" s="26" t="str">
        <f t="shared" si="2"/>
        <v>
</v>
      </c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0"/>
      <c r="B878" s="12"/>
      <c r="C878" s="12"/>
      <c r="D878" s="35"/>
      <c r="E878" s="22"/>
      <c r="F878" s="12"/>
      <c r="G878" s="12"/>
      <c r="H878" s="12"/>
      <c r="I878" s="23"/>
      <c r="J878" s="12"/>
      <c r="K878" s="23"/>
      <c r="L878" s="24"/>
      <c r="M878" s="12"/>
      <c r="N878" s="26" t="str">
        <f t="shared" si="2"/>
        <v>
</v>
      </c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0"/>
      <c r="B879" s="12"/>
      <c r="C879" s="12"/>
      <c r="D879" s="35"/>
      <c r="E879" s="22"/>
      <c r="F879" s="12"/>
      <c r="G879" s="12"/>
      <c r="H879" s="12"/>
      <c r="I879" s="23"/>
      <c r="J879" s="12"/>
      <c r="K879" s="23"/>
      <c r="L879" s="24"/>
      <c r="M879" s="12"/>
      <c r="N879" s="26" t="str">
        <f t="shared" si="2"/>
        <v>
</v>
      </c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0"/>
      <c r="B880" s="12"/>
      <c r="C880" s="12"/>
      <c r="D880" s="35"/>
      <c r="E880" s="22"/>
      <c r="F880" s="12"/>
      <c r="G880" s="12"/>
      <c r="H880" s="12"/>
      <c r="I880" s="23"/>
      <c r="J880" s="12"/>
      <c r="K880" s="23"/>
      <c r="L880" s="24"/>
      <c r="M880" s="12"/>
      <c r="N880" s="26" t="str">
        <f t="shared" si="2"/>
        <v>
</v>
      </c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0"/>
      <c r="B881" s="12"/>
      <c r="C881" s="12"/>
      <c r="D881" s="35"/>
      <c r="E881" s="22"/>
      <c r="F881" s="12"/>
      <c r="G881" s="12"/>
      <c r="H881" s="12"/>
      <c r="I881" s="23"/>
      <c r="J881" s="12"/>
      <c r="K881" s="23"/>
      <c r="L881" s="24"/>
      <c r="M881" s="12"/>
      <c r="N881" s="26" t="str">
        <f t="shared" si="2"/>
        <v>
</v>
      </c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0"/>
      <c r="B882" s="12"/>
      <c r="C882" s="12"/>
      <c r="D882" s="35"/>
      <c r="E882" s="22"/>
      <c r="F882" s="12"/>
      <c r="G882" s="12"/>
      <c r="H882" s="12"/>
      <c r="I882" s="23"/>
      <c r="J882" s="12"/>
      <c r="K882" s="23"/>
      <c r="L882" s="24"/>
      <c r="M882" s="12"/>
      <c r="N882" s="26" t="str">
        <f t="shared" si="2"/>
        <v>
</v>
      </c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0"/>
      <c r="B883" s="12"/>
      <c r="C883" s="12"/>
      <c r="D883" s="23"/>
      <c r="E883" s="22"/>
      <c r="F883" s="12"/>
      <c r="G883" s="12"/>
      <c r="H883" s="12"/>
      <c r="I883" s="23"/>
      <c r="J883" s="12"/>
      <c r="K883" s="23"/>
      <c r="L883" s="24"/>
      <c r="M883" s="12"/>
      <c r="N883" s="26" t="str">
        <f t="shared" si="2"/>
        <v>
</v>
      </c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0"/>
      <c r="B884" s="12"/>
      <c r="C884" s="12"/>
      <c r="D884" s="35"/>
      <c r="E884" s="22"/>
      <c r="F884" s="12"/>
      <c r="G884" s="22"/>
      <c r="H884" s="12"/>
      <c r="I884" s="23"/>
      <c r="J884" s="12"/>
      <c r="K884" s="23"/>
      <c r="L884" s="24"/>
      <c r="M884" s="12"/>
      <c r="N884" s="26" t="str">
        <f t="shared" si="2"/>
        <v>
</v>
      </c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0"/>
      <c r="B885" s="12"/>
      <c r="C885" s="12"/>
      <c r="D885" s="23"/>
      <c r="E885" s="12"/>
      <c r="F885" s="12"/>
      <c r="G885" s="12"/>
      <c r="H885" s="12"/>
      <c r="I885" s="23"/>
      <c r="J885" s="12"/>
      <c r="K885" s="23"/>
      <c r="L885" s="24"/>
      <c r="M885" s="12"/>
      <c r="N885" s="26" t="str">
        <f t="shared" si="2"/>
        <v>
</v>
      </c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0"/>
      <c r="B886" s="12"/>
      <c r="C886" s="12"/>
      <c r="D886" s="23"/>
      <c r="E886" s="12"/>
      <c r="F886" s="12"/>
      <c r="G886" s="12"/>
      <c r="H886" s="12"/>
      <c r="I886" s="23"/>
      <c r="J886" s="12"/>
      <c r="K886" s="23"/>
      <c r="L886" s="24"/>
      <c r="M886" s="12"/>
      <c r="N886" s="26" t="str">
        <f t="shared" si="2"/>
        <v>
</v>
      </c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0"/>
      <c r="B887" s="12"/>
      <c r="C887" s="12"/>
      <c r="D887" s="35"/>
      <c r="E887" s="22"/>
      <c r="F887" s="12"/>
      <c r="G887" s="12"/>
      <c r="H887" s="12"/>
      <c r="I887" s="35"/>
      <c r="J887" s="12"/>
      <c r="K887" s="23"/>
      <c r="L887" s="24"/>
      <c r="M887" s="12"/>
      <c r="N887" s="26" t="str">
        <f t="shared" si="2"/>
        <v>
</v>
      </c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0"/>
      <c r="B888" s="12"/>
      <c r="C888" s="12"/>
      <c r="D888" s="35"/>
      <c r="E888" s="22"/>
      <c r="F888" s="12"/>
      <c r="G888" s="22"/>
      <c r="H888" s="12"/>
      <c r="I888" s="35"/>
      <c r="J888" s="12"/>
      <c r="K888" s="23"/>
      <c r="L888" s="24"/>
      <c r="M888" s="12"/>
      <c r="N888" s="26" t="str">
        <f t="shared" si="2"/>
        <v>
</v>
      </c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0"/>
      <c r="B889" s="12"/>
      <c r="C889" s="12"/>
      <c r="D889" s="35"/>
      <c r="E889" s="22"/>
      <c r="F889" s="12"/>
      <c r="G889" s="22"/>
      <c r="H889" s="12"/>
      <c r="I889" s="35"/>
      <c r="J889" s="12"/>
      <c r="K889" s="23"/>
      <c r="L889" s="24"/>
      <c r="M889" s="12"/>
      <c r="N889" s="26" t="str">
        <f t="shared" si="2"/>
        <v>
</v>
      </c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0"/>
      <c r="B890" s="12"/>
      <c r="C890" s="12"/>
      <c r="D890" s="35"/>
      <c r="E890" s="22"/>
      <c r="F890" s="12"/>
      <c r="G890" s="12"/>
      <c r="H890" s="12"/>
      <c r="I890" s="23"/>
      <c r="J890" s="12"/>
      <c r="K890" s="23"/>
      <c r="L890" s="24"/>
      <c r="M890" s="12"/>
      <c r="N890" s="26" t="str">
        <f t="shared" si="2"/>
        <v>
</v>
      </c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0"/>
      <c r="B891" s="12"/>
      <c r="C891" s="12"/>
      <c r="D891" s="23"/>
      <c r="E891" s="22"/>
      <c r="F891" s="12"/>
      <c r="G891" s="12"/>
      <c r="H891" s="12"/>
      <c r="I891" s="23"/>
      <c r="J891" s="12"/>
      <c r="K891" s="23"/>
      <c r="L891" s="24"/>
      <c r="M891" s="12"/>
      <c r="N891" s="26" t="str">
        <f t="shared" si="2"/>
        <v>
</v>
      </c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0"/>
      <c r="B892" s="12"/>
      <c r="C892" s="12"/>
      <c r="D892" s="35"/>
      <c r="E892" s="22"/>
      <c r="F892" s="12"/>
      <c r="G892" s="12"/>
      <c r="H892" s="12"/>
      <c r="I892" s="23"/>
      <c r="J892" s="12"/>
      <c r="K892" s="23"/>
      <c r="L892" s="24"/>
      <c r="M892" s="12"/>
      <c r="N892" s="26" t="str">
        <f t="shared" si="2"/>
        <v>
</v>
      </c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0"/>
      <c r="B893" s="12"/>
      <c r="C893" s="12"/>
      <c r="D893" s="35"/>
      <c r="E893" s="22"/>
      <c r="F893" s="12"/>
      <c r="G893" s="12"/>
      <c r="H893" s="12"/>
      <c r="I893" s="35"/>
      <c r="J893" s="12"/>
      <c r="K893" s="23"/>
      <c r="L893" s="24"/>
      <c r="M893" s="12"/>
      <c r="N893" s="26" t="str">
        <f t="shared" si="2"/>
        <v>
</v>
      </c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0"/>
      <c r="B894" s="12"/>
      <c r="C894" s="12"/>
      <c r="D894" s="23"/>
      <c r="E894" s="12"/>
      <c r="F894" s="12"/>
      <c r="G894" s="12"/>
      <c r="H894" s="12"/>
      <c r="I894" s="23"/>
      <c r="J894" s="12"/>
      <c r="K894" s="23"/>
      <c r="L894" s="24"/>
      <c r="M894" s="12"/>
      <c r="N894" s="26" t="str">
        <f t="shared" si="2"/>
        <v>
</v>
      </c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0"/>
      <c r="B895" s="12"/>
      <c r="C895" s="12"/>
      <c r="D895" s="23"/>
      <c r="E895" s="22"/>
      <c r="F895" s="12"/>
      <c r="G895" s="22"/>
      <c r="H895" s="12"/>
      <c r="I895" s="23"/>
      <c r="J895" s="12"/>
      <c r="K895" s="23"/>
      <c r="L895" s="24"/>
      <c r="M895" s="12"/>
      <c r="N895" s="26" t="str">
        <f t="shared" si="2"/>
        <v>
</v>
      </c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0"/>
      <c r="B896" s="12"/>
      <c r="C896" s="12"/>
      <c r="D896" s="47"/>
      <c r="E896" s="12"/>
      <c r="F896" s="12"/>
      <c r="G896" s="12"/>
      <c r="H896" s="12"/>
      <c r="I896" s="23"/>
      <c r="J896" s="12"/>
      <c r="K896" s="23"/>
      <c r="L896" s="24"/>
      <c r="M896" s="12"/>
      <c r="N896" s="26" t="str">
        <f t="shared" si="2"/>
        <v>
</v>
      </c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0"/>
      <c r="B897" s="12"/>
      <c r="C897" s="12"/>
      <c r="D897" s="23"/>
      <c r="E897" s="22"/>
      <c r="F897" s="12"/>
      <c r="G897" s="12"/>
      <c r="H897" s="12"/>
      <c r="I897" s="23"/>
      <c r="J897" s="12"/>
      <c r="K897" s="23"/>
      <c r="L897" s="24"/>
      <c r="M897" s="12"/>
      <c r="N897" s="26" t="str">
        <f t="shared" si="2"/>
        <v>
</v>
      </c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0"/>
      <c r="B898" s="12"/>
      <c r="C898" s="12"/>
      <c r="D898" s="23"/>
      <c r="E898" s="22"/>
      <c r="F898" s="12"/>
      <c r="G898" s="12"/>
      <c r="H898" s="12"/>
      <c r="I898" s="23"/>
      <c r="J898" s="12"/>
      <c r="K898" s="23"/>
      <c r="L898" s="24"/>
      <c r="M898" s="12"/>
      <c r="N898" s="26" t="str">
        <f t="shared" si="2"/>
        <v>
</v>
      </c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0"/>
      <c r="B899" s="12"/>
      <c r="C899" s="12"/>
      <c r="D899" s="23"/>
      <c r="E899" s="22"/>
      <c r="F899" s="12"/>
      <c r="G899" s="12"/>
      <c r="H899" s="12"/>
      <c r="I899" s="23"/>
      <c r="J899" s="12"/>
      <c r="K899" s="35"/>
      <c r="L899" s="24"/>
      <c r="M899" s="12"/>
      <c r="N899" s="26" t="str">
        <f t="shared" si="2"/>
        <v>
</v>
      </c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0"/>
      <c r="B900" s="12"/>
      <c r="C900" s="12"/>
      <c r="D900" s="23"/>
      <c r="E900" s="22"/>
      <c r="F900" s="12"/>
      <c r="G900" s="12"/>
      <c r="H900" s="12"/>
      <c r="I900" s="23"/>
      <c r="J900" s="12"/>
      <c r="K900" s="23"/>
      <c r="L900" s="24"/>
      <c r="M900" s="12"/>
      <c r="N900" s="26" t="str">
        <f t="shared" si="2"/>
        <v>
</v>
      </c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0"/>
      <c r="B901" s="12"/>
      <c r="C901" s="12"/>
      <c r="D901" s="23"/>
      <c r="E901" s="22"/>
      <c r="F901" s="12"/>
      <c r="G901" s="12"/>
      <c r="H901" s="12"/>
      <c r="I901" s="23"/>
      <c r="J901" s="12"/>
      <c r="K901" s="23"/>
      <c r="L901" s="24"/>
      <c r="M901" s="12"/>
      <c r="N901" s="26" t="str">
        <f t="shared" si="2"/>
        <v>
</v>
      </c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0"/>
      <c r="B902" s="12"/>
      <c r="C902" s="12"/>
      <c r="D902" s="23"/>
      <c r="E902" s="22"/>
      <c r="F902" s="12"/>
      <c r="G902" s="12"/>
      <c r="H902" s="12"/>
      <c r="I902" s="35"/>
      <c r="J902" s="12"/>
      <c r="K902" s="23"/>
      <c r="L902" s="24"/>
      <c r="M902" s="12"/>
      <c r="N902" s="26" t="str">
        <f t="shared" si="2"/>
        <v>
</v>
      </c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0"/>
      <c r="B903" s="12"/>
      <c r="C903" s="12"/>
      <c r="D903" s="23"/>
      <c r="E903" s="12"/>
      <c r="F903" s="12"/>
      <c r="G903" s="12"/>
      <c r="H903" s="12"/>
      <c r="I903" s="23"/>
      <c r="J903" s="12"/>
      <c r="K903" s="23"/>
      <c r="L903" s="24"/>
      <c r="M903" s="12"/>
      <c r="N903" s="26" t="str">
        <f t="shared" si="2"/>
        <v>
</v>
      </c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0"/>
      <c r="B904" s="12"/>
      <c r="C904" s="12"/>
      <c r="D904" s="23"/>
      <c r="E904" s="12"/>
      <c r="F904" s="12"/>
      <c r="G904" s="22"/>
      <c r="H904" s="12"/>
      <c r="I904" s="23"/>
      <c r="J904" s="12"/>
      <c r="K904" s="23"/>
      <c r="L904" s="24"/>
      <c r="M904" s="12"/>
      <c r="N904" s="26" t="str">
        <f t="shared" si="2"/>
        <v>
</v>
      </c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0"/>
      <c r="B905" s="12"/>
      <c r="C905" s="12"/>
      <c r="D905" s="23"/>
      <c r="E905" s="12"/>
      <c r="F905" s="12"/>
      <c r="G905" s="12"/>
      <c r="H905" s="12"/>
      <c r="I905" s="23"/>
      <c r="J905" s="12"/>
      <c r="K905" s="23"/>
      <c r="L905" s="24"/>
      <c r="M905" s="12"/>
      <c r="N905" s="26" t="str">
        <f t="shared" si="2"/>
        <v>
</v>
      </c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0"/>
      <c r="B906" s="12"/>
      <c r="C906" s="12"/>
      <c r="D906" s="35"/>
      <c r="E906" s="22"/>
      <c r="F906" s="12"/>
      <c r="G906" s="22"/>
      <c r="H906" s="12"/>
      <c r="I906" s="23"/>
      <c r="J906" s="12"/>
      <c r="K906" s="23"/>
      <c r="L906" s="24"/>
      <c r="M906" s="12"/>
      <c r="N906" s="26" t="str">
        <f t="shared" si="2"/>
        <v>
</v>
      </c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0"/>
      <c r="B907" s="12"/>
      <c r="C907" s="12"/>
      <c r="D907" s="35"/>
      <c r="E907" s="22"/>
      <c r="F907" s="12"/>
      <c r="G907" s="12"/>
      <c r="H907" s="12"/>
      <c r="I907" s="23"/>
      <c r="J907" s="12"/>
      <c r="K907" s="23"/>
      <c r="L907" s="24"/>
      <c r="M907" s="12"/>
      <c r="N907" s="26" t="str">
        <f t="shared" si="2"/>
        <v>
</v>
      </c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0"/>
      <c r="B908" s="12"/>
      <c r="C908" s="12"/>
      <c r="D908" s="35"/>
      <c r="E908" s="22"/>
      <c r="F908" s="12"/>
      <c r="G908" s="12"/>
      <c r="H908" s="12"/>
      <c r="I908" s="23"/>
      <c r="J908" s="12"/>
      <c r="K908" s="23"/>
      <c r="L908" s="24"/>
      <c r="M908" s="12"/>
      <c r="N908" s="26" t="str">
        <f t="shared" si="2"/>
        <v>
</v>
      </c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0"/>
      <c r="B909" s="12"/>
      <c r="C909" s="12"/>
      <c r="D909" s="35"/>
      <c r="E909" s="22"/>
      <c r="F909" s="12"/>
      <c r="G909" s="22"/>
      <c r="H909" s="12"/>
      <c r="I909" s="35"/>
      <c r="J909" s="22"/>
      <c r="K909" s="35"/>
      <c r="L909" s="24"/>
      <c r="M909" s="12"/>
      <c r="N909" s="26" t="str">
        <f t="shared" si="2"/>
        <v>
</v>
      </c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0"/>
      <c r="B910" s="12"/>
      <c r="C910" s="12"/>
      <c r="D910" s="23"/>
      <c r="E910" s="12"/>
      <c r="F910" s="12"/>
      <c r="G910" s="12"/>
      <c r="H910" s="12"/>
      <c r="I910" s="23"/>
      <c r="J910" s="12"/>
      <c r="K910" s="23"/>
      <c r="L910" s="24"/>
      <c r="M910" s="12"/>
      <c r="N910" s="26" t="str">
        <f t="shared" si="2"/>
        <v>
</v>
      </c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0"/>
      <c r="B911" s="12"/>
      <c r="C911" s="12"/>
      <c r="D911" s="23"/>
      <c r="E911" s="12"/>
      <c r="F911" s="12"/>
      <c r="G911" s="12"/>
      <c r="H911" s="12"/>
      <c r="I911" s="23"/>
      <c r="J911" s="12"/>
      <c r="K911" s="23"/>
      <c r="L911" s="24"/>
      <c r="M911" s="12"/>
      <c r="N911" s="26" t="str">
        <f t="shared" si="2"/>
        <v>
</v>
      </c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0"/>
      <c r="B912" s="12"/>
      <c r="C912" s="12"/>
      <c r="D912" s="35"/>
      <c r="E912" s="22"/>
      <c r="F912" s="12"/>
      <c r="G912" s="12"/>
      <c r="H912" s="12"/>
      <c r="I912" s="23"/>
      <c r="J912" s="12"/>
      <c r="K912" s="23"/>
      <c r="L912" s="24"/>
      <c r="M912" s="12"/>
      <c r="N912" s="26" t="str">
        <f t="shared" si="2"/>
        <v>
</v>
      </c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0"/>
      <c r="B913" s="12"/>
      <c r="C913" s="12"/>
      <c r="D913" s="35"/>
      <c r="E913" s="22"/>
      <c r="F913" s="12"/>
      <c r="G913" s="12"/>
      <c r="H913" s="12"/>
      <c r="I913" s="23"/>
      <c r="J913" s="12"/>
      <c r="K913" s="23"/>
      <c r="L913" s="24"/>
      <c r="M913" s="12"/>
      <c r="N913" s="26" t="str">
        <f t="shared" si="2"/>
        <v>
</v>
      </c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0"/>
      <c r="B914" s="12"/>
      <c r="C914" s="12"/>
      <c r="D914" s="23"/>
      <c r="E914" s="12"/>
      <c r="F914" s="12"/>
      <c r="G914" s="12"/>
      <c r="H914" s="12"/>
      <c r="I914" s="23"/>
      <c r="J914" s="12"/>
      <c r="K914" s="23"/>
      <c r="L914" s="24"/>
      <c r="M914" s="12"/>
      <c r="N914" s="26" t="str">
        <f t="shared" si="2"/>
        <v>
</v>
      </c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0"/>
      <c r="B915" s="12"/>
      <c r="C915" s="12"/>
      <c r="D915" s="23"/>
      <c r="E915" s="12"/>
      <c r="F915" s="12"/>
      <c r="G915" s="12"/>
      <c r="H915" s="12"/>
      <c r="I915" s="23"/>
      <c r="J915" s="12"/>
      <c r="K915" s="23"/>
      <c r="L915" s="24"/>
      <c r="M915" s="12"/>
      <c r="N915" s="26" t="str">
        <f t="shared" si="2"/>
        <v>
</v>
      </c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0"/>
      <c r="B916" s="12"/>
      <c r="C916" s="12"/>
      <c r="D916" s="23"/>
      <c r="E916" s="12"/>
      <c r="F916" s="12"/>
      <c r="G916" s="12"/>
      <c r="H916" s="12"/>
      <c r="I916" s="23"/>
      <c r="J916" s="12"/>
      <c r="K916" s="23"/>
      <c r="L916" s="24"/>
      <c r="M916" s="12"/>
      <c r="N916" s="26" t="str">
        <f t="shared" si="2"/>
        <v>
</v>
      </c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0"/>
      <c r="B917" s="73"/>
      <c r="C917" s="73"/>
      <c r="D917" s="95"/>
      <c r="E917" s="73"/>
      <c r="F917" s="73"/>
      <c r="G917" s="73"/>
      <c r="H917" s="73"/>
      <c r="I917" s="95"/>
      <c r="J917" s="73"/>
      <c r="K917" s="95"/>
      <c r="L917" s="24"/>
      <c r="M917" s="12"/>
      <c r="N917" s="26" t="str">
        <f t="shared" si="2"/>
        <v>
</v>
      </c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0"/>
      <c r="B918" s="12"/>
      <c r="C918" s="12"/>
      <c r="D918" s="23"/>
      <c r="E918" s="12"/>
      <c r="F918" s="12"/>
      <c r="G918" s="12"/>
      <c r="H918" s="12"/>
      <c r="I918" s="23"/>
      <c r="J918" s="12"/>
      <c r="K918" s="23"/>
      <c r="L918" s="24"/>
      <c r="M918" s="12"/>
      <c r="N918" s="26" t="str">
        <f t="shared" si="2"/>
        <v>
</v>
      </c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0"/>
      <c r="B919" s="12"/>
      <c r="C919" s="12"/>
      <c r="D919" s="35"/>
      <c r="E919" s="22"/>
      <c r="F919" s="12"/>
      <c r="G919" s="12"/>
      <c r="H919" s="12"/>
      <c r="I919" s="23"/>
      <c r="J919" s="12"/>
      <c r="K919" s="23"/>
      <c r="L919" s="24"/>
      <c r="M919" s="12"/>
      <c r="N919" s="26" t="str">
        <f t="shared" si="2"/>
        <v>
</v>
      </c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0"/>
      <c r="B920" s="12"/>
      <c r="C920" s="12"/>
      <c r="D920" s="23"/>
      <c r="E920" s="12"/>
      <c r="F920" s="12"/>
      <c r="G920" s="12"/>
      <c r="H920" s="12"/>
      <c r="I920" s="23"/>
      <c r="J920" s="12"/>
      <c r="K920" s="23"/>
      <c r="L920" s="24"/>
      <c r="M920" s="12"/>
      <c r="N920" s="26" t="str">
        <f t="shared" si="2"/>
        <v>
</v>
      </c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0"/>
      <c r="B921" s="12"/>
      <c r="C921" s="12"/>
      <c r="D921" s="23"/>
      <c r="E921" s="12"/>
      <c r="F921" s="12"/>
      <c r="G921" s="12"/>
      <c r="H921" s="12"/>
      <c r="I921" s="23"/>
      <c r="J921" s="12"/>
      <c r="K921" s="23"/>
      <c r="L921" s="24"/>
      <c r="M921" s="12"/>
      <c r="N921" s="26" t="str">
        <f t="shared" si="2"/>
        <v>
</v>
      </c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0"/>
      <c r="B922" s="12"/>
      <c r="C922" s="12"/>
      <c r="D922" s="23"/>
      <c r="E922" s="12"/>
      <c r="F922" s="12"/>
      <c r="G922" s="22"/>
      <c r="H922" s="12"/>
      <c r="I922" s="35"/>
      <c r="J922" s="12"/>
      <c r="K922" s="23"/>
      <c r="L922" s="24"/>
      <c r="M922" s="12"/>
      <c r="N922" s="26" t="str">
        <f t="shared" si="2"/>
        <v>
</v>
      </c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0"/>
      <c r="B923" s="12"/>
      <c r="C923" s="12"/>
      <c r="D923" s="35"/>
      <c r="E923" s="22"/>
      <c r="F923" s="12"/>
      <c r="G923" s="12"/>
      <c r="H923" s="12"/>
      <c r="I923" s="23"/>
      <c r="J923" s="12"/>
      <c r="K923" s="23"/>
      <c r="L923" s="24"/>
      <c r="M923" s="12"/>
      <c r="N923" s="26" t="str">
        <f t="shared" si="2"/>
        <v>
</v>
      </c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0"/>
      <c r="B924" s="12"/>
      <c r="C924" s="12"/>
      <c r="D924" s="35"/>
      <c r="E924" s="22"/>
      <c r="F924" s="12"/>
      <c r="G924" s="12"/>
      <c r="H924" s="12"/>
      <c r="I924" s="23"/>
      <c r="J924" s="12"/>
      <c r="K924" s="23"/>
      <c r="L924" s="24"/>
      <c r="M924" s="12"/>
      <c r="N924" s="26" t="str">
        <f t="shared" si="2"/>
        <v>
</v>
      </c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0"/>
      <c r="B925" s="12"/>
      <c r="C925" s="12"/>
      <c r="D925" s="35"/>
      <c r="E925" s="22"/>
      <c r="F925" s="12"/>
      <c r="G925" s="12"/>
      <c r="H925" s="12"/>
      <c r="I925" s="23"/>
      <c r="J925" s="12"/>
      <c r="K925" s="23"/>
      <c r="L925" s="24"/>
      <c r="M925" s="12"/>
      <c r="N925" s="26" t="str">
        <f t="shared" si="2"/>
        <v>
</v>
      </c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0"/>
      <c r="B926" s="12"/>
      <c r="C926" s="12"/>
      <c r="D926" s="23"/>
      <c r="E926" s="12"/>
      <c r="F926" s="12"/>
      <c r="G926" s="12"/>
      <c r="H926" s="12"/>
      <c r="I926" s="23"/>
      <c r="J926" s="12"/>
      <c r="K926" s="23"/>
      <c r="L926" s="24"/>
      <c r="M926" s="12"/>
      <c r="N926" s="26" t="str">
        <f t="shared" si="2"/>
        <v>
</v>
      </c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0"/>
      <c r="B927" s="12"/>
      <c r="C927" s="12"/>
      <c r="D927" s="23"/>
      <c r="E927" s="12"/>
      <c r="F927" s="12"/>
      <c r="G927" s="12"/>
      <c r="H927" s="12"/>
      <c r="I927" s="23"/>
      <c r="J927" s="12"/>
      <c r="K927" s="23"/>
      <c r="L927" s="24"/>
      <c r="M927" s="12"/>
      <c r="N927" s="26" t="str">
        <f t="shared" si="2"/>
        <v>
</v>
      </c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0"/>
      <c r="B928" s="12"/>
      <c r="C928" s="12"/>
      <c r="D928" s="23"/>
      <c r="E928" s="12"/>
      <c r="F928" s="12"/>
      <c r="G928" s="12"/>
      <c r="H928" s="12"/>
      <c r="I928" s="23"/>
      <c r="J928" s="12"/>
      <c r="K928" s="23"/>
      <c r="L928" s="24"/>
      <c r="M928" s="12"/>
      <c r="N928" s="26" t="str">
        <f t="shared" si="2"/>
        <v>
</v>
      </c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0"/>
      <c r="B929" s="12"/>
      <c r="C929" s="12"/>
      <c r="D929" s="35"/>
      <c r="E929" s="22"/>
      <c r="F929" s="12"/>
      <c r="G929" s="12"/>
      <c r="H929" s="12"/>
      <c r="I929" s="23"/>
      <c r="J929" s="12"/>
      <c r="K929" s="23"/>
      <c r="L929" s="24"/>
      <c r="M929" s="12"/>
      <c r="N929" s="26" t="str">
        <f t="shared" si="2"/>
        <v>
</v>
      </c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0"/>
      <c r="B930" s="12"/>
      <c r="C930" s="12"/>
      <c r="D930" s="23"/>
      <c r="E930" s="12"/>
      <c r="F930" s="12"/>
      <c r="G930" s="12"/>
      <c r="H930" s="12"/>
      <c r="I930" s="23"/>
      <c r="J930" s="12"/>
      <c r="K930" s="23"/>
      <c r="L930" s="24"/>
      <c r="M930" s="12"/>
      <c r="N930" s="26" t="str">
        <f t="shared" si="2"/>
        <v>
</v>
      </c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0"/>
      <c r="B931" s="12"/>
      <c r="C931" s="12"/>
      <c r="D931" s="23"/>
      <c r="E931" s="12"/>
      <c r="F931" s="12"/>
      <c r="G931" s="12"/>
      <c r="H931" s="12"/>
      <c r="I931" s="35"/>
      <c r="J931" s="12"/>
      <c r="K931" s="23"/>
      <c r="L931" s="24"/>
      <c r="M931" s="12"/>
      <c r="N931" s="26" t="str">
        <f t="shared" si="2"/>
        <v>
</v>
      </c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0"/>
      <c r="B932" s="12"/>
      <c r="C932" s="12"/>
      <c r="D932" s="23"/>
      <c r="E932" s="12"/>
      <c r="F932" s="12"/>
      <c r="G932" s="12"/>
      <c r="H932" s="12"/>
      <c r="I932" s="23"/>
      <c r="J932" s="12"/>
      <c r="K932" s="23"/>
      <c r="L932" s="24"/>
      <c r="M932" s="12"/>
      <c r="N932" s="26" t="str">
        <f t="shared" si="2"/>
        <v>
</v>
      </c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0"/>
      <c r="B933" s="12"/>
      <c r="C933" s="12"/>
      <c r="D933" s="35"/>
      <c r="E933" s="22"/>
      <c r="F933" s="12"/>
      <c r="G933" s="12"/>
      <c r="H933" s="12"/>
      <c r="I933" s="35"/>
      <c r="J933" s="12"/>
      <c r="K933" s="23"/>
      <c r="L933" s="24"/>
      <c r="M933" s="12"/>
      <c r="N933" s="26" t="str">
        <f t="shared" si="2"/>
        <v>
</v>
      </c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0"/>
      <c r="B934" s="12"/>
      <c r="C934" s="12"/>
      <c r="D934" s="23"/>
      <c r="E934" s="12"/>
      <c r="F934" s="12"/>
      <c r="G934" s="12"/>
      <c r="H934" s="12"/>
      <c r="I934" s="23"/>
      <c r="J934" s="12"/>
      <c r="K934" s="23"/>
      <c r="L934" s="24"/>
      <c r="M934" s="12"/>
      <c r="N934" s="26" t="str">
        <f t="shared" si="2"/>
        <v>
</v>
      </c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0"/>
      <c r="B935" s="12"/>
      <c r="C935" s="12"/>
      <c r="D935" s="23"/>
      <c r="E935" s="12"/>
      <c r="F935" s="12"/>
      <c r="G935" s="12"/>
      <c r="H935" s="12"/>
      <c r="I935" s="23"/>
      <c r="J935" s="12"/>
      <c r="K935" s="23"/>
      <c r="L935" s="24"/>
      <c r="M935" s="12"/>
      <c r="N935" s="26" t="str">
        <f t="shared" si="2"/>
        <v>
</v>
      </c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0"/>
      <c r="B936" s="12"/>
      <c r="C936" s="12"/>
      <c r="D936" s="35"/>
      <c r="E936" s="22"/>
      <c r="F936" s="12"/>
      <c r="G936" s="12"/>
      <c r="H936" s="12"/>
      <c r="I936" s="23"/>
      <c r="J936" s="12"/>
      <c r="K936" s="23"/>
      <c r="L936" s="24"/>
      <c r="M936" s="12"/>
      <c r="N936" s="26" t="str">
        <f t="shared" si="2"/>
        <v>
</v>
      </c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0"/>
      <c r="B937" s="12"/>
      <c r="C937" s="12"/>
      <c r="D937" s="35"/>
      <c r="E937" s="22"/>
      <c r="F937" s="12"/>
      <c r="G937" s="12"/>
      <c r="H937" s="12"/>
      <c r="I937" s="23"/>
      <c r="J937" s="12"/>
      <c r="K937" s="23"/>
      <c r="L937" s="24"/>
      <c r="M937" s="12"/>
      <c r="N937" s="26" t="str">
        <f t="shared" si="2"/>
        <v>
</v>
      </c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0"/>
      <c r="B938" s="12"/>
      <c r="C938" s="12"/>
      <c r="D938" s="23"/>
      <c r="E938" s="12"/>
      <c r="F938" s="12"/>
      <c r="G938" s="12"/>
      <c r="H938" s="12"/>
      <c r="I938" s="35"/>
      <c r="J938" s="12"/>
      <c r="K938" s="23"/>
      <c r="L938" s="24"/>
      <c r="M938" s="12"/>
      <c r="N938" s="26" t="str">
        <f t="shared" si="2"/>
        <v>
</v>
      </c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0"/>
      <c r="B939" s="12"/>
      <c r="C939" s="12"/>
      <c r="D939" s="47"/>
      <c r="E939" s="12"/>
      <c r="F939" s="12"/>
      <c r="G939" s="12"/>
      <c r="H939" s="12"/>
      <c r="I939" s="23"/>
      <c r="J939" s="12"/>
      <c r="K939" s="23"/>
      <c r="L939" s="24"/>
      <c r="M939" s="12"/>
      <c r="N939" s="26" t="str">
        <f t="shared" si="2"/>
        <v>
</v>
      </c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0"/>
      <c r="B940" s="12"/>
      <c r="C940" s="12"/>
      <c r="D940" s="35"/>
      <c r="E940" s="22"/>
      <c r="F940" s="12"/>
      <c r="G940" s="12"/>
      <c r="H940" s="12"/>
      <c r="I940" s="23"/>
      <c r="J940" s="12"/>
      <c r="K940" s="23"/>
      <c r="L940" s="24"/>
      <c r="M940" s="12"/>
      <c r="N940" s="26" t="str">
        <f t="shared" si="2"/>
        <v>
</v>
      </c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0"/>
      <c r="B941" s="12"/>
      <c r="C941" s="12"/>
      <c r="D941" s="47"/>
      <c r="E941" s="12"/>
      <c r="F941" s="12"/>
      <c r="G941" s="12"/>
      <c r="H941" s="12"/>
      <c r="I941" s="23"/>
      <c r="J941" s="12"/>
      <c r="K941" s="23"/>
      <c r="L941" s="24"/>
      <c r="M941" s="12"/>
      <c r="N941" s="26" t="str">
        <f t="shared" si="2"/>
        <v>
</v>
      </c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0"/>
      <c r="B942" s="12"/>
      <c r="C942" s="12"/>
      <c r="D942" s="35"/>
      <c r="E942" s="22"/>
      <c r="F942" s="12"/>
      <c r="G942" s="12"/>
      <c r="H942" s="12"/>
      <c r="I942" s="23"/>
      <c r="J942" s="12"/>
      <c r="K942" s="23"/>
      <c r="L942" s="24"/>
      <c r="M942" s="12"/>
      <c r="N942" s="26" t="str">
        <f t="shared" si="2"/>
        <v>
</v>
      </c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0"/>
      <c r="B943" s="12"/>
      <c r="C943" s="12"/>
      <c r="D943" s="23"/>
      <c r="E943" s="12"/>
      <c r="F943" s="12"/>
      <c r="G943" s="12"/>
      <c r="H943" s="12"/>
      <c r="I943" s="23"/>
      <c r="J943" s="12"/>
      <c r="K943" s="23"/>
      <c r="L943" s="24"/>
      <c r="M943" s="12"/>
      <c r="N943" s="26" t="str">
        <f t="shared" si="2"/>
        <v>
</v>
      </c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0"/>
      <c r="B944" s="12"/>
      <c r="C944" s="12"/>
      <c r="D944" s="23"/>
      <c r="E944" s="12"/>
      <c r="F944" s="12"/>
      <c r="G944" s="12"/>
      <c r="H944" s="12"/>
      <c r="I944" s="35"/>
      <c r="J944" s="12"/>
      <c r="K944" s="23"/>
      <c r="L944" s="24"/>
      <c r="M944" s="12"/>
      <c r="N944" s="26" t="str">
        <f t="shared" si="2"/>
        <v>
</v>
      </c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0"/>
      <c r="B945" s="12"/>
      <c r="C945" s="12"/>
      <c r="D945" s="35"/>
      <c r="E945" s="22"/>
      <c r="F945" s="12"/>
      <c r="G945" s="22"/>
      <c r="H945" s="12"/>
      <c r="I945" s="23"/>
      <c r="J945" s="12"/>
      <c r="K945" s="23"/>
      <c r="L945" s="24"/>
      <c r="M945" s="12"/>
      <c r="N945" s="26" t="str">
        <f t="shared" si="2"/>
        <v>
</v>
      </c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0"/>
      <c r="B946" s="12"/>
      <c r="C946" s="12"/>
      <c r="D946" s="35"/>
      <c r="E946" s="22"/>
      <c r="F946" s="12"/>
      <c r="G946" s="12"/>
      <c r="H946" s="12"/>
      <c r="I946" s="35"/>
      <c r="J946" s="12"/>
      <c r="K946" s="23"/>
      <c r="L946" s="24"/>
      <c r="M946" s="12"/>
      <c r="N946" s="26" t="str">
        <f t="shared" si="2"/>
        <v>
</v>
      </c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0"/>
      <c r="B947" s="12"/>
      <c r="C947" s="12"/>
      <c r="D947" s="23"/>
      <c r="E947" s="12"/>
      <c r="F947" s="12"/>
      <c r="G947" s="12"/>
      <c r="H947" s="12"/>
      <c r="I947" s="35"/>
      <c r="J947" s="12"/>
      <c r="K947" s="23"/>
      <c r="L947" s="24"/>
      <c r="M947" s="12"/>
      <c r="N947" s="26" t="str">
        <f t="shared" si="2"/>
        <v>
</v>
      </c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0"/>
      <c r="B948" s="12"/>
      <c r="C948" s="12"/>
      <c r="D948" s="23"/>
      <c r="E948" s="12"/>
      <c r="F948" s="12"/>
      <c r="G948" s="12"/>
      <c r="H948" s="12"/>
      <c r="I948" s="23"/>
      <c r="J948" s="12"/>
      <c r="K948" s="23"/>
      <c r="L948" s="24"/>
      <c r="M948" s="12"/>
      <c r="N948" s="26" t="str">
        <f t="shared" si="2"/>
        <v>
</v>
      </c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0"/>
      <c r="B949" s="12"/>
      <c r="C949" s="12"/>
      <c r="D949" s="23"/>
      <c r="E949" s="12"/>
      <c r="F949" s="12"/>
      <c r="G949" s="12"/>
      <c r="H949" s="12"/>
      <c r="I949" s="23"/>
      <c r="J949" s="12"/>
      <c r="K949" s="23"/>
      <c r="L949" s="24"/>
      <c r="M949" s="12"/>
      <c r="N949" s="26" t="str">
        <f t="shared" si="2"/>
        <v>
</v>
      </c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0"/>
      <c r="B950" s="12"/>
      <c r="C950" s="12"/>
      <c r="D950" s="23"/>
      <c r="E950" s="12"/>
      <c r="F950" s="12"/>
      <c r="G950" s="12"/>
      <c r="H950" s="12"/>
      <c r="I950" s="35"/>
      <c r="J950" s="12"/>
      <c r="K950" s="23"/>
      <c r="L950" s="24"/>
      <c r="M950" s="12"/>
      <c r="N950" s="26" t="str">
        <f t="shared" si="2"/>
        <v>
</v>
      </c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0"/>
      <c r="B951" s="12"/>
      <c r="C951" s="12"/>
      <c r="D951" s="23"/>
      <c r="E951" s="12"/>
      <c r="F951" s="12"/>
      <c r="G951" s="12"/>
      <c r="H951" s="12"/>
      <c r="I951" s="23"/>
      <c r="J951" s="12"/>
      <c r="K951" s="23"/>
      <c r="L951" s="24"/>
      <c r="M951" s="12"/>
      <c r="N951" s="26" t="str">
        <f t="shared" si="2"/>
        <v>
</v>
      </c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0"/>
      <c r="B952" s="12"/>
      <c r="C952" s="12"/>
      <c r="D952" s="23"/>
      <c r="E952" s="12"/>
      <c r="F952" s="12"/>
      <c r="G952" s="12"/>
      <c r="H952" s="12"/>
      <c r="I952" s="23"/>
      <c r="J952" s="12"/>
      <c r="K952" s="23"/>
      <c r="L952" s="24"/>
      <c r="M952" s="12"/>
      <c r="N952" s="26" t="str">
        <f t="shared" si="2"/>
        <v>
</v>
      </c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0"/>
      <c r="B953" s="12"/>
      <c r="C953" s="12"/>
      <c r="D953" s="35"/>
      <c r="E953" s="22"/>
      <c r="F953" s="12"/>
      <c r="G953" s="12"/>
      <c r="H953" s="12"/>
      <c r="I953" s="23"/>
      <c r="J953" s="12"/>
      <c r="K953" s="23"/>
      <c r="L953" s="24"/>
      <c r="M953" s="12"/>
      <c r="N953" s="26" t="str">
        <f t="shared" si="2"/>
        <v>
</v>
      </c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0"/>
      <c r="B954" s="12"/>
      <c r="C954" s="12"/>
      <c r="D954" s="23"/>
      <c r="E954" s="22"/>
      <c r="F954" s="12"/>
      <c r="G954" s="12"/>
      <c r="H954" s="12"/>
      <c r="I954" s="23"/>
      <c r="J954" s="12"/>
      <c r="K954" s="23"/>
      <c r="L954" s="24"/>
      <c r="M954" s="12"/>
      <c r="N954" s="26" t="str">
        <f t="shared" si="2"/>
        <v>
</v>
      </c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0"/>
      <c r="B955" s="12"/>
      <c r="C955" s="12"/>
      <c r="D955" s="35"/>
      <c r="E955" s="22"/>
      <c r="F955" s="12"/>
      <c r="G955" s="12"/>
      <c r="H955" s="12"/>
      <c r="I955" s="23"/>
      <c r="J955" s="12"/>
      <c r="K955" s="23"/>
      <c r="L955" s="24"/>
      <c r="M955" s="12"/>
      <c r="N955" s="26" t="str">
        <f t="shared" si="2"/>
        <v>
</v>
      </c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0"/>
      <c r="B956" s="12"/>
      <c r="C956" s="12"/>
      <c r="D956" s="23"/>
      <c r="E956" s="12"/>
      <c r="F956" s="12"/>
      <c r="G956" s="12"/>
      <c r="H956" s="12"/>
      <c r="I956" s="23"/>
      <c r="J956" s="12"/>
      <c r="K956" s="23"/>
      <c r="L956" s="24"/>
      <c r="M956" s="12"/>
      <c r="N956" s="26" t="str">
        <f t="shared" si="2"/>
        <v>
</v>
      </c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0"/>
      <c r="B957" s="12"/>
      <c r="C957" s="12"/>
      <c r="D957" s="23"/>
      <c r="E957" s="12"/>
      <c r="F957" s="12"/>
      <c r="G957" s="12"/>
      <c r="H957" s="12"/>
      <c r="I957" s="23"/>
      <c r="J957" s="12"/>
      <c r="K957" s="23"/>
      <c r="L957" s="24"/>
      <c r="M957" s="12"/>
      <c r="N957" s="26" t="str">
        <f t="shared" si="2"/>
        <v>
</v>
      </c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0"/>
      <c r="B958" s="12"/>
      <c r="C958" s="12"/>
      <c r="D958" s="35"/>
      <c r="E958" s="22"/>
      <c r="F958" s="12"/>
      <c r="G958" s="12"/>
      <c r="H958" s="12"/>
      <c r="I958" s="23"/>
      <c r="J958" s="12"/>
      <c r="K958" s="23"/>
      <c r="L958" s="24"/>
      <c r="M958" s="12"/>
      <c r="N958" s="26" t="str">
        <f t="shared" si="2"/>
        <v>
</v>
      </c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0"/>
      <c r="B959" s="12"/>
      <c r="C959" s="12"/>
      <c r="D959" s="35"/>
      <c r="E959" s="22"/>
      <c r="F959" s="12"/>
      <c r="G959" s="12"/>
      <c r="H959" s="12"/>
      <c r="I959" s="23"/>
      <c r="J959" s="12"/>
      <c r="K959" s="23"/>
      <c r="L959" s="24"/>
      <c r="M959" s="12"/>
      <c r="N959" s="26" t="str">
        <f t="shared" si="2"/>
        <v>
</v>
      </c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0"/>
      <c r="B960" s="12"/>
      <c r="C960" s="12"/>
      <c r="D960" s="35"/>
      <c r="E960" s="22"/>
      <c r="F960" s="12"/>
      <c r="G960" s="12"/>
      <c r="H960" s="12"/>
      <c r="I960" s="23"/>
      <c r="J960" s="12"/>
      <c r="K960" s="23"/>
      <c r="L960" s="24"/>
      <c r="M960" s="12"/>
      <c r="N960" s="26" t="str">
        <f t="shared" si="2"/>
        <v>
</v>
      </c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0"/>
      <c r="B961" s="12"/>
      <c r="C961" s="12"/>
      <c r="D961" s="35"/>
      <c r="E961" s="22"/>
      <c r="F961" s="12"/>
      <c r="G961" s="12"/>
      <c r="H961" s="12"/>
      <c r="I961" s="23"/>
      <c r="J961" s="12"/>
      <c r="K961" s="23"/>
      <c r="L961" s="24"/>
      <c r="M961" s="12"/>
      <c r="N961" s="26" t="str">
        <f t="shared" si="2"/>
        <v>
</v>
      </c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0"/>
      <c r="B962" s="12"/>
      <c r="C962" s="12"/>
      <c r="D962" s="35"/>
      <c r="E962" s="22"/>
      <c r="F962" s="12"/>
      <c r="G962" s="12"/>
      <c r="H962" s="12"/>
      <c r="I962" s="23"/>
      <c r="J962" s="12"/>
      <c r="K962" s="23"/>
      <c r="L962" s="24"/>
      <c r="M962" s="12"/>
      <c r="N962" s="26" t="str">
        <f t="shared" si="2"/>
        <v>
</v>
      </c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0"/>
      <c r="B963" s="12"/>
      <c r="C963" s="12"/>
      <c r="D963" s="23"/>
      <c r="E963" s="12"/>
      <c r="F963" s="12"/>
      <c r="G963" s="12"/>
      <c r="H963" s="12"/>
      <c r="I963" s="23"/>
      <c r="J963" s="12"/>
      <c r="K963" s="23"/>
      <c r="L963" s="24"/>
      <c r="M963" s="12"/>
      <c r="N963" s="26" t="str">
        <f t="shared" si="2"/>
        <v>
</v>
      </c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0"/>
      <c r="B964" s="12"/>
      <c r="C964" s="12"/>
      <c r="D964" s="35"/>
      <c r="E964" s="22"/>
      <c r="F964" s="12"/>
      <c r="G964" s="12"/>
      <c r="H964" s="12"/>
      <c r="I964" s="23"/>
      <c r="J964" s="12"/>
      <c r="K964" s="23"/>
      <c r="L964" s="24"/>
      <c r="M964" s="12"/>
      <c r="N964" s="26" t="str">
        <f t="shared" si="2"/>
        <v>
</v>
      </c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0"/>
      <c r="B965" s="12"/>
      <c r="C965" s="12"/>
      <c r="D965" s="35"/>
      <c r="E965" s="22"/>
      <c r="F965" s="12"/>
      <c r="G965" s="12"/>
      <c r="H965" s="12"/>
      <c r="I965" s="23"/>
      <c r="J965" s="22"/>
      <c r="K965" s="23"/>
      <c r="L965" s="24"/>
      <c r="M965" s="12"/>
      <c r="N965" s="26" t="str">
        <f t="shared" si="2"/>
        <v>
</v>
      </c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0"/>
      <c r="B966" s="12"/>
      <c r="C966" s="12"/>
      <c r="D966" s="23"/>
      <c r="E966" s="12"/>
      <c r="F966" s="12"/>
      <c r="G966" s="12"/>
      <c r="H966" s="12"/>
      <c r="I966" s="23"/>
      <c r="J966" s="12"/>
      <c r="K966" s="23"/>
      <c r="L966" s="24"/>
      <c r="M966" s="12"/>
      <c r="N966" s="26" t="str">
        <f t="shared" si="2"/>
        <v>
</v>
      </c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0"/>
      <c r="B967" s="12"/>
      <c r="C967" s="12"/>
      <c r="D967" s="35"/>
      <c r="E967" s="22"/>
      <c r="F967" s="12"/>
      <c r="G967" s="12"/>
      <c r="H967" s="12"/>
      <c r="I967" s="23"/>
      <c r="J967" s="12"/>
      <c r="K967" s="23"/>
      <c r="L967" s="24"/>
      <c r="M967" s="12"/>
      <c r="N967" s="26" t="str">
        <f t="shared" si="2"/>
        <v>
</v>
      </c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0"/>
      <c r="B968" s="12"/>
      <c r="C968" s="12"/>
      <c r="D968" s="23"/>
      <c r="E968" s="12"/>
      <c r="F968" s="12"/>
      <c r="G968" s="12"/>
      <c r="H968" s="12"/>
      <c r="I968" s="23"/>
      <c r="J968" s="12"/>
      <c r="K968" s="23"/>
      <c r="L968" s="24"/>
      <c r="M968" s="12"/>
      <c r="N968" s="26" t="str">
        <f t="shared" si="2"/>
        <v>
</v>
      </c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0"/>
      <c r="B969" s="12"/>
      <c r="C969" s="12"/>
      <c r="D969" s="35"/>
      <c r="E969" s="22"/>
      <c r="F969" s="12"/>
      <c r="G969" s="12"/>
      <c r="H969" s="12"/>
      <c r="I969" s="23"/>
      <c r="J969" s="12"/>
      <c r="K969" s="23"/>
      <c r="L969" s="24"/>
      <c r="M969" s="12"/>
      <c r="N969" s="26" t="str">
        <f t="shared" si="2"/>
        <v>
</v>
      </c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0"/>
      <c r="B970" s="12"/>
      <c r="C970" s="12"/>
      <c r="D970" s="35"/>
      <c r="E970" s="22"/>
      <c r="F970" s="12"/>
      <c r="G970" s="12"/>
      <c r="H970" s="12"/>
      <c r="I970" s="23"/>
      <c r="J970" s="12"/>
      <c r="K970" s="23"/>
      <c r="L970" s="24"/>
      <c r="M970" s="12"/>
      <c r="N970" s="26" t="str">
        <f t="shared" si="2"/>
        <v>
</v>
      </c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0"/>
      <c r="B971" s="12"/>
      <c r="C971" s="12"/>
      <c r="D971" s="35"/>
      <c r="E971" s="22"/>
      <c r="F971" s="12"/>
      <c r="G971" s="12"/>
      <c r="H971" s="12"/>
      <c r="I971" s="23"/>
      <c r="J971" s="12"/>
      <c r="K971" s="23"/>
      <c r="L971" s="24"/>
      <c r="M971" s="12"/>
      <c r="N971" s="26" t="str">
        <f t="shared" si="2"/>
        <v>
</v>
      </c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0"/>
      <c r="B972" s="12"/>
      <c r="C972" s="12"/>
      <c r="D972" s="35"/>
      <c r="E972" s="22"/>
      <c r="F972" s="12"/>
      <c r="G972" s="12"/>
      <c r="H972" s="12"/>
      <c r="I972" s="23"/>
      <c r="J972" s="12"/>
      <c r="K972" s="23"/>
      <c r="L972" s="24"/>
      <c r="M972" s="12"/>
      <c r="N972" s="26" t="str">
        <f t="shared" si="2"/>
        <v>
</v>
      </c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0"/>
      <c r="B973" s="12"/>
      <c r="C973" s="12"/>
      <c r="D973" s="35"/>
      <c r="E973" s="22"/>
      <c r="F973" s="12"/>
      <c r="G973" s="12"/>
      <c r="H973" s="12"/>
      <c r="I973" s="23"/>
      <c r="J973" s="12"/>
      <c r="K973" s="23"/>
      <c r="L973" s="24"/>
      <c r="M973" s="12"/>
      <c r="N973" s="26" t="str">
        <f t="shared" si="2"/>
        <v>
</v>
      </c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0"/>
      <c r="B974" s="12"/>
      <c r="C974" s="12"/>
      <c r="D974" s="35"/>
      <c r="E974" s="22"/>
      <c r="F974" s="12"/>
      <c r="G974" s="12"/>
      <c r="H974" s="12"/>
      <c r="I974" s="23"/>
      <c r="J974" s="22"/>
      <c r="K974" s="23"/>
      <c r="L974" s="24"/>
      <c r="M974" s="12"/>
      <c r="N974" s="26" t="str">
        <f t="shared" si="2"/>
        <v>
</v>
      </c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0"/>
      <c r="B975" s="12"/>
      <c r="C975" s="12"/>
      <c r="D975" s="47"/>
      <c r="E975" s="12"/>
      <c r="F975" s="12"/>
      <c r="G975" s="22"/>
      <c r="H975" s="12"/>
      <c r="I975" s="23"/>
      <c r="J975" s="12"/>
      <c r="K975" s="23"/>
      <c r="L975" s="24"/>
      <c r="M975" s="12"/>
      <c r="N975" s="96" t="str">
        <f t="shared" si="2"/>
        <v>
</v>
      </c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0"/>
      <c r="B976" s="12"/>
      <c r="C976" s="12"/>
      <c r="D976" s="23"/>
      <c r="E976" s="12"/>
      <c r="F976" s="12"/>
      <c r="G976" s="12"/>
      <c r="H976" s="12"/>
      <c r="I976" s="23"/>
      <c r="J976" s="12"/>
      <c r="K976" s="23"/>
      <c r="L976" s="24"/>
      <c r="M976" s="12"/>
      <c r="N976" s="26" t="str">
        <f t="shared" si="2"/>
        <v>
</v>
      </c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0"/>
      <c r="B977" s="12"/>
      <c r="C977" s="12"/>
      <c r="D977" s="23"/>
      <c r="E977" s="12"/>
      <c r="F977" s="12"/>
      <c r="G977" s="12"/>
      <c r="H977" s="12"/>
      <c r="I977" s="23"/>
      <c r="J977" s="12"/>
      <c r="K977" s="23"/>
      <c r="L977" s="24"/>
      <c r="M977" s="12"/>
      <c r="N977" s="26" t="str">
        <f t="shared" si="2"/>
        <v>
</v>
      </c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0"/>
      <c r="B978" s="12"/>
      <c r="C978" s="12"/>
      <c r="D978" s="35"/>
      <c r="E978" s="22"/>
      <c r="F978" s="12"/>
      <c r="G978" s="12"/>
      <c r="H978" s="12"/>
      <c r="I978" s="23"/>
      <c r="J978" s="12"/>
      <c r="K978" s="23"/>
      <c r="L978" s="24"/>
      <c r="M978" s="12"/>
      <c r="N978" s="26" t="str">
        <f t="shared" si="2"/>
        <v>
</v>
      </c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0"/>
      <c r="B979" s="12"/>
      <c r="C979" s="12"/>
      <c r="D979" s="23"/>
      <c r="E979" s="12"/>
      <c r="F979" s="12"/>
      <c r="G979" s="22"/>
      <c r="H979" s="12"/>
      <c r="I979" s="23"/>
      <c r="J979" s="12"/>
      <c r="K979" s="23"/>
      <c r="L979" s="24"/>
      <c r="M979" s="12"/>
      <c r="N979" s="26" t="str">
        <f t="shared" si="2"/>
        <v>
</v>
      </c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0"/>
      <c r="B980" s="12"/>
      <c r="C980" s="12"/>
      <c r="D980" s="23"/>
      <c r="E980" s="12"/>
      <c r="F980" s="12"/>
      <c r="G980" s="12"/>
      <c r="H980" s="12"/>
      <c r="I980" s="23"/>
      <c r="J980" s="12"/>
      <c r="K980" s="23"/>
      <c r="L980" s="24"/>
      <c r="M980" s="12"/>
      <c r="N980" s="26" t="str">
        <f t="shared" si="2"/>
        <v>
</v>
      </c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0"/>
      <c r="B981" s="12"/>
      <c r="C981" s="12"/>
      <c r="D981" s="23"/>
      <c r="E981" s="12"/>
      <c r="F981" s="12"/>
      <c r="G981" s="12"/>
      <c r="H981" s="12"/>
      <c r="I981" s="23"/>
      <c r="J981" s="12"/>
      <c r="K981" s="23"/>
      <c r="L981" s="24"/>
      <c r="M981" s="12"/>
      <c r="N981" s="26" t="str">
        <f t="shared" si="2"/>
        <v>
</v>
      </c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0"/>
      <c r="B982" s="12"/>
      <c r="C982" s="12"/>
      <c r="D982" s="23"/>
      <c r="E982" s="12"/>
      <c r="F982" s="12"/>
      <c r="G982" s="12"/>
      <c r="H982" s="12"/>
      <c r="I982" s="23"/>
      <c r="J982" s="12"/>
      <c r="K982" s="23"/>
      <c r="L982" s="24"/>
      <c r="M982" s="12"/>
      <c r="N982" s="26" t="str">
        <f t="shared" si="2"/>
        <v>
</v>
      </c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0"/>
      <c r="B983" s="12"/>
      <c r="C983" s="12"/>
      <c r="D983" s="23"/>
      <c r="E983" s="12"/>
      <c r="F983" s="12"/>
      <c r="G983" s="12"/>
      <c r="H983" s="12"/>
      <c r="I983" s="23"/>
      <c r="J983" s="12"/>
      <c r="K983" s="23"/>
      <c r="L983" s="24"/>
      <c r="M983" s="12"/>
      <c r="N983" s="26" t="str">
        <f t="shared" si="2"/>
        <v>
</v>
      </c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0"/>
      <c r="B984" s="12"/>
      <c r="C984" s="12"/>
      <c r="D984" s="35"/>
      <c r="E984" s="22"/>
      <c r="F984" s="12"/>
      <c r="G984" s="12"/>
      <c r="H984" s="12"/>
      <c r="I984" s="23"/>
      <c r="J984" s="12"/>
      <c r="K984" s="23"/>
      <c r="L984" s="24"/>
      <c r="M984" s="12"/>
      <c r="N984" s="26" t="str">
        <f t="shared" si="2"/>
        <v>
</v>
      </c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0"/>
      <c r="B985" s="12"/>
      <c r="C985" s="12"/>
      <c r="D985" s="47"/>
      <c r="E985" s="12"/>
      <c r="F985" s="12"/>
      <c r="G985" s="12"/>
      <c r="H985" s="12"/>
      <c r="I985" s="23"/>
      <c r="J985" s="12"/>
      <c r="K985" s="23"/>
      <c r="L985" s="24"/>
      <c r="M985" s="12"/>
      <c r="N985" s="26" t="str">
        <f t="shared" si="2"/>
        <v>
</v>
      </c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0"/>
      <c r="B986" s="12"/>
      <c r="C986" s="12"/>
      <c r="D986" s="23"/>
      <c r="E986" s="12"/>
      <c r="F986" s="12"/>
      <c r="G986" s="12"/>
      <c r="H986" s="12"/>
      <c r="I986" s="23"/>
      <c r="J986" s="12"/>
      <c r="K986" s="23"/>
      <c r="L986" s="24"/>
      <c r="M986" s="12"/>
      <c r="N986" s="26" t="str">
        <f t="shared" si="2"/>
        <v>
</v>
      </c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0"/>
      <c r="B987" s="12"/>
      <c r="C987" s="12"/>
      <c r="D987" s="23"/>
      <c r="E987" s="12"/>
      <c r="F987" s="12"/>
      <c r="G987" s="12"/>
      <c r="H987" s="12"/>
      <c r="I987" s="23"/>
      <c r="J987" s="12"/>
      <c r="K987" s="23"/>
      <c r="L987" s="24"/>
      <c r="M987" s="12"/>
      <c r="N987" s="26" t="str">
        <f t="shared" si="2"/>
        <v>
</v>
      </c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0"/>
      <c r="B988" s="12"/>
      <c r="C988" s="12"/>
      <c r="D988" s="23"/>
      <c r="E988" s="12"/>
      <c r="F988" s="12"/>
      <c r="G988" s="22"/>
      <c r="H988" s="12"/>
      <c r="I988" s="35"/>
      <c r="J988" s="12"/>
      <c r="K988" s="35"/>
      <c r="L988" s="24"/>
      <c r="M988" s="12"/>
      <c r="N988" s="26" t="str">
        <f t="shared" si="2"/>
        <v>
</v>
      </c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0"/>
      <c r="B989" s="12"/>
      <c r="C989" s="12"/>
      <c r="D989" s="23"/>
      <c r="E989" s="12"/>
      <c r="F989" s="12"/>
      <c r="G989" s="12"/>
      <c r="H989" s="12"/>
      <c r="I989" s="23"/>
      <c r="J989" s="12"/>
      <c r="K989" s="23"/>
      <c r="L989" s="24"/>
      <c r="M989" s="12"/>
      <c r="N989" s="26" t="str">
        <f t="shared" si="2"/>
        <v>
</v>
      </c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0"/>
      <c r="B990" s="12"/>
      <c r="C990" s="12"/>
      <c r="D990" s="23"/>
      <c r="E990" s="12"/>
      <c r="F990" s="12"/>
      <c r="G990" s="22"/>
      <c r="H990" s="12"/>
      <c r="I990" s="23"/>
      <c r="J990" s="12"/>
      <c r="K990" s="23"/>
      <c r="L990" s="24"/>
      <c r="M990" s="12"/>
      <c r="N990" s="26" t="str">
        <f t="shared" si="2"/>
        <v>
</v>
      </c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0"/>
      <c r="B991" s="12"/>
      <c r="C991" s="12"/>
      <c r="D991" s="23"/>
      <c r="E991" s="12"/>
      <c r="F991" s="12"/>
      <c r="G991" s="12"/>
      <c r="H991" s="12"/>
      <c r="I991" s="23"/>
      <c r="J991" s="12"/>
      <c r="K991" s="23"/>
      <c r="L991" s="24"/>
      <c r="M991" s="12"/>
      <c r="N991" s="26" t="str">
        <f t="shared" si="2"/>
        <v>
</v>
      </c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0"/>
      <c r="B992" s="12"/>
      <c r="C992" s="12"/>
      <c r="D992" s="23"/>
      <c r="E992" s="12"/>
      <c r="F992" s="12"/>
      <c r="G992" s="12"/>
      <c r="H992" s="12"/>
      <c r="I992" s="23"/>
      <c r="J992" s="12"/>
      <c r="K992" s="23"/>
      <c r="L992" s="24"/>
      <c r="M992" s="12"/>
      <c r="N992" s="26" t="str">
        <f t="shared" si="2"/>
        <v>
</v>
      </c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0"/>
      <c r="B993" s="12"/>
      <c r="C993" s="12"/>
      <c r="D993" s="23"/>
      <c r="E993" s="12"/>
      <c r="F993" s="12"/>
      <c r="G993" s="12"/>
      <c r="H993" s="12"/>
      <c r="I993" s="23"/>
      <c r="J993" s="12"/>
      <c r="K993" s="23"/>
      <c r="L993" s="24"/>
      <c r="M993" s="12"/>
      <c r="N993" s="26" t="str">
        <f t="shared" si="2"/>
        <v>
</v>
      </c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0"/>
      <c r="B994" s="12"/>
      <c r="C994" s="12"/>
      <c r="D994" s="23"/>
      <c r="E994" s="22"/>
      <c r="F994" s="12"/>
      <c r="G994" s="12"/>
      <c r="H994" s="12"/>
      <c r="I994" s="23"/>
      <c r="J994" s="12"/>
      <c r="K994" s="23"/>
      <c r="L994" s="24"/>
      <c r="M994" s="12"/>
      <c r="N994" s="26" t="str">
        <f t="shared" si="2"/>
        <v>
</v>
      </c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0"/>
      <c r="B995" s="12"/>
      <c r="C995" s="12"/>
      <c r="D995" s="23"/>
      <c r="E995" s="22"/>
      <c r="F995" s="12"/>
      <c r="G995" s="12"/>
      <c r="H995" s="12"/>
      <c r="I995" s="23"/>
      <c r="J995" s="12"/>
      <c r="K995" s="23"/>
      <c r="L995" s="24"/>
      <c r="M995" s="12"/>
      <c r="N995" s="26" t="str">
        <f t="shared" si="2"/>
        <v>
</v>
      </c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0"/>
      <c r="B996" s="12"/>
      <c r="C996" s="12"/>
      <c r="D996" s="23"/>
      <c r="E996" s="22"/>
      <c r="F996" s="12"/>
      <c r="G996" s="22"/>
      <c r="H996" s="12"/>
      <c r="I996" s="23"/>
      <c r="J996" s="12"/>
      <c r="K996" s="23"/>
      <c r="L996" s="24"/>
      <c r="M996" s="12"/>
      <c r="N996" s="26" t="str">
        <f t="shared" si="2"/>
        <v>
</v>
      </c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0"/>
      <c r="B997" s="12"/>
      <c r="C997" s="12"/>
      <c r="D997" s="23"/>
      <c r="E997" s="22"/>
      <c r="F997" s="12"/>
      <c r="G997" s="12"/>
      <c r="H997" s="12"/>
      <c r="I997" s="23"/>
      <c r="J997" s="12"/>
      <c r="K997" s="23"/>
      <c r="L997" s="24"/>
      <c r="M997" s="12"/>
      <c r="N997" s="26" t="str">
        <f t="shared" si="2"/>
        <v>
</v>
      </c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0"/>
      <c r="B998" s="12"/>
      <c r="C998" s="12"/>
      <c r="D998" s="23"/>
      <c r="E998" s="22"/>
      <c r="F998" s="12"/>
      <c r="G998" s="12"/>
      <c r="H998" s="12"/>
      <c r="I998" s="23"/>
      <c r="J998" s="12"/>
      <c r="K998" s="23"/>
      <c r="L998" s="24"/>
      <c r="M998" s="12"/>
      <c r="N998" s="26" t="str">
        <f t="shared" si="2"/>
        <v>
</v>
      </c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0"/>
      <c r="B999" s="12"/>
      <c r="C999" s="12"/>
      <c r="D999" s="23"/>
      <c r="E999" s="22"/>
      <c r="F999" s="12"/>
      <c r="G999" s="12"/>
      <c r="H999" s="12"/>
      <c r="I999" s="23"/>
      <c r="J999" s="12"/>
      <c r="K999" s="23"/>
      <c r="L999" s="24"/>
      <c r="M999" s="12"/>
      <c r="N999" s="26" t="str">
        <f t="shared" si="2"/>
        <v>
</v>
      </c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0"/>
      <c r="B1000" s="12"/>
      <c r="C1000" s="12"/>
      <c r="D1000" s="23"/>
      <c r="E1000" s="22"/>
      <c r="F1000" s="12"/>
      <c r="G1000" s="12"/>
      <c r="H1000" s="12"/>
      <c r="I1000" s="23"/>
      <c r="J1000" s="12"/>
      <c r="K1000" s="23"/>
      <c r="L1000" s="24"/>
      <c r="M1000" s="12"/>
      <c r="N1000" s="26" t="str">
        <f t="shared" si="2"/>
        <v>
</v>
      </c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  <row r="1001">
      <c r="A1001" s="20"/>
      <c r="B1001" s="12"/>
      <c r="C1001" s="12"/>
      <c r="D1001" s="47"/>
      <c r="E1001" s="22"/>
      <c r="F1001" s="12"/>
      <c r="G1001" s="12"/>
      <c r="H1001" s="12"/>
      <c r="I1001" s="23"/>
      <c r="J1001" s="12"/>
      <c r="K1001" s="23"/>
      <c r="L1001" s="24"/>
      <c r="M1001" s="12"/>
      <c r="N1001" s="26" t="str">
        <f t="shared" si="2"/>
        <v>
</v>
      </c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</row>
    <row r="1002">
      <c r="A1002" s="20"/>
      <c r="B1002" s="12"/>
      <c r="C1002" s="12"/>
      <c r="D1002" s="23"/>
      <c r="E1002" s="12"/>
      <c r="F1002" s="12"/>
      <c r="G1002" s="12"/>
      <c r="H1002" s="12"/>
      <c r="I1002" s="23"/>
      <c r="J1002" s="12"/>
      <c r="K1002" s="23"/>
      <c r="L1002" s="24"/>
      <c r="M1002" s="12"/>
      <c r="N1002" s="26" t="str">
        <f t="shared" si="2"/>
        <v>
</v>
      </c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</row>
    <row r="1003">
      <c r="A1003" s="20"/>
      <c r="B1003" s="12"/>
      <c r="C1003" s="12"/>
      <c r="D1003" s="23"/>
      <c r="E1003" s="12"/>
      <c r="F1003" s="12"/>
      <c r="G1003" s="12"/>
      <c r="H1003" s="12"/>
      <c r="I1003" s="23"/>
      <c r="J1003" s="12"/>
      <c r="K1003" s="23"/>
      <c r="L1003" s="24"/>
      <c r="M1003" s="39"/>
      <c r="N1003" s="26" t="str">
        <f t="shared" si="2"/>
        <v>
</v>
      </c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</row>
    <row r="1004">
      <c r="A1004" s="20"/>
      <c r="B1004" s="12"/>
      <c r="C1004" s="12"/>
      <c r="D1004" s="23"/>
      <c r="E1004" s="12"/>
      <c r="F1004" s="12"/>
      <c r="G1004" s="12"/>
      <c r="H1004" s="12"/>
      <c r="I1004" s="23"/>
      <c r="J1004" s="12"/>
      <c r="K1004" s="23"/>
      <c r="L1004" s="24"/>
      <c r="M1004" s="12"/>
      <c r="N1004" s="26" t="str">
        <f t="shared" si="2"/>
        <v>
</v>
      </c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</row>
    <row r="1005">
      <c r="A1005" s="20"/>
      <c r="B1005" s="12"/>
      <c r="C1005" s="12"/>
      <c r="D1005" s="23"/>
      <c r="E1005" s="12"/>
      <c r="F1005" s="12"/>
      <c r="G1005" s="12"/>
      <c r="H1005" s="12"/>
      <c r="I1005" s="23"/>
      <c r="J1005" s="12"/>
      <c r="K1005" s="23"/>
      <c r="L1005" s="24"/>
      <c r="M1005" s="12"/>
      <c r="N1005" s="26" t="str">
        <f t="shared" si="2"/>
        <v>
</v>
      </c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</row>
    <row r="1006">
      <c r="A1006" s="20"/>
      <c r="B1006" s="12"/>
      <c r="C1006" s="12"/>
      <c r="D1006" s="23"/>
      <c r="E1006" s="12"/>
      <c r="F1006" s="12"/>
      <c r="G1006" s="12"/>
      <c r="H1006" s="12"/>
      <c r="I1006" s="23"/>
      <c r="J1006" s="12"/>
      <c r="K1006" s="23"/>
      <c r="L1006" s="24"/>
      <c r="M1006" s="12"/>
      <c r="N1006" s="26" t="str">
        <f t="shared" si="2"/>
        <v>
</v>
      </c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</row>
    <row r="1007">
      <c r="A1007" s="20"/>
      <c r="B1007" s="12"/>
      <c r="C1007" s="12"/>
      <c r="D1007" s="23"/>
      <c r="E1007" s="22"/>
      <c r="F1007" s="12"/>
      <c r="G1007" s="12"/>
      <c r="H1007" s="12"/>
      <c r="I1007" s="23"/>
      <c r="J1007" s="12"/>
      <c r="K1007" s="23"/>
      <c r="L1007" s="24"/>
      <c r="M1007" s="12"/>
      <c r="N1007" s="26" t="str">
        <f t="shared" si="2"/>
        <v>
</v>
      </c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</row>
    <row r="1008">
      <c r="A1008" s="20"/>
      <c r="B1008" s="12"/>
      <c r="C1008" s="97"/>
      <c r="D1008" s="23"/>
      <c r="E1008" s="12"/>
      <c r="F1008" s="12"/>
      <c r="G1008" s="12"/>
      <c r="H1008" s="12"/>
      <c r="I1008" s="23"/>
      <c r="J1008" s="12"/>
      <c r="K1008" s="23"/>
      <c r="L1008" s="24"/>
      <c r="M1008" s="12"/>
      <c r="N1008" s="26" t="str">
        <f t="shared" si="2"/>
        <v>
</v>
      </c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</row>
    <row r="1009">
      <c r="A1009" s="20"/>
      <c r="B1009" s="12"/>
      <c r="C1009" s="12"/>
      <c r="D1009" s="23"/>
      <c r="E1009" s="12"/>
      <c r="F1009" s="12"/>
      <c r="G1009" s="12"/>
      <c r="H1009" s="12"/>
      <c r="I1009" s="23"/>
      <c r="J1009" s="12"/>
      <c r="K1009" s="23"/>
      <c r="L1009" s="24"/>
      <c r="M1009" s="12"/>
      <c r="N1009" s="26" t="str">
        <f t="shared" si="2"/>
        <v>
</v>
      </c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</row>
    <row r="1010">
      <c r="A1010" s="20"/>
      <c r="B1010" s="12"/>
      <c r="C1010" s="12"/>
      <c r="D1010" s="23"/>
      <c r="E1010" s="12"/>
      <c r="F1010" s="12"/>
      <c r="G1010" s="12"/>
      <c r="H1010" s="12"/>
      <c r="I1010" s="23"/>
      <c r="J1010" s="12"/>
      <c r="K1010" s="23"/>
      <c r="L1010" s="24"/>
      <c r="M1010" s="12"/>
      <c r="N1010" s="26" t="str">
        <f t="shared" si="2"/>
        <v>
</v>
      </c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</row>
    <row r="1011">
      <c r="A1011" s="20"/>
      <c r="B1011" s="12"/>
      <c r="C1011" s="12"/>
      <c r="D1011" s="23"/>
      <c r="E1011" s="12"/>
      <c r="F1011" s="12"/>
      <c r="G1011" s="12"/>
      <c r="H1011" s="12"/>
      <c r="I1011" s="23"/>
      <c r="J1011" s="12"/>
      <c r="K1011" s="23"/>
      <c r="L1011" s="24"/>
      <c r="M1011" s="12"/>
      <c r="N1011" s="26" t="str">
        <f t="shared" si="2"/>
        <v>
</v>
      </c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</row>
    <row r="1012">
      <c r="A1012" s="20"/>
      <c r="B1012" s="12"/>
      <c r="C1012" s="12"/>
      <c r="D1012" s="23"/>
      <c r="E1012" s="12"/>
      <c r="F1012" s="12"/>
      <c r="G1012" s="12"/>
      <c r="H1012" s="12"/>
      <c r="I1012" s="23"/>
      <c r="J1012" s="12"/>
      <c r="K1012" s="23"/>
      <c r="L1012" s="24"/>
      <c r="M1012" s="12"/>
      <c r="N1012" s="26" t="str">
        <f t="shared" si="2"/>
        <v>
</v>
      </c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</row>
    <row r="1013">
      <c r="A1013" s="20"/>
      <c r="B1013" s="12"/>
      <c r="C1013" s="12"/>
      <c r="D1013" s="23"/>
      <c r="E1013" s="12"/>
      <c r="F1013" s="12"/>
      <c r="G1013" s="12"/>
      <c r="H1013" s="12"/>
      <c r="I1013" s="23"/>
      <c r="J1013" s="12"/>
      <c r="K1013" s="23"/>
      <c r="L1013" s="24"/>
      <c r="M1013" s="12"/>
      <c r="N1013" s="26" t="str">
        <f t="shared" si="2"/>
        <v>
</v>
      </c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</row>
    <row r="1014">
      <c r="A1014" s="20"/>
      <c r="B1014" s="12"/>
      <c r="C1014" s="12"/>
      <c r="D1014" s="23"/>
      <c r="E1014" s="12"/>
      <c r="F1014" s="12"/>
      <c r="G1014" s="12"/>
      <c r="H1014" s="12"/>
      <c r="I1014" s="23"/>
      <c r="J1014" s="12"/>
      <c r="K1014" s="23"/>
      <c r="L1014" s="24"/>
      <c r="M1014" s="39"/>
      <c r="N1014" s="26" t="str">
        <f t="shared" si="2"/>
        <v>
</v>
      </c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>
      <c r="A1015" s="20"/>
      <c r="B1015" s="12"/>
      <c r="C1015" s="12"/>
      <c r="D1015" s="23"/>
      <c r="E1015" s="12"/>
      <c r="F1015" s="12"/>
      <c r="G1015" s="12"/>
      <c r="H1015" s="12"/>
      <c r="I1015" s="23"/>
      <c r="J1015" s="12"/>
      <c r="K1015" s="23"/>
      <c r="L1015" s="24"/>
      <c r="M1015" s="12"/>
      <c r="N1015" s="26" t="str">
        <f t="shared" si="2"/>
        <v>
</v>
      </c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</row>
    <row r="1016">
      <c r="A1016" s="20"/>
      <c r="B1016" s="12"/>
      <c r="C1016" s="12"/>
      <c r="D1016" s="23"/>
      <c r="E1016" s="12"/>
      <c r="F1016" s="12"/>
      <c r="G1016" s="12"/>
      <c r="H1016" s="12"/>
      <c r="I1016" s="23"/>
      <c r="J1016" s="12"/>
      <c r="K1016" s="23"/>
      <c r="L1016" s="24"/>
      <c r="M1016" s="12"/>
      <c r="N1016" s="26" t="str">
        <f t="shared" si="2"/>
        <v>
</v>
      </c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</row>
    <row r="1017">
      <c r="A1017" s="20"/>
      <c r="B1017" s="12"/>
      <c r="C1017" s="12"/>
      <c r="D1017" s="23"/>
      <c r="E1017" s="12"/>
      <c r="F1017" s="12"/>
      <c r="G1017" s="12"/>
      <c r="H1017" s="12"/>
      <c r="I1017" s="23"/>
      <c r="J1017" s="12"/>
      <c r="K1017" s="23"/>
      <c r="L1017" s="24"/>
      <c r="M1017" s="39"/>
      <c r="N1017" s="26" t="str">
        <f t="shared" si="2"/>
        <v>
</v>
      </c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</row>
    <row r="1018">
      <c r="A1018" s="20"/>
      <c r="B1018" s="12"/>
      <c r="C1018" s="12"/>
      <c r="D1018" s="23"/>
      <c r="E1018" s="12"/>
      <c r="F1018" s="12"/>
      <c r="G1018" s="12"/>
      <c r="H1018" s="12"/>
      <c r="I1018" s="23"/>
      <c r="J1018" s="12"/>
      <c r="K1018" s="23"/>
      <c r="L1018" s="24"/>
      <c r="M1018" s="12"/>
      <c r="N1018" s="26" t="str">
        <f t="shared" si="2"/>
        <v>
</v>
      </c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</row>
    <row r="1019">
      <c r="A1019" s="20"/>
      <c r="B1019" s="12"/>
      <c r="C1019" s="12"/>
      <c r="D1019" s="23"/>
      <c r="E1019" s="12"/>
      <c r="F1019" s="12"/>
      <c r="G1019" s="12"/>
      <c r="H1019" s="12"/>
      <c r="I1019" s="23"/>
      <c r="J1019" s="12"/>
      <c r="K1019" s="23"/>
      <c r="L1019" s="24"/>
      <c r="M1019" s="39"/>
      <c r="N1019" s="26" t="str">
        <f t="shared" si="2"/>
        <v>
</v>
      </c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</row>
    <row r="1020">
      <c r="A1020" s="20"/>
      <c r="B1020" s="12"/>
      <c r="C1020" s="12"/>
      <c r="D1020" s="23"/>
      <c r="E1020" s="12"/>
      <c r="F1020" s="12"/>
      <c r="G1020" s="12"/>
      <c r="H1020" s="12"/>
      <c r="I1020" s="23"/>
      <c r="J1020" s="12"/>
      <c r="K1020" s="23"/>
      <c r="L1020" s="24"/>
      <c r="M1020" s="12"/>
      <c r="N1020" s="26" t="str">
        <f t="shared" si="2"/>
        <v>
</v>
      </c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</row>
    <row r="1021">
      <c r="A1021" s="20"/>
      <c r="B1021" s="12"/>
      <c r="C1021" s="12"/>
      <c r="D1021" s="23"/>
      <c r="E1021" s="12"/>
      <c r="F1021" s="12"/>
      <c r="G1021" s="12"/>
      <c r="H1021" s="12"/>
      <c r="I1021" s="23"/>
      <c r="J1021" s="12"/>
      <c r="K1021" s="23"/>
      <c r="L1021" s="24"/>
      <c r="M1021" s="12"/>
      <c r="N1021" s="26" t="str">
        <f t="shared" si="2"/>
        <v>
</v>
      </c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</row>
    <row r="1022">
      <c r="A1022" s="20"/>
      <c r="B1022" s="12"/>
      <c r="C1022" s="12"/>
      <c r="D1022" s="23"/>
      <c r="E1022" s="12"/>
      <c r="F1022" s="12"/>
      <c r="G1022" s="12"/>
      <c r="H1022" s="12"/>
      <c r="I1022" s="23"/>
      <c r="J1022" s="12"/>
      <c r="K1022" s="23"/>
      <c r="L1022" s="24"/>
      <c r="M1022" s="12"/>
      <c r="N1022" s="26" t="str">
        <f t="shared" si="2"/>
        <v>
</v>
      </c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</row>
    <row r="1023">
      <c r="A1023" s="20"/>
      <c r="B1023" s="12"/>
      <c r="C1023" s="12"/>
      <c r="D1023" s="23"/>
      <c r="E1023" s="12"/>
      <c r="F1023" s="12"/>
      <c r="G1023" s="12"/>
      <c r="H1023" s="12"/>
      <c r="I1023" s="23"/>
      <c r="J1023" s="12"/>
      <c r="K1023" s="23"/>
      <c r="L1023" s="24"/>
      <c r="M1023" s="12"/>
      <c r="N1023" s="26" t="str">
        <f t="shared" si="2"/>
        <v>
</v>
      </c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</row>
    <row r="1024">
      <c r="A1024" s="20"/>
      <c r="B1024" s="12"/>
      <c r="C1024" s="12"/>
      <c r="D1024" s="23"/>
      <c r="E1024" s="12"/>
      <c r="F1024" s="12"/>
      <c r="G1024" s="12"/>
      <c r="H1024" s="12"/>
      <c r="I1024" s="23"/>
      <c r="J1024" s="12"/>
      <c r="K1024" s="23"/>
      <c r="L1024" s="24"/>
      <c r="M1024" s="39"/>
      <c r="N1024" s="26" t="str">
        <f t="shared" si="2"/>
        <v>
</v>
      </c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</row>
    <row r="1025">
      <c r="A1025" s="20"/>
      <c r="B1025" s="12"/>
      <c r="C1025" s="12"/>
      <c r="D1025" s="23"/>
      <c r="E1025" s="12"/>
      <c r="F1025" s="12"/>
      <c r="G1025" s="12"/>
      <c r="H1025" s="12"/>
      <c r="I1025" s="23"/>
      <c r="J1025" s="12"/>
      <c r="K1025" s="23"/>
      <c r="L1025" s="24"/>
      <c r="M1025" s="12"/>
      <c r="N1025" s="26" t="str">
        <f t="shared" si="2"/>
        <v>
</v>
      </c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</row>
    <row r="1026">
      <c r="A1026" s="20"/>
      <c r="B1026" s="12"/>
      <c r="C1026" s="12"/>
      <c r="D1026" s="23"/>
      <c r="E1026" s="12"/>
      <c r="F1026" s="12"/>
      <c r="G1026" s="12"/>
      <c r="H1026" s="12"/>
      <c r="I1026" s="23"/>
      <c r="J1026" s="12"/>
      <c r="K1026" s="23"/>
      <c r="L1026" s="24"/>
      <c r="M1026" s="12"/>
      <c r="N1026" s="26" t="str">
        <f t="shared" si="2"/>
        <v>
</v>
      </c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</row>
    <row r="1027">
      <c r="A1027" s="20"/>
      <c r="B1027" s="12"/>
      <c r="C1027" s="12"/>
      <c r="D1027" s="23"/>
      <c r="E1027" s="12"/>
      <c r="F1027" s="12"/>
      <c r="G1027" s="12"/>
      <c r="H1027" s="12"/>
      <c r="I1027" s="23"/>
      <c r="J1027" s="12"/>
      <c r="K1027" s="23"/>
      <c r="L1027" s="24"/>
      <c r="M1027" s="12"/>
      <c r="N1027" s="26" t="str">
        <f t="shared" si="2"/>
        <v>
</v>
      </c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</row>
    <row r="1028">
      <c r="A1028" s="20"/>
      <c r="B1028" s="12"/>
      <c r="C1028" s="12"/>
      <c r="D1028" s="23"/>
      <c r="E1028" s="12"/>
      <c r="F1028" s="12"/>
      <c r="G1028" s="12"/>
      <c r="H1028" s="12"/>
      <c r="I1028" s="23"/>
      <c r="J1028" s="12"/>
      <c r="K1028" s="23"/>
      <c r="L1028" s="24"/>
      <c r="M1028" s="12"/>
      <c r="N1028" s="26" t="str">
        <f t="shared" si="2"/>
        <v>
</v>
      </c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</row>
    <row r="1029">
      <c r="A1029" s="20"/>
      <c r="B1029" s="12"/>
      <c r="C1029" s="12"/>
      <c r="D1029" s="23"/>
      <c r="E1029" s="12"/>
      <c r="F1029" s="12"/>
      <c r="G1029" s="12"/>
      <c r="H1029" s="12"/>
      <c r="I1029" s="23"/>
      <c r="J1029" s="12"/>
      <c r="K1029" s="23"/>
      <c r="L1029" s="24"/>
      <c r="M1029" s="12"/>
      <c r="N1029" s="26" t="str">
        <f t="shared" si="2"/>
        <v>
</v>
      </c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</row>
    <row r="1030">
      <c r="A1030" s="20"/>
      <c r="B1030" s="12"/>
      <c r="C1030" s="12"/>
      <c r="D1030" s="23"/>
      <c r="E1030" s="12"/>
      <c r="F1030" s="12"/>
      <c r="G1030" s="12"/>
      <c r="H1030" s="12"/>
      <c r="I1030" s="23"/>
      <c r="J1030" s="12"/>
      <c r="K1030" s="23"/>
      <c r="L1030" s="24"/>
      <c r="M1030" s="39"/>
      <c r="N1030" s="26" t="str">
        <f t="shared" si="2"/>
        <v>
</v>
      </c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</row>
    <row r="1031">
      <c r="A1031" s="20"/>
      <c r="B1031" s="12"/>
      <c r="C1031" s="12"/>
      <c r="D1031" s="23"/>
      <c r="E1031" s="12"/>
      <c r="F1031" s="12"/>
      <c r="G1031" s="12"/>
      <c r="H1031" s="12"/>
      <c r="I1031" s="23"/>
      <c r="J1031" s="12"/>
      <c r="K1031" s="23"/>
      <c r="L1031" s="24"/>
      <c r="M1031" s="12"/>
      <c r="N1031" s="26" t="str">
        <f t="shared" si="2"/>
        <v>
</v>
      </c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</row>
    <row r="1032">
      <c r="A1032" s="20"/>
      <c r="B1032" s="12"/>
      <c r="C1032" s="12"/>
      <c r="D1032" s="23"/>
      <c r="E1032" s="12"/>
      <c r="F1032" s="12"/>
      <c r="G1032" s="12"/>
      <c r="H1032" s="12"/>
      <c r="I1032" s="23"/>
      <c r="J1032" s="12"/>
      <c r="K1032" s="23"/>
      <c r="L1032" s="24"/>
      <c r="M1032" s="39"/>
      <c r="N1032" s="26" t="str">
        <f t="shared" si="2"/>
        <v>
</v>
      </c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</row>
    <row r="1033">
      <c r="A1033" s="20"/>
      <c r="B1033" s="12"/>
      <c r="C1033" s="12"/>
      <c r="D1033" s="23"/>
      <c r="E1033" s="12"/>
      <c r="F1033" s="12"/>
      <c r="G1033" s="12"/>
      <c r="H1033" s="12"/>
      <c r="I1033" s="23"/>
      <c r="J1033" s="12"/>
      <c r="K1033" s="23"/>
      <c r="L1033" s="24"/>
      <c r="M1033" s="12"/>
      <c r="N1033" s="26" t="str">
        <f t="shared" si="2"/>
        <v>
</v>
      </c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</row>
    <row r="1034">
      <c r="A1034" s="20"/>
      <c r="B1034" s="12"/>
      <c r="C1034" s="12"/>
      <c r="D1034" s="23"/>
      <c r="E1034" s="12"/>
      <c r="F1034" s="12"/>
      <c r="G1034" s="12"/>
      <c r="H1034" s="12"/>
      <c r="I1034" s="23"/>
      <c r="J1034" s="12"/>
      <c r="K1034" s="23"/>
      <c r="L1034" s="24"/>
      <c r="M1034" s="39"/>
      <c r="N1034" s="26" t="str">
        <f t="shared" si="2"/>
        <v>
</v>
      </c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</row>
    <row r="1035">
      <c r="A1035" s="20"/>
      <c r="B1035" s="12"/>
      <c r="C1035" s="12"/>
      <c r="D1035" s="23"/>
      <c r="E1035" s="12"/>
      <c r="F1035" s="12"/>
      <c r="G1035" s="12"/>
      <c r="H1035" s="12"/>
      <c r="I1035" s="23"/>
      <c r="J1035" s="12"/>
      <c r="K1035" s="23"/>
      <c r="L1035" s="24"/>
      <c r="M1035" s="12"/>
      <c r="N1035" s="26" t="str">
        <f t="shared" si="2"/>
        <v>
</v>
      </c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</row>
    <row r="1036">
      <c r="A1036" s="20"/>
      <c r="B1036" s="12"/>
      <c r="C1036" s="12"/>
      <c r="D1036" s="23"/>
      <c r="E1036" s="12"/>
      <c r="F1036" s="12"/>
      <c r="G1036" s="12"/>
      <c r="H1036" s="12"/>
      <c r="I1036" s="23"/>
      <c r="J1036" s="12"/>
      <c r="K1036" s="23"/>
      <c r="L1036" s="24"/>
      <c r="M1036" s="12"/>
      <c r="N1036" s="26" t="str">
        <f t="shared" si="2"/>
        <v>
</v>
      </c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</row>
    <row r="1037">
      <c r="A1037" s="20"/>
      <c r="B1037" s="12"/>
      <c r="C1037" s="12"/>
      <c r="D1037" s="23"/>
      <c r="E1037" s="12"/>
      <c r="F1037" s="12"/>
      <c r="G1037" s="12"/>
      <c r="H1037" s="12"/>
      <c r="I1037" s="23"/>
      <c r="J1037" s="12"/>
      <c r="K1037" s="23"/>
      <c r="L1037" s="24"/>
      <c r="M1037" s="39"/>
      <c r="N1037" s="26" t="str">
        <f t="shared" si="2"/>
        <v>
</v>
      </c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</row>
    <row r="1038">
      <c r="A1038" s="20"/>
      <c r="B1038" s="12"/>
      <c r="C1038" s="12"/>
      <c r="D1038" s="23"/>
      <c r="E1038" s="12"/>
      <c r="F1038" s="12"/>
      <c r="G1038" s="12"/>
      <c r="H1038" s="12"/>
      <c r="I1038" s="23"/>
      <c r="J1038" s="12"/>
      <c r="K1038" s="23"/>
      <c r="L1038" s="24"/>
      <c r="M1038" s="12"/>
      <c r="N1038" s="26" t="str">
        <f t="shared" si="2"/>
        <v>
</v>
      </c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</row>
    <row r="1039">
      <c r="A1039" s="20"/>
      <c r="B1039" s="12"/>
      <c r="C1039" s="12"/>
      <c r="D1039" s="23"/>
      <c r="E1039" s="12"/>
      <c r="F1039" s="12"/>
      <c r="G1039" s="12"/>
      <c r="H1039" s="12"/>
      <c r="I1039" s="23"/>
      <c r="J1039" s="12"/>
      <c r="K1039" s="23"/>
      <c r="L1039" s="24"/>
      <c r="M1039" s="12"/>
      <c r="N1039" s="26" t="str">
        <f t="shared" si="2"/>
        <v>
</v>
      </c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</row>
    <row r="1040">
      <c r="A1040" s="20"/>
      <c r="B1040" s="12"/>
      <c r="C1040" s="12"/>
      <c r="D1040" s="23"/>
      <c r="E1040" s="12"/>
      <c r="F1040" s="12"/>
      <c r="G1040" s="12"/>
      <c r="H1040" s="12"/>
      <c r="I1040" s="23"/>
      <c r="J1040" s="12"/>
      <c r="K1040" s="23"/>
      <c r="L1040" s="24"/>
      <c r="M1040" s="12"/>
      <c r="N1040" s="26" t="str">
        <f t="shared" si="2"/>
        <v>
</v>
      </c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</row>
    <row r="1041">
      <c r="A1041" s="20"/>
      <c r="B1041" s="12"/>
      <c r="C1041" s="12"/>
      <c r="D1041" s="23"/>
      <c r="E1041" s="12"/>
      <c r="F1041" s="12"/>
      <c r="G1041" s="12"/>
      <c r="H1041" s="12"/>
      <c r="I1041" s="23"/>
      <c r="J1041" s="12"/>
      <c r="K1041" s="23"/>
      <c r="L1041" s="24"/>
      <c r="M1041" s="12"/>
      <c r="N1041" s="26" t="str">
        <f t="shared" si="2"/>
        <v>
</v>
      </c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</row>
    <row r="1042">
      <c r="A1042" s="20"/>
      <c r="B1042" s="12"/>
      <c r="C1042" s="12"/>
      <c r="D1042" s="23"/>
      <c r="E1042" s="12"/>
      <c r="F1042" s="12"/>
      <c r="G1042" s="12"/>
      <c r="H1042" s="12"/>
      <c r="I1042" s="23"/>
      <c r="J1042" s="12"/>
      <c r="K1042" s="23"/>
      <c r="L1042" s="24"/>
      <c r="M1042" s="12"/>
      <c r="N1042" s="26" t="str">
        <f t="shared" si="2"/>
        <v>
</v>
      </c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</row>
    <row r="1043">
      <c r="A1043" s="20"/>
      <c r="B1043" s="12"/>
      <c r="C1043" s="12"/>
      <c r="D1043" s="23"/>
      <c r="E1043" s="12"/>
      <c r="F1043" s="12"/>
      <c r="G1043" s="12"/>
      <c r="H1043" s="12"/>
      <c r="I1043" s="23"/>
      <c r="J1043" s="12"/>
      <c r="K1043" s="23"/>
      <c r="L1043" s="24"/>
      <c r="M1043" s="12"/>
      <c r="N1043" s="26" t="str">
        <f t="shared" si="2"/>
        <v>
</v>
      </c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</row>
    <row r="1044">
      <c r="A1044" s="20"/>
      <c r="B1044" s="12"/>
      <c r="C1044" s="12"/>
      <c r="D1044" s="23"/>
      <c r="E1044" s="12"/>
      <c r="F1044" s="12"/>
      <c r="G1044" s="12"/>
      <c r="H1044" s="12"/>
      <c r="I1044" s="23"/>
      <c r="J1044" s="12"/>
      <c r="K1044" s="23"/>
      <c r="L1044" s="24"/>
      <c r="M1044" s="39"/>
      <c r="N1044" s="26" t="str">
        <f t="shared" si="2"/>
        <v>
</v>
      </c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</row>
    <row r="1045">
      <c r="A1045" s="20"/>
      <c r="B1045" s="12"/>
      <c r="C1045" s="12"/>
      <c r="D1045" s="23"/>
      <c r="E1045" s="12"/>
      <c r="F1045" s="12"/>
      <c r="G1045" s="12"/>
      <c r="H1045" s="12"/>
      <c r="I1045" s="23"/>
      <c r="J1045" s="12"/>
      <c r="K1045" s="23"/>
      <c r="L1045" s="24"/>
      <c r="M1045" s="12"/>
      <c r="N1045" s="26" t="str">
        <f t="shared" si="2"/>
        <v>
</v>
      </c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</row>
    <row r="1046">
      <c r="A1046" s="20"/>
      <c r="B1046" s="12"/>
      <c r="C1046" s="12"/>
      <c r="D1046" s="23"/>
      <c r="E1046" s="12"/>
      <c r="F1046" s="12"/>
      <c r="G1046" s="12"/>
      <c r="H1046" s="12"/>
      <c r="I1046" s="23"/>
      <c r="J1046" s="12"/>
      <c r="K1046" s="23"/>
      <c r="L1046" s="24"/>
      <c r="M1046" s="12"/>
      <c r="N1046" s="26" t="str">
        <f t="shared" si="2"/>
        <v>
</v>
      </c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</row>
    <row r="1047">
      <c r="A1047" s="10"/>
      <c r="B1047" s="12"/>
      <c r="C1047" s="12"/>
      <c r="D1047" s="23"/>
      <c r="E1047" s="12"/>
      <c r="F1047" s="12"/>
      <c r="G1047" s="12"/>
      <c r="H1047" s="12"/>
      <c r="I1047" s="23"/>
      <c r="J1047" s="12"/>
      <c r="K1047" s="23"/>
      <c r="L1047" s="24"/>
      <c r="M1047" s="12"/>
      <c r="N1047" s="26" t="str">
        <f t="shared" si="2"/>
        <v>
</v>
      </c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</row>
    <row r="1048">
      <c r="A1048" s="10"/>
      <c r="B1048" s="12"/>
      <c r="C1048" s="12"/>
      <c r="D1048" s="23"/>
      <c r="E1048" s="12"/>
      <c r="F1048" s="12"/>
      <c r="G1048" s="12"/>
      <c r="H1048" s="12"/>
      <c r="I1048" s="23"/>
      <c r="J1048" s="12"/>
      <c r="K1048" s="23"/>
      <c r="L1048" s="24"/>
      <c r="M1048" s="12"/>
      <c r="N1048" s="26" t="str">
        <f t="shared" si="2"/>
        <v>
</v>
      </c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</row>
    <row r="1049">
      <c r="A1049" s="10"/>
      <c r="B1049" s="12"/>
      <c r="C1049" s="12"/>
      <c r="D1049" s="23"/>
      <c r="E1049" s="12"/>
      <c r="F1049" s="12"/>
      <c r="G1049" s="12"/>
      <c r="H1049" s="12"/>
      <c r="I1049" s="23"/>
      <c r="J1049" s="12"/>
      <c r="K1049" s="23"/>
      <c r="L1049" s="24"/>
      <c r="M1049" s="39"/>
      <c r="N1049" s="26" t="str">
        <f t="shared" si="2"/>
        <v>
</v>
      </c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</row>
    <row r="1050">
      <c r="A1050" s="10"/>
      <c r="B1050" s="12"/>
      <c r="C1050" s="12"/>
      <c r="D1050" s="23"/>
      <c r="E1050" s="12"/>
      <c r="F1050" s="12"/>
      <c r="G1050" s="12"/>
      <c r="H1050" s="12"/>
      <c r="I1050" s="23"/>
      <c r="J1050" s="12"/>
      <c r="K1050" s="23"/>
      <c r="L1050" s="24"/>
      <c r="M1050" s="12"/>
      <c r="N1050" s="26" t="str">
        <f t="shared" si="2"/>
        <v>
</v>
      </c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</row>
    <row r="1051">
      <c r="A1051" s="10"/>
      <c r="B1051" s="12"/>
      <c r="C1051" s="12"/>
      <c r="D1051" s="23"/>
      <c r="E1051" s="12"/>
      <c r="F1051" s="12"/>
      <c r="G1051" s="12"/>
      <c r="H1051" s="12"/>
      <c r="I1051" s="23"/>
      <c r="J1051" s="12"/>
      <c r="K1051" s="23"/>
      <c r="L1051" s="24"/>
      <c r="M1051" s="12"/>
      <c r="N1051" s="26" t="str">
        <f t="shared" si="2"/>
        <v>
</v>
      </c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</row>
    <row r="1052">
      <c r="A1052" s="10"/>
      <c r="B1052" s="12"/>
      <c r="C1052" s="12"/>
      <c r="D1052" s="23"/>
      <c r="E1052" s="12"/>
      <c r="F1052" s="12"/>
      <c r="G1052" s="12"/>
      <c r="H1052" s="12"/>
      <c r="I1052" s="23"/>
      <c r="J1052" s="12"/>
      <c r="K1052" s="23"/>
      <c r="L1052" s="24"/>
      <c r="M1052" s="12"/>
      <c r="N1052" s="26" t="str">
        <f t="shared" si="2"/>
        <v>
</v>
      </c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</row>
    <row r="1053">
      <c r="A1053" s="10"/>
      <c r="B1053" s="12"/>
      <c r="C1053" s="12"/>
      <c r="D1053" s="23"/>
      <c r="E1053" s="12"/>
      <c r="F1053" s="12"/>
      <c r="G1053" s="12"/>
      <c r="H1053" s="12"/>
      <c r="I1053" s="23"/>
      <c r="J1053" s="12"/>
      <c r="K1053" s="23"/>
      <c r="L1053" s="24"/>
      <c r="M1053" s="39"/>
      <c r="N1053" s="26" t="str">
        <f t="shared" si="2"/>
        <v>
</v>
      </c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</row>
    <row r="1054">
      <c r="A1054" s="10"/>
      <c r="B1054" s="12"/>
      <c r="C1054" s="12"/>
      <c r="D1054" s="23"/>
      <c r="E1054" s="12"/>
      <c r="F1054" s="12"/>
      <c r="G1054" s="12"/>
      <c r="H1054" s="12"/>
      <c r="I1054" s="23"/>
      <c r="J1054" s="12"/>
      <c r="K1054" s="23"/>
      <c r="L1054" s="24"/>
      <c r="M1054" s="39"/>
      <c r="N1054" s="26" t="str">
        <f t="shared" si="2"/>
        <v>
</v>
      </c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</row>
    <row r="1055">
      <c r="A1055" s="10"/>
      <c r="B1055" s="12"/>
      <c r="C1055" s="12"/>
      <c r="D1055" s="23"/>
      <c r="E1055" s="12"/>
      <c r="F1055" s="12"/>
      <c r="G1055" s="12"/>
      <c r="H1055" s="12"/>
      <c r="I1055" s="23"/>
      <c r="J1055" s="12"/>
      <c r="K1055" s="23"/>
      <c r="L1055" s="24"/>
      <c r="M1055" s="12"/>
      <c r="N1055" s="26" t="str">
        <f t="shared" si="2"/>
        <v>
</v>
      </c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</row>
    <row r="1056">
      <c r="A1056" s="10"/>
      <c r="B1056" s="12"/>
      <c r="C1056" s="12"/>
      <c r="D1056" s="23"/>
      <c r="E1056" s="12"/>
      <c r="F1056" s="12"/>
      <c r="G1056" s="12"/>
      <c r="H1056" s="12"/>
      <c r="I1056" s="23"/>
      <c r="J1056" s="12"/>
      <c r="K1056" s="23"/>
      <c r="L1056" s="24"/>
      <c r="M1056" s="12"/>
      <c r="N1056" s="26" t="str">
        <f t="shared" si="2"/>
        <v>
</v>
      </c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</row>
    <row r="1057">
      <c r="A1057" s="10"/>
      <c r="B1057" s="12"/>
      <c r="C1057" s="12"/>
      <c r="D1057" s="23"/>
      <c r="E1057" s="12"/>
      <c r="F1057" s="12"/>
      <c r="G1057" s="12"/>
      <c r="H1057" s="12"/>
      <c r="I1057" s="23"/>
      <c r="J1057" s="12"/>
      <c r="K1057" s="23"/>
      <c r="L1057" s="24"/>
      <c r="M1057" s="39"/>
      <c r="N1057" s="26" t="str">
        <f t="shared" si="2"/>
        <v>
</v>
      </c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</row>
    <row r="1058">
      <c r="A1058" s="10"/>
      <c r="B1058" s="12"/>
      <c r="C1058" s="12"/>
      <c r="D1058" s="23"/>
      <c r="E1058" s="12"/>
      <c r="F1058" s="12"/>
      <c r="G1058" s="12"/>
      <c r="H1058" s="12"/>
      <c r="I1058" s="23"/>
      <c r="J1058" s="12"/>
      <c r="K1058" s="23"/>
      <c r="L1058" s="24"/>
      <c r="M1058" s="39"/>
      <c r="N1058" s="26" t="str">
        <f t="shared" si="2"/>
        <v>
</v>
      </c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</row>
    <row r="1059">
      <c r="A1059" s="10"/>
      <c r="B1059" s="12"/>
      <c r="C1059" s="12"/>
      <c r="D1059" s="23"/>
      <c r="E1059" s="12"/>
      <c r="F1059" s="12"/>
      <c r="G1059" s="12"/>
      <c r="H1059" s="12"/>
      <c r="I1059" s="23"/>
      <c r="J1059" s="12"/>
      <c r="K1059" s="23"/>
      <c r="L1059" s="24"/>
      <c r="M1059" s="39"/>
      <c r="N1059" s="26" t="str">
        <f t="shared" si="2"/>
        <v>
</v>
      </c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</row>
    <row r="1060">
      <c r="A1060" s="10"/>
      <c r="B1060" s="12"/>
      <c r="C1060" s="12"/>
      <c r="D1060" s="23"/>
      <c r="E1060" s="12"/>
      <c r="F1060" s="12"/>
      <c r="G1060" s="12"/>
      <c r="H1060" s="12"/>
      <c r="I1060" s="23"/>
      <c r="J1060" s="12"/>
      <c r="K1060" s="23"/>
      <c r="L1060" s="24"/>
      <c r="M1060" s="12"/>
      <c r="N1060" s="26" t="str">
        <f t="shared" si="2"/>
        <v>
</v>
      </c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</row>
    <row r="1061">
      <c r="A1061" s="10"/>
      <c r="B1061" s="12"/>
      <c r="C1061" s="12"/>
      <c r="D1061" s="47"/>
      <c r="E1061" s="12"/>
      <c r="F1061" s="12"/>
      <c r="G1061" s="12"/>
      <c r="H1061" s="12"/>
      <c r="I1061" s="23"/>
      <c r="J1061" s="12"/>
      <c r="K1061" s="23"/>
      <c r="L1061" s="24"/>
      <c r="M1061" s="12"/>
      <c r="N1061" s="26" t="str">
        <f t="shared" si="2"/>
        <v>
</v>
      </c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</row>
    <row r="1062">
      <c r="A1062" s="10"/>
      <c r="B1062" s="12"/>
      <c r="C1062" s="12"/>
      <c r="D1062" s="23"/>
      <c r="E1062" s="12"/>
      <c r="F1062" s="12"/>
      <c r="G1062" s="12"/>
      <c r="H1062" s="12"/>
      <c r="I1062" s="23"/>
      <c r="J1062" s="12"/>
      <c r="K1062" s="23"/>
      <c r="L1062" s="24"/>
      <c r="M1062" s="39"/>
      <c r="N1062" s="26" t="str">
        <f t="shared" si="2"/>
        <v>
</v>
      </c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</row>
    <row r="1063">
      <c r="A1063" s="10"/>
      <c r="B1063" s="12"/>
      <c r="C1063" s="12"/>
      <c r="D1063" s="23"/>
      <c r="E1063" s="12"/>
      <c r="F1063" s="12"/>
      <c r="G1063" s="12"/>
      <c r="H1063" s="12"/>
      <c r="I1063" s="23"/>
      <c r="J1063" s="12"/>
      <c r="K1063" s="23"/>
      <c r="L1063" s="24"/>
      <c r="M1063" s="12"/>
      <c r="N1063" s="26" t="str">
        <f t="shared" si="2"/>
        <v>
</v>
      </c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</row>
    <row r="1064">
      <c r="A1064" s="10"/>
      <c r="B1064" s="12"/>
      <c r="C1064" s="12"/>
      <c r="D1064" s="23"/>
      <c r="E1064" s="12"/>
      <c r="F1064" s="12"/>
      <c r="G1064" s="12"/>
      <c r="H1064" s="12"/>
      <c r="I1064" s="23"/>
      <c r="J1064" s="12"/>
      <c r="K1064" s="23"/>
      <c r="L1064" s="24"/>
      <c r="M1064" s="12"/>
      <c r="N1064" s="26" t="str">
        <f t="shared" si="2"/>
        <v>
</v>
      </c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</row>
    <row r="1065">
      <c r="A1065" s="10"/>
      <c r="B1065" s="12"/>
      <c r="C1065" s="12"/>
      <c r="D1065" s="23"/>
      <c r="E1065" s="12"/>
      <c r="F1065" s="12"/>
      <c r="G1065" s="12"/>
      <c r="H1065" s="12"/>
      <c r="I1065" s="23"/>
      <c r="J1065" s="12"/>
      <c r="K1065" s="23"/>
      <c r="L1065" s="24"/>
      <c r="M1065" s="12"/>
      <c r="N1065" s="26" t="str">
        <f t="shared" si="2"/>
        <v>
</v>
      </c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</row>
    <row r="1066">
      <c r="A1066" s="10"/>
      <c r="B1066" s="12"/>
      <c r="C1066" s="12"/>
      <c r="D1066" s="23"/>
      <c r="E1066" s="12"/>
      <c r="F1066" s="12"/>
      <c r="G1066" s="12"/>
      <c r="H1066" s="12"/>
      <c r="I1066" s="23"/>
      <c r="J1066" s="12"/>
      <c r="K1066" s="23"/>
      <c r="L1066" s="24"/>
      <c r="M1066" s="12"/>
      <c r="N1066" s="26" t="str">
        <f t="shared" si="2"/>
        <v>
</v>
      </c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</row>
    <row r="1067">
      <c r="A1067" s="10"/>
      <c r="B1067" s="12"/>
      <c r="C1067" s="12"/>
      <c r="D1067" s="23"/>
      <c r="E1067" s="12"/>
      <c r="F1067" s="12"/>
      <c r="G1067" s="12"/>
      <c r="H1067" s="12"/>
      <c r="I1067" s="23"/>
      <c r="J1067" s="12"/>
      <c r="K1067" s="23"/>
      <c r="L1067" s="24"/>
      <c r="M1067" s="12"/>
      <c r="N1067" s="26" t="str">
        <f t="shared" si="2"/>
        <v>
</v>
      </c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</row>
    <row r="1068">
      <c r="A1068" s="10"/>
      <c r="B1068" s="12"/>
      <c r="C1068" s="12"/>
      <c r="D1068" s="23"/>
      <c r="E1068" s="12"/>
      <c r="F1068" s="12"/>
      <c r="G1068" s="12"/>
      <c r="H1068" s="12"/>
      <c r="I1068" s="23"/>
      <c r="J1068" s="12"/>
      <c r="K1068" s="23"/>
      <c r="L1068" s="24"/>
      <c r="M1068" s="12"/>
      <c r="N1068" s="26" t="str">
        <f t="shared" si="2"/>
        <v>
</v>
      </c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</row>
    <row r="1069">
      <c r="A1069" s="10"/>
      <c r="B1069" s="12"/>
      <c r="C1069" s="12"/>
      <c r="D1069" s="23"/>
      <c r="E1069" s="12"/>
      <c r="F1069" s="12"/>
      <c r="G1069" s="12"/>
      <c r="H1069" s="12"/>
      <c r="I1069" s="23"/>
      <c r="J1069" s="12"/>
      <c r="K1069" s="23"/>
      <c r="L1069" s="24"/>
      <c r="M1069" s="12"/>
      <c r="N1069" s="26" t="str">
        <f t="shared" si="2"/>
        <v>
</v>
      </c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</row>
    <row r="1070">
      <c r="A1070" s="10"/>
      <c r="B1070" s="12"/>
      <c r="C1070" s="12"/>
      <c r="D1070" s="23"/>
      <c r="E1070" s="12"/>
      <c r="F1070" s="12"/>
      <c r="G1070" s="12"/>
      <c r="H1070" s="12"/>
      <c r="I1070" s="23"/>
      <c r="J1070" s="12"/>
      <c r="K1070" s="23"/>
      <c r="L1070" s="24"/>
      <c r="M1070" s="12"/>
      <c r="N1070" s="26" t="str">
        <f t="shared" si="2"/>
        <v>
</v>
      </c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</row>
    <row r="1071">
      <c r="A1071" s="10"/>
      <c r="B1071" s="12"/>
      <c r="C1071" s="12"/>
      <c r="D1071" s="23"/>
      <c r="E1071" s="12"/>
      <c r="F1071" s="12"/>
      <c r="G1071" s="12"/>
      <c r="H1071" s="12"/>
      <c r="I1071" s="23"/>
      <c r="J1071" s="12"/>
      <c r="K1071" s="23"/>
      <c r="L1071" s="24"/>
      <c r="M1071" s="12"/>
      <c r="N1071" s="26" t="str">
        <f t="shared" si="2"/>
        <v>
</v>
      </c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</row>
    <row r="1072">
      <c r="A1072" s="10"/>
      <c r="B1072" s="12"/>
      <c r="C1072" s="12"/>
      <c r="D1072" s="23"/>
      <c r="E1072" s="12"/>
      <c r="F1072" s="12"/>
      <c r="G1072" s="12"/>
      <c r="H1072" s="12"/>
      <c r="I1072" s="23"/>
      <c r="J1072" s="12"/>
      <c r="K1072" s="23"/>
      <c r="L1072" s="24"/>
      <c r="M1072" s="12"/>
      <c r="N1072" s="26" t="str">
        <f t="shared" si="2"/>
        <v>
</v>
      </c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</row>
    <row r="1073">
      <c r="A1073" s="10"/>
      <c r="B1073" s="12"/>
      <c r="C1073" s="12"/>
      <c r="D1073" s="23"/>
      <c r="E1073" s="12"/>
      <c r="F1073" s="12"/>
      <c r="G1073" s="12"/>
      <c r="H1073" s="12"/>
      <c r="I1073" s="23"/>
      <c r="J1073" s="12"/>
      <c r="K1073" s="23"/>
      <c r="L1073" s="24"/>
      <c r="M1073" s="12"/>
      <c r="N1073" s="26" t="str">
        <f t="shared" si="2"/>
        <v>
</v>
      </c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</row>
    <row r="1074">
      <c r="A1074" s="10"/>
      <c r="B1074" s="12"/>
      <c r="C1074" s="12"/>
      <c r="D1074" s="23"/>
      <c r="E1074" s="12"/>
      <c r="F1074" s="12"/>
      <c r="G1074" s="12"/>
      <c r="H1074" s="12"/>
      <c r="I1074" s="23"/>
      <c r="J1074" s="12"/>
      <c r="K1074" s="23"/>
      <c r="L1074" s="24"/>
      <c r="M1074" s="39"/>
      <c r="N1074" s="26" t="str">
        <f t="shared" si="2"/>
        <v>
</v>
      </c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</row>
    <row r="1075">
      <c r="A1075" s="10"/>
      <c r="B1075" s="12"/>
      <c r="C1075" s="12"/>
      <c r="D1075" s="23"/>
      <c r="E1075" s="12"/>
      <c r="F1075" s="12"/>
      <c r="G1075" s="12"/>
      <c r="H1075" s="12"/>
      <c r="I1075" s="23"/>
      <c r="J1075" s="12"/>
      <c r="K1075" s="23"/>
      <c r="L1075" s="24"/>
      <c r="M1075" s="39"/>
      <c r="N1075" s="26" t="str">
        <f t="shared" si="2"/>
        <v>
</v>
      </c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</row>
    <row r="1076">
      <c r="A1076" s="10"/>
      <c r="B1076" s="12"/>
      <c r="C1076" s="12"/>
      <c r="D1076" s="23"/>
      <c r="E1076" s="12"/>
      <c r="F1076" s="12"/>
      <c r="G1076" s="12"/>
      <c r="H1076" s="12"/>
      <c r="I1076" s="23"/>
      <c r="J1076" s="12"/>
      <c r="K1076" s="23"/>
      <c r="L1076" s="24"/>
      <c r="M1076" s="12"/>
      <c r="N1076" s="26" t="str">
        <f t="shared" si="2"/>
        <v>
</v>
      </c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</row>
    <row r="1077">
      <c r="A1077" s="10"/>
      <c r="B1077" s="12"/>
      <c r="C1077" s="12"/>
      <c r="D1077" s="23"/>
      <c r="E1077" s="12"/>
      <c r="F1077" s="12"/>
      <c r="G1077" s="12"/>
      <c r="H1077" s="12"/>
      <c r="I1077" s="23"/>
      <c r="J1077" s="12"/>
      <c r="K1077" s="23"/>
      <c r="L1077" s="24"/>
      <c r="M1077" s="12"/>
      <c r="N1077" s="26" t="str">
        <f t="shared" si="2"/>
        <v>
</v>
      </c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</row>
    <row r="1078">
      <c r="A1078" s="10"/>
      <c r="B1078" s="12"/>
      <c r="C1078" s="12"/>
      <c r="D1078" s="23"/>
      <c r="E1078" s="12"/>
      <c r="F1078" s="12"/>
      <c r="G1078" s="12"/>
      <c r="H1078" s="12"/>
      <c r="I1078" s="23"/>
      <c r="J1078" s="12"/>
      <c r="K1078" s="23"/>
      <c r="L1078" s="24"/>
      <c r="M1078" s="12"/>
      <c r="N1078" s="26" t="str">
        <f t="shared" si="2"/>
        <v>
</v>
      </c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</row>
    <row r="1079">
      <c r="A1079" s="10"/>
      <c r="B1079" s="12"/>
      <c r="C1079" s="12"/>
      <c r="D1079" s="23"/>
      <c r="E1079" s="12"/>
      <c r="F1079" s="12"/>
      <c r="G1079" s="12"/>
      <c r="H1079" s="12"/>
      <c r="I1079" s="23"/>
      <c r="J1079" s="12"/>
      <c r="K1079" s="23"/>
      <c r="L1079" s="24"/>
      <c r="M1079" s="12"/>
      <c r="N1079" s="26" t="str">
        <f t="shared" si="2"/>
        <v>
</v>
      </c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</row>
    <row r="1080">
      <c r="A1080" s="10"/>
      <c r="B1080" s="12"/>
      <c r="C1080" s="12"/>
      <c r="D1080" s="23"/>
      <c r="E1080" s="12"/>
      <c r="F1080" s="12"/>
      <c r="G1080" s="12"/>
      <c r="H1080" s="12"/>
      <c r="I1080" s="23"/>
      <c r="J1080" s="12"/>
      <c r="K1080" s="23"/>
      <c r="L1080" s="24"/>
      <c r="M1080" s="12"/>
      <c r="N1080" s="26" t="str">
        <f t="shared" si="2"/>
        <v>
</v>
      </c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</row>
    <row r="1081">
      <c r="A1081" s="10"/>
      <c r="B1081" s="12"/>
      <c r="C1081" s="12"/>
      <c r="D1081" s="23"/>
      <c r="E1081" s="12"/>
      <c r="F1081" s="12"/>
      <c r="G1081" s="12"/>
      <c r="H1081" s="12"/>
      <c r="I1081" s="23"/>
      <c r="J1081" s="12"/>
      <c r="K1081" s="23"/>
      <c r="L1081" s="24"/>
      <c r="M1081" s="39"/>
      <c r="N1081" s="26" t="str">
        <f t="shared" si="2"/>
        <v>
</v>
      </c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</row>
    <row r="1082">
      <c r="A1082" s="10"/>
      <c r="B1082" s="12"/>
      <c r="C1082" s="12"/>
      <c r="D1082" s="23"/>
      <c r="E1082" s="12"/>
      <c r="F1082" s="12"/>
      <c r="G1082" s="12"/>
      <c r="H1082" s="12"/>
      <c r="I1082" s="23"/>
      <c r="J1082" s="12"/>
      <c r="K1082" s="23"/>
      <c r="L1082" s="24"/>
      <c r="M1082" s="12"/>
      <c r="N1082" s="26" t="str">
        <f t="shared" si="2"/>
        <v>
</v>
      </c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</row>
    <row r="1083">
      <c r="A1083" s="10"/>
      <c r="B1083" s="12"/>
      <c r="C1083" s="12"/>
      <c r="D1083" s="23"/>
      <c r="E1083" s="12"/>
      <c r="F1083" s="12"/>
      <c r="G1083" s="12"/>
      <c r="H1083" s="12"/>
      <c r="I1083" s="23"/>
      <c r="J1083" s="12"/>
      <c r="K1083" s="23"/>
      <c r="L1083" s="24"/>
      <c r="M1083" s="39"/>
      <c r="N1083" s="26" t="str">
        <f t="shared" si="2"/>
        <v>
</v>
      </c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</row>
    <row r="1084">
      <c r="A1084" s="10"/>
      <c r="B1084" s="12"/>
      <c r="C1084" s="12"/>
      <c r="D1084" s="23"/>
      <c r="E1084" s="12"/>
      <c r="F1084" s="12"/>
      <c r="G1084" s="12"/>
      <c r="H1084" s="12"/>
      <c r="I1084" s="23"/>
      <c r="J1084" s="12"/>
      <c r="K1084" s="23"/>
      <c r="L1084" s="24"/>
      <c r="M1084" s="12"/>
      <c r="N1084" s="26" t="str">
        <f t="shared" si="2"/>
        <v>
</v>
      </c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</row>
    <row r="1085">
      <c r="A1085" s="10"/>
      <c r="B1085" s="12"/>
      <c r="C1085" s="12"/>
      <c r="D1085" s="23"/>
      <c r="E1085" s="12"/>
      <c r="F1085" s="12"/>
      <c r="G1085" s="12"/>
      <c r="H1085" s="12"/>
      <c r="I1085" s="23"/>
      <c r="J1085" s="12"/>
      <c r="K1085" s="23"/>
      <c r="L1085" s="24"/>
      <c r="M1085" s="12"/>
      <c r="N1085" s="26" t="str">
        <f t="shared" si="2"/>
        <v>
</v>
      </c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</row>
    <row r="1086">
      <c r="A1086" s="10"/>
      <c r="B1086" s="12"/>
      <c r="C1086" s="12"/>
      <c r="D1086" s="23"/>
      <c r="E1086" s="12"/>
      <c r="F1086" s="12"/>
      <c r="G1086" s="12"/>
      <c r="H1086" s="12"/>
      <c r="I1086" s="23"/>
      <c r="J1086" s="12"/>
      <c r="K1086" s="23"/>
      <c r="L1086" s="24"/>
      <c r="M1086" s="12"/>
      <c r="N1086" s="26" t="str">
        <f t="shared" si="2"/>
        <v>
</v>
      </c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</row>
    <row r="1087">
      <c r="A1087" s="10"/>
      <c r="B1087" s="12"/>
      <c r="C1087" s="12"/>
      <c r="D1087" s="23"/>
      <c r="E1087" s="12"/>
      <c r="F1087" s="12"/>
      <c r="G1087" s="12"/>
      <c r="H1087" s="12"/>
      <c r="I1087" s="23"/>
      <c r="J1087" s="12"/>
      <c r="K1087" s="23"/>
      <c r="L1087" s="24"/>
      <c r="M1087" s="12"/>
      <c r="N1087" s="26" t="str">
        <f t="shared" si="2"/>
        <v>
</v>
      </c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</row>
    <row r="1088">
      <c r="A1088" s="10"/>
      <c r="B1088" s="12"/>
      <c r="C1088" s="12"/>
      <c r="D1088" s="23"/>
      <c r="E1088" s="12"/>
      <c r="F1088" s="12"/>
      <c r="G1088" s="12"/>
      <c r="H1088" s="12"/>
      <c r="I1088" s="23"/>
      <c r="J1088" s="12"/>
      <c r="K1088" s="23"/>
      <c r="L1088" s="24"/>
      <c r="M1088" s="12"/>
      <c r="N1088" s="26" t="str">
        <f t="shared" si="2"/>
        <v>
</v>
      </c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</row>
    <row r="1089">
      <c r="A1089" s="10"/>
      <c r="B1089" s="12"/>
      <c r="C1089" s="12"/>
      <c r="D1089" s="23"/>
      <c r="E1089" s="12"/>
      <c r="F1089" s="12"/>
      <c r="G1089" s="12"/>
      <c r="H1089" s="12"/>
      <c r="I1089" s="23"/>
      <c r="J1089" s="12"/>
      <c r="K1089" s="23"/>
      <c r="L1089" s="24"/>
      <c r="M1089" s="12"/>
      <c r="N1089" s="26" t="str">
        <f t="shared" si="2"/>
        <v>
</v>
      </c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</row>
    <row r="1090">
      <c r="A1090" s="10"/>
      <c r="B1090" s="12"/>
      <c r="C1090" s="12"/>
      <c r="D1090" s="23"/>
      <c r="E1090" s="12"/>
      <c r="F1090" s="12"/>
      <c r="G1090" s="12"/>
      <c r="H1090" s="12"/>
      <c r="I1090" s="23"/>
      <c r="J1090" s="12"/>
      <c r="K1090" s="23"/>
      <c r="L1090" s="24"/>
      <c r="M1090" s="39"/>
      <c r="N1090" s="26" t="str">
        <f t="shared" si="2"/>
        <v>
</v>
      </c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</row>
    <row r="1091">
      <c r="A1091" s="10"/>
      <c r="B1091" s="12"/>
      <c r="C1091" s="12"/>
      <c r="D1091" s="23"/>
      <c r="E1091" s="12"/>
      <c r="F1091" s="12"/>
      <c r="G1091" s="12"/>
      <c r="H1091" s="12"/>
      <c r="I1091" s="23"/>
      <c r="J1091" s="12"/>
      <c r="K1091" s="23"/>
      <c r="L1091" s="24"/>
      <c r="M1091" s="12"/>
      <c r="N1091" s="26" t="str">
        <f t="shared" si="2"/>
        <v>
</v>
      </c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</row>
    <row r="1092">
      <c r="A1092" s="10"/>
      <c r="B1092" s="12"/>
      <c r="C1092" s="12"/>
      <c r="D1092" s="23"/>
      <c r="E1092" s="12"/>
      <c r="F1092" s="12"/>
      <c r="G1092" s="12"/>
      <c r="H1092" s="12"/>
      <c r="I1092" s="23"/>
      <c r="J1092" s="12"/>
      <c r="K1092" s="23"/>
      <c r="L1092" s="24"/>
      <c r="M1092" s="12"/>
      <c r="N1092" s="26" t="str">
        <f t="shared" si="2"/>
        <v>
</v>
      </c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</row>
    <row r="1093">
      <c r="A1093" s="10"/>
      <c r="B1093" s="12"/>
      <c r="C1093" s="12"/>
      <c r="D1093" s="23"/>
      <c r="E1093" s="12"/>
      <c r="F1093" s="12"/>
      <c r="G1093" s="12"/>
      <c r="H1093" s="12"/>
      <c r="I1093" s="23"/>
      <c r="J1093" s="12"/>
      <c r="K1093" s="23"/>
      <c r="L1093" s="24"/>
      <c r="M1093" s="12"/>
      <c r="N1093" s="26" t="str">
        <f t="shared" si="2"/>
        <v>
</v>
      </c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</row>
    <row r="1094">
      <c r="A1094" s="10"/>
      <c r="B1094" s="12"/>
      <c r="C1094" s="12"/>
      <c r="D1094" s="23"/>
      <c r="E1094" s="12"/>
      <c r="F1094" s="12"/>
      <c r="G1094" s="12"/>
      <c r="H1094" s="12"/>
      <c r="I1094" s="23"/>
      <c r="J1094" s="12"/>
      <c r="K1094" s="23"/>
      <c r="L1094" s="24"/>
      <c r="M1094" s="39"/>
      <c r="N1094" s="26" t="str">
        <f t="shared" si="2"/>
        <v>
</v>
      </c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</row>
    <row r="1095">
      <c r="A1095" s="10"/>
      <c r="B1095" s="12"/>
      <c r="C1095" s="12"/>
      <c r="D1095" s="23"/>
      <c r="E1095" s="12"/>
      <c r="F1095" s="12"/>
      <c r="G1095" s="12"/>
      <c r="H1095" s="12"/>
      <c r="I1095" s="23"/>
      <c r="J1095" s="12"/>
      <c r="K1095" s="23"/>
      <c r="L1095" s="24"/>
      <c r="M1095" s="12"/>
      <c r="N1095" s="26" t="str">
        <f t="shared" si="2"/>
        <v>
</v>
      </c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</row>
    <row r="1096">
      <c r="A1096" s="10"/>
      <c r="B1096" s="12"/>
      <c r="C1096" s="12"/>
      <c r="D1096" s="23"/>
      <c r="E1096" s="12"/>
      <c r="F1096" s="12"/>
      <c r="G1096" s="12"/>
      <c r="H1096" s="12"/>
      <c r="I1096" s="23"/>
      <c r="J1096" s="12"/>
      <c r="K1096" s="23"/>
      <c r="L1096" s="24"/>
      <c r="M1096" s="12"/>
      <c r="N1096" s="26" t="str">
        <f t="shared" si="2"/>
        <v>
</v>
      </c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</row>
    <row r="1097">
      <c r="A1097" s="10"/>
      <c r="B1097" s="12"/>
      <c r="C1097" s="12"/>
      <c r="D1097" s="23"/>
      <c r="E1097" s="12"/>
      <c r="F1097" s="12"/>
      <c r="G1097" s="12"/>
      <c r="H1097" s="12"/>
      <c r="I1097" s="23"/>
      <c r="J1097" s="12"/>
      <c r="K1097" s="23"/>
      <c r="L1097" s="24"/>
      <c r="M1097" s="39"/>
      <c r="N1097" s="26" t="str">
        <f t="shared" si="2"/>
        <v>
</v>
      </c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</row>
    <row r="1098">
      <c r="A1098" s="10"/>
      <c r="B1098" s="12"/>
      <c r="C1098" s="12"/>
      <c r="D1098" s="23"/>
      <c r="E1098" s="12"/>
      <c r="F1098" s="12"/>
      <c r="G1098" s="12"/>
      <c r="H1098" s="12"/>
      <c r="I1098" s="23"/>
      <c r="J1098" s="12"/>
      <c r="K1098" s="23"/>
      <c r="L1098" s="24"/>
      <c r="M1098" s="12"/>
      <c r="N1098" s="26" t="str">
        <f t="shared" si="2"/>
        <v>
</v>
      </c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</row>
    <row r="1099">
      <c r="A1099" s="10"/>
      <c r="B1099" s="12"/>
      <c r="C1099" s="12"/>
      <c r="D1099" s="23"/>
      <c r="E1099" s="12"/>
      <c r="F1099" s="12"/>
      <c r="G1099" s="12"/>
      <c r="H1099" s="12"/>
      <c r="I1099" s="23"/>
      <c r="J1099" s="12"/>
      <c r="K1099" s="23"/>
      <c r="L1099" s="24"/>
      <c r="M1099" s="12"/>
      <c r="N1099" s="26" t="str">
        <f t="shared" si="2"/>
        <v>
</v>
      </c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</row>
    <row r="1100">
      <c r="A1100" s="10"/>
      <c r="B1100" s="12"/>
      <c r="C1100" s="12"/>
      <c r="D1100" s="23"/>
      <c r="E1100" s="12"/>
      <c r="F1100" s="12"/>
      <c r="G1100" s="12"/>
      <c r="H1100" s="12"/>
      <c r="I1100" s="23"/>
      <c r="J1100" s="12"/>
      <c r="K1100" s="23"/>
      <c r="L1100" s="24"/>
      <c r="M1100" s="12"/>
      <c r="N1100" s="26" t="str">
        <f t="shared" si="2"/>
        <v>
</v>
      </c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</row>
    <row r="1101">
      <c r="A1101" s="10"/>
      <c r="B1101" s="12"/>
      <c r="C1101" s="12"/>
      <c r="D1101" s="23"/>
      <c r="E1101" s="12"/>
      <c r="F1101" s="12"/>
      <c r="G1101" s="12"/>
      <c r="H1101" s="12"/>
      <c r="I1101" s="23"/>
      <c r="J1101" s="12"/>
      <c r="K1101" s="23"/>
      <c r="L1101" s="24"/>
      <c r="M1101" s="39"/>
      <c r="N1101" s="26" t="str">
        <f t="shared" si="2"/>
        <v>
</v>
      </c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</row>
    <row r="1102">
      <c r="A1102" s="10"/>
      <c r="B1102" s="12"/>
      <c r="C1102" s="12"/>
      <c r="D1102" s="23"/>
      <c r="E1102" s="12"/>
      <c r="F1102" s="12"/>
      <c r="G1102" s="12"/>
      <c r="H1102" s="12"/>
      <c r="I1102" s="23"/>
      <c r="J1102" s="12"/>
      <c r="K1102" s="23"/>
      <c r="L1102" s="24"/>
      <c r="M1102" s="12"/>
      <c r="N1102" s="26" t="str">
        <f t="shared" si="2"/>
        <v>
</v>
      </c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</row>
    <row r="1103">
      <c r="A1103" s="10"/>
      <c r="B1103" s="12"/>
      <c r="C1103" s="12"/>
      <c r="D1103" s="23"/>
      <c r="E1103" s="12"/>
      <c r="F1103" s="12"/>
      <c r="G1103" s="12"/>
      <c r="H1103" s="12"/>
      <c r="I1103" s="23"/>
      <c r="J1103" s="12"/>
      <c r="K1103" s="23"/>
      <c r="L1103" s="24"/>
      <c r="M1103" s="39"/>
      <c r="N1103" s="26" t="str">
        <f t="shared" si="2"/>
        <v>
</v>
      </c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</row>
    <row r="1104">
      <c r="A1104" s="10"/>
      <c r="B1104" s="12"/>
      <c r="C1104" s="12"/>
      <c r="D1104" s="23"/>
      <c r="E1104" s="12"/>
      <c r="F1104" s="12"/>
      <c r="G1104" s="12"/>
      <c r="H1104" s="12"/>
      <c r="I1104" s="23"/>
      <c r="J1104" s="12"/>
      <c r="K1104" s="23"/>
      <c r="L1104" s="24"/>
      <c r="M1104" s="39"/>
      <c r="N1104" s="26" t="str">
        <f t="shared" si="2"/>
        <v>
</v>
      </c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</row>
    <row r="1105">
      <c r="A1105" s="10"/>
      <c r="B1105" s="12"/>
      <c r="C1105" s="12"/>
      <c r="D1105" s="23"/>
      <c r="E1105" s="12"/>
      <c r="F1105" s="12"/>
      <c r="G1105" s="12"/>
      <c r="H1105" s="12"/>
      <c r="I1105" s="23"/>
      <c r="J1105" s="12"/>
      <c r="K1105" s="23"/>
      <c r="L1105" s="24"/>
      <c r="M1105" s="12"/>
      <c r="N1105" s="26" t="str">
        <f t="shared" si="2"/>
        <v>
</v>
      </c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</row>
    <row r="1106">
      <c r="A1106" s="10"/>
      <c r="B1106" s="12"/>
      <c r="C1106" s="12"/>
      <c r="D1106" s="23"/>
      <c r="E1106" s="12"/>
      <c r="F1106" s="12"/>
      <c r="G1106" s="12"/>
      <c r="H1106" s="12"/>
      <c r="I1106" s="23"/>
      <c r="J1106" s="12"/>
      <c r="K1106" s="23"/>
      <c r="L1106" s="24"/>
      <c r="M1106" s="12"/>
      <c r="N1106" s="26" t="str">
        <f t="shared" si="2"/>
        <v>
</v>
      </c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</row>
    <row r="1107">
      <c r="A1107" s="10"/>
      <c r="B1107" s="12"/>
      <c r="C1107" s="12"/>
      <c r="D1107" s="23"/>
      <c r="E1107" s="12"/>
      <c r="F1107" s="12"/>
      <c r="G1107" s="12"/>
      <c r="H1107" s="12"/>
      <c r="I1107" s="23"/>
      <c r="J1107" s="12"/>
      <c r="K1107" s="23"/>
      <c r="L1107" s="24"/>
      <c r="M1107" s="39"/>
      <c r="N1107" s="26" t="str">
        <f t="shared" si="2"/>
        <v>
</v>
      </c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</row>
    <row r="1108">
      <c r="A1108" s="10"/>
      <c r="B1108" s="12"/>
      <c r="C1108" s="12"/>
      <c r="D1108" s="23"/>
      <c r="E1108" s="12"/>
      <c r="F1108" s="12"/>
      <c r="G1108" s="12"/>
      <c r="H1108" s="12"/>
      <c r="I1108" s="23"/>
      <c r="J1108" s="12"/>
      <c r="K1108" s="23"/>
      <c r="L1108" s="24"/>
      <c r="M1108" s="12"/>
      <c r="N1108" s="26" t="str">
        <f t="shared" si="2"/>
        <v>
</v>
      </c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</row>
    <row r="1109">
      <c r="A1109" s="10"/>
      <c r="B1109" s="12"/>
      <c r="C1109" s="12"/>
      <c r="D1109" s="23"/>
      <c r="E1109" s="12"/>
      <c r="F1109" s="12"/>
      <c r="G1109" s="12"/>
      <c r="H1109" s="12"/>
      <c r="I1109" s="23"/>
      <c r="J1109" s="12"/>
      <c r="K1109" s="23"/>
      <c r="L1109" s="24"/>
      <c r="M1109" s="12"/>
      <c r="N1109" s="26" t="str">
        <f t="shared" si="2"/>
        <v>
</v>
      </c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</row>
    <row r="1110">
      <c r="A1110" s="10"/>
      <c r="B1110" s="12"/>
      <c r="C1110" s="12"/>
      <c r="D1110" s="23"/>
      <c r="E1110" s="12"/>
      <c r="F1110" s="12"/>
      <c r="G1110" s="12"/>
      <c r="H1110" s="12"/>
      <c r="I1110" s="23"/>
      <c r="J1110" s="12"/>
      <c r="K1110" s="23"/>
      <c r="L1110" s="24"/>
      <c r="M1110" s="12"/>
      <c r="N1110" s="26" t="str">
        <f t="shared" si="2"/>
        <v>
</v>
      </c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</row>
    <row r="1111">
      <c r="A1111" s="10"/>
      <c r="B1111" s="12"/>
      <c r="C1111" s="12"/>
      <c r="D1111" s="23"/>
      <c r="E1111" s="12"/>
      <c r="F1111" s="12"/>
      <c r="G1111" s="12"/>
      <c r="H1111" s="12"/>
      <c r="I1111" s="23"/>
      <c r="J1111" s="12"/>
      <c r="K1111" s="23"/>
      <c r="L1111" s="24"/>
      <c r="M1111" s="12"/>
      <c r="N1111" s="26" t="str">
        <f t="shared" si="2"/>
        <v>
</v>
      </c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</row>
    <row r="1112">
      <c r="A1112" s="10"/>
      <c r="B1112" s="12"/>
      <c r="C1112" s="12"/>
      <c r="D1112" s="23"/>
      <c r="E1112" s="12"/>
      <c r="F1112" s="12"/>
      <c r="G1112" s="12"/>
      <c r="H1112" s="12"/>
      <c r="I1112" s="23"/>
      <c r="J1112" s="12"/>
      <c r="K1112" s="23"/>
      <c r="L1112" s="24"/>
      <c r="M1112" s="39"/>
      <c r="N1112" s="26" t="str">
        <f t="shared" si="2"/>
        <v>
</v>
      </c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</row>
    <row r="1113">
      <c r="A1113" s="10"/>
      <c r="B1113" s="12"/>
      <c r="C1113" s="12"/>
      <c r="D1113" s="23"/>
      <c r="E1113" s="12"/>
      <c r="F1113" s="12"/>
      <c r="G1113" s="12"/>
      <c r="H1113" s="12"/>
      <c r="I1113" s="23"/>
      <c r="J1113" s="12"/>
      <c r="K1113" s="23"/>
      <c r="L1113" s="24"/>
      <c r="M1113" s="12"/>
      <c r="N1113" s="26" t="str">
        <f t="shared" si="2"/>
        <v>
</v>
      </c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</row>
    <row r="1114">
      <c r="A1114" s="10"/>
      <c r="B1114" s="12"/>
      <c r="C1114" s="12"/>
      <c r="D1114" s="23"/>
      <c r="E1114" s="22"/>
      <c r="F1114" s="12"/>
      <c r="G1114" s="12"/>
      <c r="H1114" s="12"/>
      <c r="I1114" s="23"/>
      <c r="J1114" s="12"/>
      <c r="K1114" s="23"/>
      <c r="L1114" s="24"/>
      <c r="M1114" s="12"/>
      <c r="N1114" s="26" t="str">
        <f t="shared" si="2"/>
        <v>
</v>
      </c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</row>
    <row r="1115">
      <c r="A1115" s="10"/>
      <c r="B1115" s="12"/>
      <c r="C1115" s="12"/>
      <c r="D1115" s="23"/>
      <c r="E1115" s="12"/>
      <c r="F1115" s="12"/>
      <c r="G1115" s="12"/>
      <c r="H1115" s="12"/>
      <c r="I1115" s="23"/>
      <c r="J1115" s="12"/>
      <c r="K1115" s="23"/>
      <c r="L1115" s="24"/>
      <c r="M1115" s="12"/>
      <c r="N1115" s="26" t="str">
        <f t="shared" si="2"/>
        <v>
</v>
      </c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</row>
    <row r="1116">
      <c r="A1116" s="10"/>
      <c r="B1116" s="12"/>
      <c r="C1116" s="12"/>
      <c r="D1116" s="23"/>
      <c r="E1116" s="12"/>
      <c r="F1116" s="12"/>
      <c r="G1116" s="12"/>
      <c r="H1116" s="12"/>
      <c r="I1116" s="23"/>
      <c r="J1116" s="12"/>
      <c r="K1116" s="23"/>
      <c r="L1116" s="24"/>
      <c r="M1116" s="12"/>
      <c r="N1116" s="26" t="str">
        <f t="shared" si="2"/>
        <v>
</v>
      </c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</row>
    <row r="1117">
      <c r="A1117" s="10"/>
      <c r="B1117" s="12"/>
      <c r="C1117" s="12"/>
      <c r="D1117" s="23"/>
      <c r="E1117" s="12"/>
      <c r="F1117" s="12"/>
      <c r="G1117" s="12"/>
      <c r="H1117" s="12"/>
      <c r="I1117" s="23"/>
      <c r="J1117" s="12"/>
      <c r="K1117" s="23"/>
      <c r="L1117" s="24"/>
      <c r="M1117" s="12"/>
      <c r="N1117" s="26" t="str">
        <f t="shared" si="2"/>
        <v>
</v>
      </c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</row>
    <row r="1118">
      <c r="A1118" s="10"/>
      <c r="B1118" s="12"/>
      <c r="C1118" s="12"/>
      <c r="D1118" s="23"/>
      <c r="E1118" s="12"/>
      <c r="F1118" s="12"/>
      <c r="G1118" s="12"/>
      <c r="H1118" s="12"/>
      <c r="I1118" s="23"/>
      <c r="J1118" s="12"/>
      <c r="K1118" s="23"/>
      <c r="L1118" s="24"/>
      <c r="M1118" s="12"/>
      <c r="N1118" s="26" t="str">
        <f t="shared" si="2"/>
        <v>
</v>
      </c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</row>
    <row r="1119">
      <c r="A1119" s="10"/>
      <c r="B1119" s="12"/>
      <c r="C1119" s="12"/>
      <c r="D1119" s="23"/>
      <c r="E1119" s="12"/>
      <c r="F1119" s="12"/>
      <c r="G1119" s="12"/>
      <c r="H1119" s="12"/>
      <c r="I1119" s="23"/>
      <c r="J1119" s="12"/>
      <c r="K1119" s="23"/>
      <c r="L1119" s="24"/>
      <c r="M1119" s="39"/>
      <c r="N1119" s="26" t="str">
        <f t="shared" si="2"/>
        <v>
</v>
      </c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</row>
    <row r="1120">
      <c r="A1120" s="10"/>
      <c r="B1120" s="12"/>
      <c r="C1120" s="12"/>
      <c r="D1120" s="23"/>
      <c r="E1120" s="12"/>
      <c r="F1120" s="12"/>
      <c r="G1120" s="12"/>
      <c r="H1120" s="12"/>
      <c r="I1120" s="23"/>
      <c r="J1120" s="12"/>
      <c r="K1120" s="23"/>
      <c r="L1120" s="24"/>
      <c r="M1120" s="12"/>
      <c r="N1120" s="26" t="str">
        <f t="shared" si="2"/>
        <v>
</v>
      </c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</row>
    <row r="1121">
      <c r="A1121" s="10"/>
      <c r="B1121" s="12"/>
      <c r="C1121" s="12"/>
      <c r="D1121" s="23"/>
      <c r="E1121" s="12"/>
      <c r="F1121" s="12"/>
      <c r="G1121" s="12"/>
      <c r="H1121" s="12"/>
      <c r="I1121" s="23"/>
      <c r="J1121" s="12"/>
      <c r="K1121" s="23"/>
      <c r="L1121" s="24"/>
      <c r="M1121" s="12"/>
      <c r="N1121" s="26" t="str">
        <f t="shared" si="2"/>
        <v>
</v>
      </c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</row>
    <row r="1122">
      <c r="A1122" s="10"/>
      <c r="B1122" s="12"/>
      <c r="C1122" s="12"/>
      <c r="D1122" s="23"/>
      <c r="E1122" s="12"/>
      <c r="F1122" s="12"/>
      <c r="G1122" s="12"/>
      <c r="H1122" s="12"/>
      <c r="I1122" s="23"/>
      <c r="J1122" s="12"/>
      <c r="K1122" s="23"/>
      <c r="L1122" s="24"/>
      <c r="M1122" s="12"/>
      <c r="N1122" s="26" t="str">
        <f t="shared" si="2"/>
        <v>
</v>
      </c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</row>
    <row r="1123">
      <c r="A1123" s="10"/>
      <c r="B1123" s="12"/>
      <c r="C1123" s="12"/>
      <c r="D1123" s="23"/>
      <c r="E1123" s="12"/>
      <c r="F1123" s="12"/>
      <c r="G1123" s="12"/>
      <c r="H1123" s="12"/>
      <c r="I1123" s="23"/>
      <c r="J1123" s="12"/>
      <c r="K1123" s="23"/>
      <c r="L1123" s="24"/>
      <c r="M1123" s="12"/>
      <c r="N1123" s="26" t="str">
        <f t="shared" si="2"/>
        <v>
</v>
      </c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</row>
    <row r="1124">
      <c r="A1124" s="10"/>
      <c r="B1124" s="12"/>
      <c r="C1124" s="12"/>
      <c r="D1124" s="23"/>
      <c r="E1124" s="12"/>
      <c r="F1124" s="12"/>
      <c r="G1124" s="12"/>
      <c r="H1124" s="12"/>
      <c r="I1124" s="23"/>
      <c r="J1124" s="12"/>
      <c r="K1124" s="23"/>
      <c r="L1124" s="24"/>
      <c r="M1124" s="12"/>
      <c r="N1124" s="26" t="str">
        <f t="shared" si="2"/>
        <v>
</v>
      </c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</row>
    <row r="1125">
      <c r="A1125" s="10"/>
      <c r="B1125" s="12"/>
      <c r="C1125" s="12"/>
      <c r="D1125" s="23"/>
      <c r="E1125" s="12"/>
      <c r="F1125" s="12"/>
      <c r="G1125" s="12"/>
      <c r="H1125" s="12"/>
      <c r="I1125" s="23"/>
      <c r="J1125" s="12"/>
      <c r="K1125" s="23"/>
      <c r="L1125" s="24"/>
      <c r="M1125" s="12"/>
      <c r="N1125" s="26" t="str">
        <f t="shared" si="2"/>
        <v>
</v>
      </c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</row>
    <row r="1126">
      <c r="A1126" s="10"/>
      <c r="B1126" s="12"/>
      <c r="C1126" s="12"/>
      <c r="D1126" s="23"/>
      <c r="E1126" s="12"/>
      <c r="F1126" s="12"/>
      <c r="G1126" s="12"/>
      <c r="H1126" s="12"/>
      <c r="I1126" s="23"/>
      <c r="J1126" s="12"/>
      <c r="K1126" s="23"/>
      <c r="L1126" s="24"/>
      <c r="M1126" s="39"/>
      <c r="N1126" s="26" t="str">
        <f t="shared" si="2"/>
        <v>
</v>
      </c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</row>
    <row r="1127">
      <c r="A1127" s="10"/>
      <c r="B1127" s="12"/>
      <c r="C1127" s="12"/>
      <c r="D1127" s="23"/>
      <c r="E1127" s="12"/>
      <c r="F1127" s="12"/>
      <c r="G1127" s="12"/>
      <c r="H1127" s="12"/>
      <c r="I1127" s="23"/>
      <c r="J1127" s="12"/>
      <c r="K1127" s="23"/>
      <c r="L1127" s="24"/>
      <c r="M1127" s="39"/>
      <c r="N1127" s="26" t="str">
        <f t="shared" si="2"/>
        <v>
</v>
      </c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</row>
    <row r="1128">
      <c r="A1128" s="10"/>
      <c r="B1128" s="12"/>
      <c r="C1128" s="12"/>
      <c r="D1128" s="23"/>
      <c r="E1128" s="12"/>
      <c r="F1128" s="12"/>
      <c r="G1128" s="12"/>
      <c r="H1128" s="12"/>
      <c r="I1128" s="23"/>
      <c r="J1128" s="12"/>
      <c r="K1128" s="23"/>
      <c r="L1128" s="24"/>
      <c r="M1128" s="12"/>
      <c r="N1128" s="26" t="str">
        <f t="shared" si="2"/>
        <v>
</v>
      </c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</row>
    <row r="1129">
      <c r="A1129" s="10"/>
      <c r="B1129" s="12"/>
      <c r="C1129" s="12"/>
      <c r="D1129" s="23"/>
      <c r="E1129" s="12"/>
      <c r="F1129" s="12"/>
      <c r="G1129" s="12"/>
      <c r="H1129" s="12"/>
      <c r="I1129" s="23"/>
      <c r="J1129" s="12"/>
      <c r="K1129" s="23"/>
      <c r="L1129" s="24"/>
      <c r="M1129" s="39"/>
      <c r="N1129" s="26" t="str">
        <f t="shared" si="2"/>
        <v>
</v>
      </c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</row>
    <row r="1130">
      <c r="A1130" s="10"/>
      <c r="B1130" s="12"/>
      <c r="C1130" s="12"/>
      <c r="D1130" s="23"/>
      <c r="E1130" s="12"/>
      <c r="F1130" s="12"/>
      <c r="G1130" s="12"/>
      <c r="H1130" s="12"/>
      <c r="I1130" s="23"/>
      <c r="J1130" s="12"/>
      <c r="K1130" s="23"/>
      <c r="L1130" s="24"/>
      <c r="M1130" s="12"/>
      <c r="N1130" s="26" t="str">
        <f t="shared" si="2"/>
        <v>
</v>
      </c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</row>
    <row r="1131">
      <c r="A1131" s="10"/>
      <c r="B1131" s="12"/>
      <c r="C1131" s="12"/>
      <c r="D1131" s="23"/>
      <c r="E1131" s="12"/>
      <c r="F1131" s="12"/>
      <c r="G1131" s="12"/>
      <c r="H1131" s="12"/>
      <c r="I1131" s="23"/>
      <c r="J1131" s="12"/>
      <c r="K1131" s="23"/>
      <c r="L1131" s="24"/>
      <c r="M1131" s="12"/>
      <c r="N1131" s="26" t="str">
        <f t="shared" si="2"/>
        <v>
</v>
      </c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</row>
    <row r="1132">
      <c r="A1132" s="10"/>
      <c r="B1132" s="12"/>
      <c r="C1132" s="12"/>
      <c r="D1132" s="23"/>
      <c r="E1132" s="12"/>
      <c r="F1132" s="12"/>
      <c r="G1132" s="12"/>
      <c r="H1132" s="12"/>
      <c r="I1132" s="23"/>
      <c r="J1132" s="12"/>
      <c r="K1132" s="23"/>
      <c r="L1132" s="24"/>
      <c r="M1132" s="12"/>
      <c r="N1132" s="26" t="str">
        <f t="shared" si="2"/>
        <v>
</v>
      </c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</row>
    <row r="1133">
      <c r="A1133" s="10"/>
      <c r="B1133" s="12"/>
      <c r="C1133" s="12"/>
      <c r="D1133" s="23"/>
      <c r="E1133" s="12"/>
      <c r="F1133" s="12"/>
      <c r="G1133" s="12"/>
      <c r="H1133" s="12"/>
      <c r="I1133" s="23"/>
      <c r="J1133" s="12"/>
      <c r="K1133" s="23"/>
      <c r="L1133" s="24"/>
      <c r="M1133" s="39"/>
      <c r="N1133" s="26" t="str">
        <f t="shared" si="2"/>
        <v>
</v>
      </c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</row>
    <row r="1134">
      <c r="A1134" s="10"/>
      <c r="B1134" s="12"/>
      <c r="C1134" s="12"/>
      <c r="D1134" s="23"/>
      <c r="E1134" s="12"/>
      <c r="F1134" s="12"/>
      <c r="G1134" s="12"/>
      <c r="H1134" s="12"/>
      <c r="I1134" s="23"/>
      <c r="J1134" s="12"/>
      <c r="K1134" s="23"/>
      <c r="L1134" s="24"/>
      <c r="M1134" s="12"/>
      <c r="N1134" s="26" t="str">
        <f t="shared" si="2"/>
        <v>
</v>
      </c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</row>
    <row r="1135">
      <c r="A1135" s="10"/>
      <c r="B1135" s="12"/>
      <c r="C1135" s="12"/>
      <c r="D1135" s="23"/>
      <c r="E1135" s="12"/>
      <c r="F1135" s="12"/>
      <c r="G1135" s="12"/>
      <c r="H1135" s="12"/>
      <c r="I1135" s="23"/>
      <c r="J1135" s="12"/>
      <c r="K1135" s="23"/>
      <c r="L1135" s="24"/>
      <c r="M1135" s="12"/>
      <c r="N1135" s="26" t="str">
        <f t="shared" si="2"/>
        <v>
</v>
      </c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</row>
    <row r="1136">
      <c r="A1136" s="10"/>
      <c r="B1136" s="12"/>
      <c r="C1136" s="12"/>
      <c r="D1136" s="23"/>
      <c r="E1136" s="12"/>
      <c r="F1136" s="12"/>
      <c r="G1136" s="12"/>
      <c r="H1136" s="12"/>
      <c r="I1136" s="23"/>
      <c r="J1136" s="12"/>
      <c r="K1136" s="23"/>
      <c r="L1136" s="24"/>
      <c r="M1136" s="39"/>
      <c r="N1136" s="26" t="str">
        <f t="shared" si="2"/>
        <v>
</v>
      </c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</row>
    <row r="1137">
      <c r="A1137" s="10"/>
      <c r="B1137" s="12"/>
      <c r="C1137" s="12"/>
      <c r="D1137" s="23"/>
      <c r="E1137" s="12"/>
      <c r="F1137" s="12"/>
      <c r="G1137" s="12"/>
      <c r="H1137" s="12"/>
      <c r="I1137" s="23"/>
      <c r="J1137" s="12"/>
      <c r="K1137" s="23"/>
      <c r="L1137" s="24"/>
      <c r="M1137" s="12"/>
      <c r="N1137" s="26" t="str">
        <f t="shared" si="2"/>
        <v>
</v>
      </c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</row>
    <row r="1138">
      <c r="A1138" s="10"/>
      <c r="B1138" s="12"/>
      <c r="C1138" s="12"/>
      <c r="D1138" s="23"/>
      <c r="E1138" s="12"/>
      <c r="F1138" s="12"/>
      <c r="G1138" s="12"/>
      <c r="H1138" s="12"/>
      <c r="I1138" s="23"/>
      <c r="J1138" s="12"/>
      <c r="K1138" s="23"/>
      <c r="L1138" s="24"/>
      <c r="M1138" s="39"/>
      <c r="N1138" s="26" t="str">
        <f t="shared" si="2"/>
        <v>
</v>
      </c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</row>
    <row r="1139">
      <c r="A1139" s="10"/>
      <c r="B1139" s="12"/>
      <c r="C1139" s="12"/>
      <c r="D1139" s="23"/>
      <c r="E1139" s="12"/>
      <c r="F1139" s="12"/>
      <c r="G1139" s="12"/>
      <c r="H1139" s="12"/>
      <c r="I1139" s="23"/>
      <c r="J1139" s="12"/>
      <c r="K1139" s="23"/>
      <c r="L1139" s="24"/>
      <c r="M1139" s="12"/>
      <c r="N1139" s="26" t="str">
        <f t="shared" si="2"/>
        <v>
</v>
      </c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</row>
    <row r="1140">
      <c r="A1140" s="10"/>
      <c r="B1140" s="12"/>
      <c r="C1140" s="12"/>
      <c r="D1140" s="23"/>
      <c r="E1140" s="12"/>
      <c r="F1140" s="12"/>
      <c r="G1140" s="12"/>
      <c r="H1140" s="12"/>
      <c r="I1140" s="23"/>
      <c r="J1140" s="12"/>
      <c r="K1140" s="23"/>
      <c r="L1140" s="24"/>
      <c r="M1140" s="12"/>
      <c r="N1140" s="26" t="str">
        <f t="shared" si="2"/>
        <v>
</v>
      </c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</row>
    <row r="1141">
      <c r="A1141" s="10"/>
      <c r="B1141" s="12"/>
      <c r="C1141" s="12"/>
      <c r="D1141" s="23"/>
      <c r="E1141" s="12"/>
      <c r="F1141" s="12"/>
      <c r="G1141" s="12"/>
      <c r="H1141" s="12"/>
      <c r="I1141" s="23"/>
      <c r="J1141" s="12"/>
      <c r="K1141" s="23"/>
      <c r="L1141" s="24"/>
      <c r="M1141" s="12"/>
      <c r="N1141" s="26" t="str">
        <f t="shared" si="2"/>
        <v>
</v>
      </c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</row>
    <row r="1142">
      <c r="A1142" s="10"/>
      <c r="B1142" s="12"/>
      <c r="C1142" s="12"/>
      <c r="D1142" s="23"/>
      <c r="E1142" s="12"/>
      <c r="F1142" s="12"/>
      <c r="G1142" s="12"/>
      <c r="H1142" s="12"/>
      <c r="I1142" s="23"/>
      <c r="J1142" s="12"/>
      <c r="K1142" s="23"/>
      <c r="L1142" s="24"/>
      <c r="M1142" s="12"/>
      <c r="N1142" s="26" t="str">
        <f t="shared" si="2"/>
        <v>
</v>
      </c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</row>
    <row r="1143">
      <c r="A1143" s="10"/>
      <c r="B1143" s="12"/>
      <c r="C1143" s="12"/>
      <c r="D1143" s="23"/>
      <c r="E1143" s="12"/>
      <c r="F1143" s="12"/>
      <c r="G1143" s="12"/>
      <c r="H1143" s="12"/>
      <c r="I1143" s="23"/>
      <c r="J1143" s="12"/>
      <c r="K1143" s="23"/>
      <c r="L1143" s="24"/>
      <c r="M1143" s="12"/>
      <c r="N1143" s="26" t="str">
        <f t="shared" si="2"/>
        <v>
</v>
      </c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</row>
    <row r="1144">
      <c r="A1144" s="10"/>
      <c r="B1144" s="12"/>
      <c r="C1144" s="12"/>
      <c r="D1144" s="23"/>
      <c r="E1144" s="12"/>
      <c r="F1144" s="12"/>
      <c r="G1144" s="12"/>
      <c r="H1144" s="12"/>
      <c r="I1144" s="23"/>
      <c r="J1144" s="12"/>
      <c r="K1144" s="23"/>
      <c r="L1144" s="24"/>
      <c r="M1144" s="12"/>
      <c r="N1144" s="26" t="str">
        <f t="shared" si="2"/>
        <v>
</v>
      </c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</row>
    <row r="1145">
      <c r="A1145" s="10"/>
      <c r="B1145" s="12"/>
      <c r="C1145" s="12"/>
      <c r="D1145" s="23"/>
      <c r="E1145" s="12"/>
      <c r="F1145" s="12"/>
      <c r="G1145" s="12"/>
      <c r="H1145" s="12"/>
      <c r="I1145" s="23"/>
      <c r="J1145" s="12"/>
      <c r="K1145" s="23"/>
      <c r="L1145" s="24"/>
      <c r="M1145" s="12"/>
      <c r="N1145" s="26" t="str">
        <f t="shared" si="2"/>
        <v>
</v>
      </c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</row>
    <row r="1146">
      <c r="A1146" s="10"/>
      <c r="B1146" s="12"/>
      <c r="C1146" s="12"/>
      <c r="D1146" s="23"/>
      <c r="E1146" s="12"/>
      <c r="F1146" s="12"/>
      <c r="G1146" s="12"/>
      <c r="H1146" s="12"/>
      <c r="I1146" s="23"/>
      <c r="J1146" s="12"/>
      <c r="K1146" s="23"/>
      <c r="L1146" s="24"/>
      <c r="M1146" s="12"/>
      <c r="N1146" s="26" t="str">
        <f t="shared" si="2"/>
        <v>
</v>
      </c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</row>
    <row r="1147">
      <c r="A1147" s="10"/>
      <c r="B1147" s="12"/>
      <c r="C1147" s="12"/>
      <c r="D1147" s="23"/>
      <c r="E1147" s="12"/>
      <c r="F1147" s="12"/>
      <c r="G1147" s="12"/>
      <c r="H1147" s="12"/>
      <c r="I1147" s="23"/>
      <c r="J1147" s="12"/>
      <c r="K1147" s="23"/>
      <c r="L1147" s="24"/>
      <c r="M1147" s="12"/>
      <c r="N1147" s="26" t="str">
        <f t="shared" si="2"/>
        <v>
</v>
      </c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</row>
    <row r="1148">
      <c r="A1148" s="10"/>
      <c r="B1148" s="12"/>
      <c r="C1148" s="12"/>
      <c r="D1148" s="23"/>
      <c r="E1148" s="12"/>
      <c r="F1148" s="12"/>
      <c r="G1148" s="12"/>
      <c r="H1148" s="12"/>
      <c r="I1148" s="23"/>
      <c r="J1148" s="12"/>
      <c r="K1148" s="23"/>
      <c r="L1148" s="24"/>
      <c r="M1148" s="12"/>
      <c r="N1148" s="26" t="str">
        <f t="shared" si="2"/>
        <v>
</v>
      </c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</row>
    <row r="1149">
      <c r="A1149" s="10"/>
      <c r="B1149" s="12"/>
      <c r="C1149" s="12"/>
      <c r="D1149" s="23"/>
      <c r="E1149" s="12"/>
      <c r="F1149" s="12"/>
      <c r="G1149" s="12"/>
      <c r="H1149" s="12"/>
      <c r="I1149" s="23"/>
      <c r="J1149" s="12"/>
      <c r="K1149" s="23"/>
      <c r="L1149" s="24"/>
      <c r="M1149" s="12"/>
      <c r="N1149" s="26" t="str">
        <f t="shared" si="2"/>
        <v>
</v>
      </c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</row>
    <row r="1150">
      <c r="A1150" s="10"/>
      <c r="B1150" s="12"/>
      <c r="C1150" s="12"/>
      <c r="D1150" s="23"/>
      <c r="E1150" s="12"/>
      <c r="F1150" s="12"/>
      <c r="G1150" s="12"/>
      <c r="H1150" s="12"/>
      <c r="I1150" s="23"/>
      <c r="J1150" s="12"/>
      <c r="K1150" s="23"/>
      <c r="L1150" s="24"/>
      <c r="M1150" s="12"/>
      <c r="N1150" s="26" t="str">
        <f t="shared" si="2"/>
        <v>
</v>
      </c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</row>
    <row r="1151">
      <c r="A1151" s="10"/>
      <c r="B1151" s="12"/>
      <c r="C1151" s="12"/>
      <c r="D1151" s="23"/>
      <c r="E1151" s="12"/>
      <c r="F1151" s="12"/>
      <c r="G1151" s="12"/>
      <c r="H1151" s="12"/>
      <c r="I1151" s="23"/>
      <c r="J1151" s="12"/>
      <c r="K1151" s="23"/>
      <c r="L1151" s="24"/>
      <c r="M1151" s="12"/>
      <c r="N1151" s="26" t="str">
        <f t="shared" si="2"/>
        <v>
</v>
      </c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</row>
    <row r="1152">
      <c r="A1152" s="10"/>
      <c r="B1152" s="12"/>
      <c r="C1152" s="12"/>
      <c r="D1152" s="23"/>
      <c r="E1152" s="12"/>
      <c r="F1152" s="12"/>
      <c r="G1152" s="12"/>
      <c r="H1152" s="12"/>
      <c r="I1152" s="23"/>
      <c r="J1152" s="12"/>
      <c r="K1152" s="23"/>
      <c r="L1152" s="24"/>
      <c r="M1152" s="12"/>
      <c r="N1152" s="26" t="str">
        <f t="shared" si="2"/>
        <v>
</v>
      </c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</row>
    <row r="1153">
      <c r="A1153" s="10"/>
      <c r="B1153" s="12"/>
      <c r="C1153" s="12"/>
      <c r="D1153" s="23"/>
      <c r="E1153" s="12"/>
      <c r="F1153" s="12"/>
      <c r="G1153" s="12"/>
      <c r="H1153" s="12"/>
      <c r="I1153" s="23"/>
      <c r="J1153" s="12"/>
      <c r="K1153" s="23"/>
      <c r="L1153" s="24"/>
      <c r="M1153" s="39"/>
      <c r="N1153" s="26" t="str">
        <f t="shared" si="2"/>
        <v>
</v>
      </c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</row>
    <row r="1154">
      <c r="A1154" s="10"/>
      <c r="B1154" s="12"/>
      <c r="C1154" s="12"/>
      <c r="D1154" s="23"/>
      <c r="E1154" s="12"/>
      <c r="F1154" s="12"/>
      <c r="G1154" s="12"/>
      <c r="H1154" s="12"/>
      <c r="I1154" s="23"/>
      <c r="J1154" s="12"/>
      <c r="K1154" s="23"/>
      <c r="L1154" s="24"/>
      <c r="M1154" s="39"/>
      <c r="N1154" s="26" t="str">
        <f t="shared" si="2"/>
        <v>
</v>
      </c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</row>
    <row r="1155">
      <c r="A1155" s="10"/>
      <c r="B1155" s="12"/>
      <c r="C1155" s="12"/>
      <c r="D1155" s="23"/>
      <c r="E1155" s="12"/>
      <c r="F1155" s="12"/>
      <c r="G1155" s="12"/>
      <c r="H1155" s="12"/>
      <c r="I1155" s="23"/>
      <c r="J1155" s="12"/>
      <c r="K1155" s="23"/>
      <c r="L1155" s="24"/>
      <c r="M1155" s="12"/>
      <c r="N1155" s="26" t="str">
        <f t="shared" si="2"/>
        <v>
</v>
      </c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</row>
    <row r="1156">
      <c r="A1156" s="10"/>
      <c r="B1156" s="12"/>
      <c r="C1156" s="12"/>
      <c r="D1156" s="23"/>
      <c r="E1156" s="12"/>
      <c r="F1156" s="12"/>
      <c r="G1156" s="12"/>
      <c r="H1156" s="12"/>
      <c r="I1156" s="23"/>
      <c r="J1156" s="12"/>
      <c r="K1156" s="23"/>
      <c r="L1156" s="24"/>
      <c r="M1156" s="12"/>
      <c r="N1156" s="26" t="str">
        <f t="shared" si="2"/>
        <v>
</v>
      </c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</row>
    <row r="1157">
      <c r="A1157" s="10"/>
      <c r="B1157" s="12"/>
      <c r="C1157" s="12"/>
      <c r="D1157" s="23"/>
      <c r="E1157" s="12"/>
      <c r="F1157" s="12"/>
      <c r="G1157" s="12"/>
      <c r="H1157" s="12"/>
      <c r="I1157" s="23"/>
      <c r="J1157" s="12"/>
      <c r="K1157" s="23"/>
      <c r="L1157" s="24"/>
      <c r="M1157" s="39"/>
      <c r="N1157" s="26" t="str">
        <f t="shared" si="2"/>
        <v>
</v>
      </c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</row>
    <row r="1158">
      <c r="A1158" s="10"/>
      <c r="B1158" s="12"/>
      <c r="C1158" s="12"/>
      <c r="D1158" s="23"/>
      <c r="E1158" s="12"/>
      <c r="F1158" s="12"/>
      <c r="G1158" s="12"/>
      <c r="H1158" s="12"/>
      <c r="I1158" s="23"/>
      <c r="J1158" s="12"/>
      <c r="K1158" s="23"/>
      <c r="L1158" s="24"/>
      <c r="M1158" s="12"/>
      <c r="N1158" s="26" t="str">
        <f t="shared" si="2"/>
        <v>
</v>
      </c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</row>
    <row r="1159">
      <c r="A1159" s="10"/>
      <c r="B1159" s="12"/>
      <c r="C1159" s="12"/>
      <c r="D1159" s="23"/>
      <c r="E1159" s="12"/>
      <c r="F1159" s="12"/>
      <c r="G1159" s="12"/>
      <c r="H1159" s="12"/>
      <c r="I1159" s="23"/>
      <c r="J1159" s="12"/>
      <c r="K1159" s="23"/>
      <c r="L1159" s="24"/>
      <c r="M1159" s="12"/>
      <c r="N1159" s="26" t="str">
        <f t="shared" si="2"/>
        <v>
</v>
      </c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</row>
    <row r="1160">
      <c r="A1160" s="10"/>
      <c r="B1160" s="12"/>
      <c r="C1160" s="12"/>
      <c r="D1160" s="23"/>
      <c r="E1160" s="12"/>
      <c r="F1160" s="12"/>
      <c r="G1160" s="12"/>
      <c r="H1160" s="12"/>
      <c r="I1160" s="23"/>
      <c r="J1160" s="12"/>
      <c r="K1160" s="23"/>
      <c r="L1160" s="24"/>
      <c r="M1160" s="12"/>
      <c r="N1160" s="26" t="str">
        <f t="shared" si="2"/>
        <v>
</v>
      </c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</row>
    <row r="1161">
      <c r="A1161" s="10"/>
      <c r="B1161" s="12"/>
      <c r="C1161" s="12"/>
      <c r="D1161" s="23"/>
      <c r="E1161" s="12"/>
      <c r="F1161" s="12"/>
      <c r="G1161" s="12"/>
      <c r="H1161" s="12"/>
      <c r="I1161" s="23"/>
      <c r="J1161" s="12"/>
      <c r="K1161" s="23"/>
      <c r="L1161" s="24"/>
      <c r="M1161" s="12"/>
      <c r="N1161" s="26" t="str">
        <f t="shared" si="2"/>
        <v>
</v>
      </c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</row>
    <row r="1162">
      <c r="A1162" s="10"/>
      <c r="B1162" s="12"/>
      <c r="C1162" s="12"/>
      <c r="D1162" s="23"/>
      <c r="E1162" s="12"/>
      <c r="F1162" s="12"/>
      <c r="G1162" s="12"/>
      <c r="H1162" s="12"/>
      <c r="I1162" s="23"/>
      <c r="J1162" s="12"/>
      <c r="K1162" s="23"/>
      <c r="L1162" s="24"/>
      <c r="M1162" s="39"/>
      <c r="N1162" s="26" t="str">
        <f t="shared" si="2"/>
        <v>
</v>
      </c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</row>
    <row r="1163">
      <c r="A1163" s="10"/>
      <c r="B1163" s="12"/>
      <c r="C1163" s="12"/>
      <c r="D1163" s="23"/>
      <c r="E1163" s="12"/>
      <c r="F1163" s="12"/>
      <c r="G1163" s="12"/>
      <c r="H1163" s="12"/>
      <c r="I1163" s="23"/>
      <c r="J1163" s="12"/>
      <c r="K1163" s="23"/>
      <c r="L1163" s="24"/>
      <c r="M1163" s="12"/>
      <c r="N1163" s="26" t="str">
        <f t="shared" si="2"/>
        <v>
</v>
      </c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</row>
    <row r="1164">
      <c r="A1164" s="10"/>
      <c r="B1164" s="12"/>
      <c r="C1164" s="12"/>
      <c r="D1164" s="23"/>
      <c r="E1164" s="12"/>
      <c r="F1164" s="12"/>
      <c r="G1164" s="12"/>
      <c r="H1164" s="12"/>
      <c r="I1164" s="23"/>
      <c r="J1164" s="12"/>
      <c r="K1164" s="23"/>
      <c r="L1164" s="24"/>
      <c r="M1164" s="12"/>
      <c r="N1164" s="26" t="str">
        <f t="shared" si="2"/>
        <v>
</v>
      </c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</row>
    <row r="1165">
      <c r="A1165" s="10"/>
      <c r="B1165" s="12"/>
      <c r="C1165" s="12"/>
      <c r="D1165" s="23"/>
      <c r="E1165" s="12"/>
      <c r="F1165" s="12"/>
      <c r="G1165" s="12"/>
      <c r="H1165" s="12"/>
      <c r="I1165" s="23"/>
      <c r="J1165" s="12"/>
      <c r="K1165" s="23"/>
      <c r="L1165" s="24"/>
      <c r="M1165" s="12"/>
      <c r="N1165" s="26" t="str">
        <f t="shared" si="2"/>
        <v>
</v>
      </c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</row>
    <row r="1166">
      <c r="A1166" s="10"/>
      <c r="B1166" s="12"/>
      <c r="C1166" s="12"/>
      <c r="D1166" s="23"/>
      <c r="E1166" s="12"/>
      <c r="F1166" s="12"/>
      <c r="G1166" s="12"/>
      <c r="H1166" s="12"/>
      <c r="I1166" s="23"/>
      <c r="J1166" s="12"/>
      <c r="K1166" s="23"/>
      <c r="L1166" s="24"/>
      <c r="M1166" s="12"/>
      <c r="N1166" s="26" t="str">
        <f t="shared" si="2"/>
        <v>
</v>
      </c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</row>
    <row r="1167">
      <c r="A1167" s="10"/>
      <c r="B1167" s="12"/>
      <c r="C1167" s="12"/>
      <c r="D1167" s="23"/>
      <c r="E1167" s="12"/>
      <c r="F1167" s="12"/>
      <c r="G1167" s="12"/>
      <c r="H1167" s="12"/>
      <c r="I1167" s="23"/>
      <c r="J1167" s="12"/>
      <c r="K1167" s="23"/>
      <c r="L1167" s="24"/>
      <c r="M1167" s="39"/>
      <c r="N1167" s="26" t="str">
        <f t="shared" si="2"/>
        <v>
</v>
      </c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</row>
    <row r="1168">
      <c r="A1168" s="10"/>
      <c r="B1168" s="12"/>
      <c r="C1168" s="12"/>
      <c r="D1168" s="23"/>
      <c r="E1168" s="12"/>
      <c r="F1168" s="12"/>
      <c r="G1168" s="12"/>
      <c r="H1168" s="12"/>
      <c r="I1168" s="23"/>
      <c r="J1168" s="12"/>
      <c r="K1168" s="23"/>
      <c r="L1168" s="24"/>
      <c r="M1168" s="12"/>
      <c r="N1168" s="26" t="str">
        <f t="shared" si="2"/>
        <v>
</v>
      </c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</row>
    <row r="1169">
      <c r="A1169" s="10"/>
      <c r="B1169" s="12"/>
      <c r="C1169" s="12"/>
      <c r="D1169" s="23"/>
      <c r="E1169" s="12"/>
      <c r="F1169" s="12"/>
      <c r="G1169" s="12"/>
      <c r="H1169" s="12"/>
      <c r="I1169" s="23"/>
      <c r="J1169" s="12"/>
      <c r="K1169" s="23"/>
      <c r="L1169" s="24"/>
      <c r="M1169" s="12"/>
      <c r="N1169" s="26" t="str">
        <f t="shared" si="2"/>
        <v>
</v>
      </c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</row>
    <row r="1170">
      <c r="A1170" s="10"/>
      <c r="B1170" s="12"/>
      <c r="C1170" s="12"/>
      <c r="D1170" s="23"/>
      <c r="E1170" s="12"/>
      <c r="F1170" s="12"/>
      <c r="G1170" s="12"/>
      <c r="H1170" s="12"/>
      <c r="I1170" s="23"/>
      <c r="J1170" s="12"/>
      <c r="K1170" s="23"/>
      <c r="L1170" s="24"/>
      <c r="M1170" s="12"/>
      <c r="N1170" s="26" t="str">
        <f t="shared" si="2"/>
        <v>
</v>
      </c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</row>
    <row r="1171">
      <c r="A1171" s="10"/>
      <c r="B1171" s="12"/>
      <c r="C1171" s="12"/>
      <c r="D1171" s="23"/>
      <c r="E1171" s="12"/>
      <c r="F1171" s="12"/>
      <c r="G1171" s="12"/>
      <c r="H1171" s="12"/>
      <c r="I1171" s="23"/>
      <c r="J1171" s="12"/>
      <c r="K1171" s="23"/>
      <c r="L1171" s="24"/>
      <c r="M1171" s="12"/>
      <c r="N1171" s="26" t="str">
        <f t="shared" si="2"/>
        <v>
</v>
      </c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</row>
    <row r="1172">
      <c r="A1172" s="10"/>
      <c r="B1172" s="12"/>
      <c r="C1172" s="12"/>
      <c r="D1172" s="23"/>
      <c r="E1172" s="12"/>
      <c r="F1172" s="12"/>
      <c r="G1172" s="12"/>
      <c r="H1172" s="12"/>
      <c r="I1172" s="23"/>
      <c r="J1172" s="12"/>
      <c r="K1172" s="23"/>
      <c r="L1172" s="24"/>
      <c r="M1172" s="12"/>
      <c r="N1172" s="26" t="str">
        <f t="shared" si="2"/>
        <v>
</v>
      </c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</row>
    <row r="1173">
      <c r="A1173" s="10"/>
      <c r="B1173" s="12"/>
      <c r="C1173" s="12"/>
      <c r="D1173" s="23"/>
      <c r="E1173" s="12"/>
      <c r="F1173" s="12"/>
      <c r="G1173" s="12"/>
      <c r="H1173" s="12"/>
      <c r="I1173" s="23"/>
      <c r="J1173" s="12"/>
      <c r="K1173" s="23"/>
      <c r="L1173" s="24"/>
      <c r="M1173" s="39"/>
      <c r="N1173" s="26" t="str">
        <f t="shared" si="2"/>
        <v>
</v>
      </c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</row>
    <row r="1174">
      <c r="A1174" s="10"/>
      <c r="B1174" s="12"/>
      <c r="C1174" s="12"/>
      <c r="D1174" s="23"/>
      <c r="E1174" s="12"/>
      <c r="F1174" s="12"/>
      <c r="G1174" s="12"/>
      <c r="H1174" s="12"/>
      <c r="I1174" s="23"/>
      <c r="J1174" s="12"/>
      <c r="K1174" s="23"/>
      <c r="L1174" s="24"/>
      <c r="M1174" s="12"/>
      <c r="N1174" s="26" t="str">
        <f t="shared" si="2"/>
        <v>
</v>
      </c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</row>
    <row r="1175">
      <c r="A1175" s="10"/>
      <c r="B1175" s="12"/>
      <c r="C1175" s="12"/>
      <c r="D1175" s="23"/>
      <c r="E1175" s="12"/>
      <c r="F1175" s="12"/>
      <c r="G1175" s="12"/>
      <c r="H1175" s="12"/>
      <c r="I1175" s="23"/>
      <c r="J1175" s="12"/>
      <c r="K1175" s="23"/>
      <c r="L1175" s="24"/>
      <c r="M1175" s="12"/>
      <c r="N1175" s="26" t="str">
        <f t="shared" si="2"/>
        <v>
</v>
      </c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</row>
    <row r="1176">
      <c r="A1176" s="10"/>
      <c r="B1176" s="12"/>
      <c r="C1176" s="12"/>
      <c r="D1176" s="23"/>
      <c r="E1176" s="12"/>
      <c r="F1176" s="12"/>
      <c r="G1176" s="12"/>
      <c r="H1176" s="12"/>
      <c r="I1176" s="23"/>
      <c r="J1176" s="12"/>
      <c r="K1176" s="23"/>
      <c r="L1176" s="24"/>
      <c r="M1176" s="12"/>
      <c r="N1176" s="26" t="str">
        <f t="shared" si="2"/>
        <v>
</v>
      </c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</row>
    <row r="1177">
      <c r="A1177" s="10"/>
      <c r="B1177" s="12"/>
      <c r="C1177" s="12"/>
      <c r="D1177" s="23"/>
      <c r="E1177" s="12"/>
      <c r="F1177" s="12"/>
      <c r="G1177" s="12"/>
      <c r="H1177" s="12"/>
      <c r="I1177" s="23"/>
      <c r="J1177" s="12"/>
      <c r="K1177" s="23"/>
      <c r="L1177" s="24"/>
      <c r="M1177" s="39"/>
      <c r="N1177" s="26" t="str">
        <f t="shared" si="2"/>
        <v>
</v>
      </c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</row>
    <row r="1178">
      <c r="A1178" s="10"/>
      <c r="B1178" s="12"/>
      <c r="C1178" s="12"/>
      <c r="D1178" s="23"/>
      <c r="E1178" s="12"/>
      <c r="F1178" s="12"/>
      <c r="G1178" s="12"/>
      <c r="H1178" s="12"/>
      <c r="I1178" s="23"/>
      <c r="J1178" s="12"/>
      <c r="K1178" s="23"/>
      <c r="L1178" s="24"/>
      <c r="M1178" s="12"/>
      <c r="N1178" s="26" t="str">
        <f t="shared" si="2"/>
        <v>
</v>
      </c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</row>
    <row r="1179">
      <c r="A1179" s="10"/>
      <c r="B1179" s="12"/>
      <c r="C1179" s="12"/>
      <c r="D1179" s="23"/>
      <c r="E1179" s="12"/>
      <c r="F1179" s="12"/>
      <c r="G1179" s="12"/>
      <c r="H1179" s="12"/>
      <c r="I1179" s="23"/>
      <c r="J1179" s="12"/>
      <c r="K1179" s="23"/>
      <c r="L1179" s="24"/>
      <c r="M1179" s="39"/>
      <c r="N1179" s="26" t="str">
        <f t="shared" si="2"/>
        <v>
</v>
      </c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</row>
    <row r="1180">
      <c r="A1180" s="10"/>
      <c r="B1180" s="12"/>
      <c r="C1180" s="12"/>
      <c r="D1180" s="23"/>
      <c r="E1180" s="12"/>
      <c r="F1180" s="12"/>
      <c r="G1180" s="12"/>
      <c r="H1180" s="12"/>
      <c r="I1180" s="23"/>
      <c r="J1180" s="12"/>
      <c r="K1180" s="23"/>
      <c r="L1180" s="24"/>
      <c r="M1180" s="12"/>
      <c r="N1180" s="26" t="str">
        <f t="shared" si="2"/>
        <v>
</v>
      </c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</row>
    <row r="1181">
      <c r="A1181" s="10"/>
      <c r="B1181" s="12"/>
      <c r="C1181" s="12"/>
      <c r="D1181" s="23"/>
      <c r="E1181" s="12"/>
      <c r="F1181" s="12"/>
      <c r="G1181" s="12"/>
      <c r="H1181" s="12"/>
      <c r="I1181" s="23"/>
      <c r="J1181" s="12"/>
      <c r="K1181" s="23"/>
      <c r="L1181" s="24"/>
      <c r="M1181" s="12"/>
      <c r="N1181" s="26" t="str">
        <f t="shared" si="2"/>
        <v>
</v>
      </c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</row>
    <row r="1182">
      <c r="A1182" s="10"/>
      <c r="B1182" s="12"/>
      <c r="C1182" s="12"/>
      <c r="D1182" s="23"/>
      <c r="E1182" s="12"/>
      <c r="F1182" s="12"/>
      <c r="G1182" s="12"/>
      <c r="H1182" s="12"/>
      <c r="I1182" s="23"/>
      <c r="J1182" s="12"/>
      <c r="K1182" s="23"/>
      <c r="L1182" s="24"/>
      <c r="M1182" s="12"/>
      <c r="N1182" s="26" t="str">
        <f t="shared" si="2"/>
        <v>
</v>
      </c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</row>
    <row r="1183">
      <c r="A1183" s="10"/>
      <c r="B1183" s="12"/>
      <c r="C1183" s="12"/>
      <c r="D1183" s="23"/>
      <c r="E1183" s="12"/>
      <c r="F1183" s="12"/>
      <c r="G1183" s="12"/>
      <c r="H1183" s="12"/>
      <c r="I1183" s="23"/>
      <c r="J1183" s="12"/>
      <c r="K1183" s="23"/>
      <c r="L1183" s="24"/>
      <c r="M1183" s="12"/>
      <c r="N1183" s="26" t="str">
        <f t="shared" si="2"/>
        <v>
</v>
      </c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</row>
    <row r="1184">
      <c r="A1184" s="10"/>
      <c r="B1184" s="12"/>
      <c r="C1184" s="12"/>
      <c r="D1184" s="23"/>
      <c r="E1184" s="12"/>
      <c r="F1184" s="12"/>
      <c r="G1184" s="12"/>
      <c r="H1184" s="12"/>
      <c r="I1184" s="23"/>
      <c r="J1184" s="12"/>
      <c r="K1184" s="23"/>
      <c r="L1184" s="24"/>
      <c r="M1184" s="39"/>
      <c r="N1184" s="26" t="str">
        <f t="shared" si="2"/>
        <v>
</v>
      </c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</row>
    <row r="1185">
      <c r="A1185" s="10"/>
      <c r="B1185" s="12"/>
      <c r="C1185" s="12"/>
      <c r="D1185" s="23"/>
      <c r="E1185" s="12"/>
      <c r="F1185" s="12"/>
      <c r="G1185" s="12"/>
      <c r="H1185" s="12"/>
      <c r="I1185" s="23"/>
      <c r="J1185" s="12"/>
      <c r="K1185" s="23"/>
      <c r="L1185" s="24"/>
      <c r="M1185" s="39"/>
      <c r="N1185" s="26" t="str">
        <f t="shared" si="2"/>
        <v>
</v>
      </c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</row>
    <row r="1186">
      <c r="A1186" s="10"/>
      <c r="B1186" s="12"/>
      <c r="C1186" s="12"/>
      <c r="D1186" s="23"/>
      <c r="E1186" s="12"/>
      <c r="F1186" s="12"/>
      <c r="G1186" s="12"/>
      <c r="H1186" s="12"/>
      <c r="I1186" s="23"/>
      <c r="J1186" s="12"/>
      <c r="K1186" s="23"/>
      <c r="L1186" s="24"/>
      <c r="M1186" s="12"/>
      <c r="N1186" s="26" t="str">
        <f t="shared" si="2"/>
        <v>
</v>
      </c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</row>
    <row r="1187">
      <c r="A1187" s="10"/>
      <c r="B1187" s="12"/>
      <c r="C1187" s="12"/>
      <c r="D1187" s="36"/>
      <c r="E1187" s="12"/>
      <c r="F1187" s="12"/>
      <c r="G1187" s="12"/>
      <c r="H1187" s="12"/>
      <c r="I1187" s="23"/>
      <c r="J1187" s="12"/>
      <c r="K1187" s="23"/>
      <c r="L1187" s="24"/>
      <c r="M1187" s="12"/>
      <c r="N1187" s="26" t="str">
        <f t="shared" si="2"/>
        <v>
</v>
      </c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</row>
    <row r="1188">
      <c r="A1188" s="10"/>
      <c r="B1188" s="12"/>
      <c r="C1188" s="12"/>
      <c r="D1188" s="23"/>
      <c r="E1188" s="12"/>
      <c r="F1188" s="12"/>
      <c r="G1188" s="12"/>
      <c r="H1188" s="12"/>
      <c r="I1188" s="23"/>
      <c r="J1188" s="12"/>
      <c r="K1188" s="23"/>
      <c r="L1188" s="24"/>
      <c r="M1188" s="39"/>
      <c r="N1188" s="26" t="str">
        <f t="shared" si="2"/>
        <v>
</v>
      </c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</row>
    <row r="1189">
      <c r="A1189" s="10"/>
      <c r="B1189" s="12"/>
      <c r="C1189" s="12"/>
      <c r="D1189" s="23"/>
      <c r="E1189" s="12"/>
      <c r="F1189" s="12"/>
      <c r="G1189" s="12"/>
      <c r="H1189" s="12"/>
      <c r="I1189" s="23"/>
      <c r="J1189" s="12"/>
      <c r="K1189" s="23"/>
      <c r="L1189" s="24"/>
      <c r="M1189" s="12"/>
      <c r="N1189" s="26" t="str">
        <f t="shared" si="2"/>
        <v>
</v>
      </c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</row>
    <row r="1190">
      <c r="A1190" s="10"/>
      <c r="B1190" s="12"/>
      <c r="C1190" s="12"/>
      <c r="D1190" s="23"/>
      <c r="E1190" s="12"/>
      <c r="F1190" s="12"/>
      <c r="G1190" s="12"/>
      <c r="H1190" s="12"/>
      <c r="I1190" s="23"/>
      <c r="J1190" s="12"/>
      <c r="K1190" s="23"/>
      <c r="L1190" s="24"/>
      <c r="M1190" s="39"/>
      <c r="N1190" s="26" t="str">
        <f t="shared" si="2"/>
        <v>
</v>
      </c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</row>
    <row r="1191">
      <c r="A1191" s="10"/>
      <c r="B1191" s="12"/>
      <c r="C1191" s="12"/>
      <c r="D1191" s="23"/>
      <c r="E1191" s="12"/>
      <c r="F1191" s="12"/>
      <c r="G1191" s="12"/>
      <c r="H1191" s="12"/>
      <c r="I1191" s="23"/>
      <c r="J1191" s="12"/>
      <c r="K1191" s="23"/>
      <c r="L1191" s="24"/>
      <c r="M1191" s="12"/>
      <c r="N1191" s="26" t="str">
        <f t="shared" si="2"/>
        <v>
</v>
      </c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</row>
    <row r="1192">
      <c r="A1192" s="10"/>
      <c r="B1192" s="12"/>
      <c r="C1192" s="12"/>
      <c r="D1192" s="23"/>
      <c r="E1192" s="12"/>
      <c r="F1192" s="12"/>
      <c r="G1192" s="12"/>
      <c r="H1192" s="12"/>
      <c r="I1192" s="23"/>
      <c r="J1192" s="12"/>
      <c r="K1192" s="23"/>
      <c r="L1192" s="24"/>
      <c r="M1192" s="12"/>
      <c r="N1192" s="26" t="str">
        <f t="shared" si="2"/>
        <v>
</v>
      </c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</row>
    <row r="1193">
      <c r="A1193" s="10"/>
      <c r="B1193" s="12"/>
      <c r="C1193" s="12"/>
      <c r="D1193" s="23"/>
      <c r="E1193" s="12"/>
      <c r="F1193" s="12"/>
      <c r="G1193" s="12"/>
      <c r="H1193" s="12"/>
      <c r="I1193" s="23"/>
      <c r="J1193" s="12"/>
      <c r="K1193" s="23"/>
      <c r="L1193" s="24"/>
      <c r="M1193" s="39"/>
      <c r="N1193" s="26" t="str">
        <f t="shared" si="2"/>
        <v>
</v>
      </c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</row>
    <row r="1194">
      <c r="A1194" s="10"/>
      <c r="B1194" s="12"/>
      <c r="C1194" s="12"/>
      <c r="D1194" s="23"/>
      <c r="E1194" s="12"/>
      <c r="F1194" s="12"/>
      <c r="G1194" s="12"/>
      <c r="H1194" s="12"/>
      <c r="I1194" s="23"/>
      <c r="J1194" s="12"/>
      <c r="K1194" s="23"/>
      <c r="L1194" s="24"/>
      <c r="M1194" s="39"/>
      <c r="N1194" s="26" t="str">
        <f t="shared" si="2"/>
        <v>
</v>
      </c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</row>
    <row r="1195">
      <c r="A1195" s="10"/>
      <c r="B1195" s="12"/>
      <c r="C1195" s="12"/>
      <c r="D1195" s="23"/>
      <c r="E1195" s="12"/>
      <c r="F1195" s="12"/>
      <c r="G1195" s="12"/>
      <c r="H1195" s="12"/>
      <c r="I1195" s="23"/>
      <c r="J1195" s="12"/>
      <c r="K1195" s="23"/>
      <c r="L1195" s="24"/>
      <c r="M1195" s="12"/>
      <c r="N1195" s="26" t="str">
        <f t="shared" si="2"/>
        <v>
</v>
      </c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</row>
    <row r="1196">
      <c r="A1196" s="10"/>
      <c r="B1196" s="12"/>
      <c r="C1196" s="12"/>
      <c r="D1196" s="23"/>
      <c r="E1196" s="12"/>
      <c r="F1196" s="12"/>
      <c r="G1196" s="12"/>
      <c r="H1196" s="12"/>
      <c r="I1196" s="23"/>
      <c r="J1196" s="12"/>
      <c r="K1196" s="23"/>
      <c r="L1196" s="24"/>
      <c r="M1196" s="39"/>
      <c r="N1196" s="26" t="str">
        <f t="shared" si="2"/>
        <v>
</v>
      </c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</row>
    <row r="1197">
      <c r="A1197" s="10"/>
      <c r="B1197" s="12"/>
      <c r="C1197" s="12"/>
      <c r="D1197" s="23"/>
      <c r="E1197" s="12"/>
      <c r="F1197" s="12"/>
      <c r="G1197" s="12"/>
      <c r="H1197" s="12"/>
      <c r="I1197" s="23"/>
      <c r="J1197" s="12"/>
      <c r="K1197" s="23"/>
      <c r="L1197" s="24"/>
      <c r="M1197" s="12"/>
      <c r="N1197" s="26" t="str">
        <f t="shared" si="2"/>
        <v>
</v>
      </c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</row>
    <row r="1198">
      <c r="A1198" s="10"/>
      <c r="B1198" s="12"/>
      <c r="C1198" s="12"/>
      <c r="D1198" s="23"/>
      <c r="E1198" s="12"/>
      <c r="F1198" s="12"/>
      <c r="G1198" s="12"/>
      <c r="H1198" s="12"/>
      <c r="I1198" s="23"/>
      <c r="J1198" s="12"/>
      <c r="K1198" s="23"/>
      <c r="L1198" s="24"/>
      <c r="M1198" s="12"/>
      <c r="N1198" s="26" t="str">
        <f t="shared" si="2"/>
        <v>
</v>
      </c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</row>
    <row r="1199">
      <c r="A1199" s="10"/>
      <c r="B1199" s="12"/>
      <c r="C1199" s="12"/>
      <c r="D1199" s="23"/>
      <c r="E1199" s="12"/>
      <c r="F1199" s="12"/>
      <c r="G1199" s="12"/>
      <c r="H1199" s="12"/>
      <c r="I1199" s="23"/>
      <c r="J1199" s="12"/>
      <c r="K1199" s="23"/>
      <c r="L1199" s="24"/>
      <c r="M1199" s="12"/>
      <c r="N1199" s="26" t="str">
        <f t="shared" si="2"/>
        <v>
</v>
      </c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</row>
    <row r="1200">
      <c r="A1200" s="10"/>
      <c r="B1200" s="12"/>
      <c r="C1200" s="12"/>
      <c r="D1200" s="23"/>
      <c r="E1200" s="12"/>
      <c r="F1200" s="12"/>
      <c r="G1200" s="12"/>
      <c r="H1200" s="12"/>
      <c r="I1200" s="23"/>
      <c r="J1200" s="12"/>
      <c r="K1200" s="23"/>
      <c r="L1200" s="24"/>
      <c r="M1200" s="12"/>
      <c r="N1200" s="26" t="str">
        <f t="shared" si="2"/>
        <v>
</v>
      </c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</row>
    <row r="1201">
      <c r="A1201" s="10"/>
      <c r="B1201" s="12"/>
      <c r="C1201" s="12"/>
      <c r="D1201" s="23"/>
      <c r="E1201" s="12"/>
      <c r="F1201" s="12"/>
      <c r="G1201" s="12"/>
      <c r="H1201" s="12"/>
      <c r="I1201" s="23"/>
      <c r="J1201" s="12"/>
      <c r="K1201" s="23"/>
      <c r="L1201" s="24"/>
      <c r="M1201" s="12"/>
      <c r="N1201" s="26" t="str">
        <f t="shared" si="2"/>
        <v>
</v>
      </c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</row>
    <row r="1202">
      <c r="A1202" s="10"/>
      <c r="B1202" s="12"/>
      <c r="C1202" s="12"/>
      <c r="D1202" s="23"/>
      <c r="E1202" s="12"/>
      <c r="F1202" s="12"/>
      <c r="G1202" s="12"/>
      <c r="H1202" s="12"/>
      <c r="I1202" s="23"/>
      <c r="J1202" s="12"/>
      <c r="K1202" s="23"/>
      <c r="L1202" s="24"/>
      <c r="M1202" s="12"/>
      <c r="N1202" s="26" t="str">
        <f t="shared" si="2"/>
        <v>
</v>
      </c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</row>
    <row r="1203">
      <c r="A1203" s="10"/>
      <c r="B1203" s="12"/>
      <c r="C1203" s="12"/>
      <c r="D1203" s="23"/>
      <c r="E1203" s="12"/>
      <c r="F1203" s="12"/>
      <c r="G1203" s="12"/>
      <c r="H1203" s="12"/>
      <c r="I1203" s="23"/>
      <c r="J1203" s="12"/>
      <c r="K1203" s="23"/>
      <c r="L1203" s="24"/>
      <c r="M1203" s="39"/>
      <c r="N1203" s="26" t="str">
        <f t="shared" si="2"/>
        <v>
</v>
      </c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</row>
    <row r="1204">
      <c r="A1204" s="10"/>
      <c r="B1204" s="12"/>
      <c r="C1204" s="12"/>
      <c r="D1204" s="23"/>
      <c r="E1204" s="12"/>
      <c r="F1204" s="12"/>
      <c r="G1204" s="12"/>
      <c r="H1204" s="12"/>
      <c r="I1204" s="23"/>
      <c r="J1204" s="12"/>
      <c r="K1204" s="23"/>
      <c r="L1204" s="24"/>
      <c r="M1204" s="12"/>
      <c r="N1204" s="26" t="str">
        <f t="shared" si="2"/>
        <v>
</v>
      </c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</row>
    <row r="1205">
      <c r="A1205" s="10"/>
      <c r="B1205" s="12"/>
      <c r="C1205" s="12"/>
      <c r="D1205" s="23"/>
      <c r="E1205" s="12"/>
      <c r="F1205" s="12"/>
      <c r="G1205" s="12"/>
      <c r="H1205" s="12"/>
      <c r="I1205" s="23"/>
      <c r="J1205" s="12"/>
      <c r="K1205" s="23"/>
      <c r="L1205" s="24"/>
      <c r="M1205" s="12"/>
      <c r="N1205" s="26" t="str">
        <f t="shared" si="2"/>
        <v>
</v>
      </c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</row>
    <row r="1206">
      <c r="A1206" s="10"/>
      <c r="B1206" s="12"/>
      <c r="C1206" s="12"/>
      <c r="D1206" s="23"/>
      <c r="E1206" s="12"/>
      <c r="F1206" s="12"/>
      <c r="G1206" s="12"/>
      <c r="H1206" s="12"/>
      <c r="I1206" s="23"/>
      <c r="J1206" s="12"/>
      <c r="K1206" s="23"/>
      <c r="L1206" s="24"/>
      <c r="M1206" s="12"/>
      <c r="N1206" s="26" t="str">
        <f t="shared" si="2"/>
        <v>
</v>
      </c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</row>
    <row r="1207">
      <c r="A1207" s="10"/>
      <c r="B1207" s="12"/>
      <c r="C1207" s="12"/>
      <c r="D1207" s="23"/>
      <c r="E1207" s="12"/>
      <c r="F1207" s="12"/>
      <c r="G1207" s="12"/>
      <c r="H1207" s="12"/>
      <c r="I1207" s="23"/>
      <c r="J1207" s="12"/>
      <c r="K1207" s="23"/>
      <c r="L1207" s="24"/>
      <c r="M1207" s="12"/>
      <c r="N1207" s="26" t="str">
        <f t="shared" si="2"/>
        <v>
</v>
      </c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</row>
    <row r="1208">
      <c r="A1208" s="10"/>
      <c r="B1208" s="12"/>
      <c r="C1208" s="12"/>
      <c r="D1208" s="23"/>
      <c r="E1208" s="12"/>
      <c r="F1208" s="12"/>
      <c r="G1208" s="12"/>
      <c r="H1208" s="12"/>
      <c r="I1208" s="23"/>
      <c r="J1208" s="12"/>
      <c r="K1208" s="23"/>
      <c r="L1208" s="24"/>
      <c r="M1208" s="12"/>
      <c r="N1208" s="26" t="str">
        <f t="shared" si="2"/>
        <v>
</v>
      </c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</row>
    <row r="1209">
      <c r="A1209" s="10"/>
      <c r="B1209" s="12"/>
      <c r="C1209" s="12"/>
      <c r="D1209" s="23"/>
      <c r="E1209" s="12"/>
      <c r="F1209" s="12"/>
      <c r="G1209" s="12"/>
      <c r="H1209" s="12"/>
      <c r="I1209" s="23"/>
      <c r="J1209" s="12"/>
      <c r="K1209" s="23"/>
      <c r="L1209" s="24"/>
      <c r="M1209" s="12"/>
      <c r="N1209" s="26" t="str">
        <f t="shared" si="2"/>
        <v>
</v>
      </c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</row>
    <row r="1210">
      <c r="A1210" s="10"/>
      <c r="B1210" s="12"/>
      <c r="C1210" s="12"/>
      <c r="D1210" s="23"/>
      <c r="E1210" s="12"/>
      <c r="F1210" s="12"/>
      <c r="G1210" s="12"/>
      <c r="H1210" s="12"/>
      <c r="I1210" s="23"/>
      <c r="J1210" s="12"/>
      <c r="K1210" s="23"/>
      <c r="L1210" s="24"/>
      <c r="M1210" s="12"/>
      <c r="N1210" s="26" t="str">
        <f t="shared" si="2"/>
        <v>
</v>
      </c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</row>
    <row r="1211">
      <c r="A1211" s="10"/>
      <c r="B1211" s="12"/>
      <c r="C1211" s="12"/>
      <c r="D1211" s="23"/>
      <c r="E1211" s="12"/>
      <c r="F1211" s="12"/>
      <c r="G1211" s="12"/>
      <c r="H1211" s="12"/>
      <c r="I1211" s="23"/>
      <c r="J1211" s="12"/>
      <c r="K1211" s="23"/>
      <c r="L1211" s="24"/>
      <c r="M1211" s="12"/>
      <c r="N1211" s="26" t="str">
        <f t="shared" si="2"/>
        <v>
</v>
      </c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</row>
    <row r="1212">
      <c r="A1212" s="10"/>
      <c r="B1212" s="12"/>
      <c r="C1212" s="12"/>
      <c r="D1212" s="23"/>
      <c r="E1212" s="12"/>
      <c r="F1212" s="12"/>
      <c r="G1212" s="12"/>
      <c r="H1212" s="12"/>
      <c r="I1212" s="23"/>
      <c r="J1212" s="12"/>
      <c r="K1212" s="23"/>
      <c r="L1212" s="24"/>
      <c r="M1212" s="12"/>
      <c r="N1212" s="26" t="str">
        <f t="shared" si="2"/>
        <v>
</v>
      </c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</row>
    <row r="1213">
      <c r="A1213" s="10"/>
      <c r="B1213" s="12"/>
      <c r="C1213" s="12"/>
      <c r="D1213" s="23"/>
      <c r="E1213" s="12"/>
      <c r="F1213" s="12"/>
      <c r="G1213" s="12"/>
      <c r="H1213" s="12"/>
      <c r="I1213" s="23"/>
      <c r="J1213" s="12"/>
      <c r="K1213" s="23"/>
      <c r="L1213" s="24"/>
      <c r="M1213" s="12"/>
      <c r="N1213" s="26" t="str">
        <f t="shared" si="2"/>
        <v>
</v>
      </c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</row>
    <row r="1214">
      <c r="A1214" s="10"/>
      <c r="B1214" s="12"/>
      <c r="C1214" s="12"/>
      <c r="D1214" s="23"/>
      <c r="E1214" s="12"/>
      <c r="F1214" s="12"/>
      <c r="G1214" s="12"/>
      <c r="H1214" s="12"/>
      <c r="I1214" s="23"/>
      <c r="J1214" s="12"/>
      <c r="K1214" s="23"/>
      <c r="L1214" s="24"/>
      <c r="M1214" s="12"/>
      <c r="N1214" s="26" t="str">
        <f t="shared" si="2"/>
        <v>
</v>
      </c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</row>
    <row r="1215">
      <c r="A1215" s="10"/>
      <c r="B1215" s="12"/>
      <c r="C1215" s="12"/>
      <c r="D1215" s="23"/>
      <c r="E1215" s="12"/>
      <c r="F1215" s="12"/>
      <c r="G1215" s="12"/>
      <c r="H1215" s="12"/>
      <c r="I1215" s="23"/>
      <c r="J1215" s="12"/>
      <c r="K1215" s="23"/>
      <c r="L1215" s="24"/>
      <c r="M1215" s="12"/>
      <c r="N1215" s="26" t="str">
        <f t="shared" si="2"/>
        <v>
</v>
      </c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</row>
    <row r="1216">
      <c r="A1216" s="10"/>
      <c r="B1216" s="12"/>
      <c r="C1216" s="12"/>
      <c r="D1216" s="23"/>
      <c r="E1216" s="12"/>
      <c r="F1216" s="12"/>
      <c r="G1216" s="12"/>
      <c r="H1216" s="12"/>
      <c r="I1216" s="23"/>
      <c r="J1216" s="12"/>
      <c r="K1216" s="23"/>
      <c r="L1216" s="24"/>
      <c r="M1216" s="12"/>
      <c r="N1216" s="26" t="str">
        <f t="shared" si="2"/>
        <v>
</v>
      </c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</row>
    <row r="1217">
      <c r="A1217" s="10"/>
      <c r="B1217" s="12"/>
      <c r="C1217" s="12"/>
      <c r="D1217" s="23"/>
      <c r="E1217" s="12"/>
      <c r="F1217" s="12"/>
      <c r="G1217" s="12"/>
      <c r="H1217" s="12"/>
      <c r="I1217" s="23"/>
      <c r="J1217" s="12"/>
      <c r="K1217" s="23"/>
      <c r="L1217" s="24"/>
      <c r="M1217" s="39"/>
      <c r="N1217" s="26" t="str">
        <f t="shared" si="2"/>
        <v>
</v>
      </c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</row>
    <row r="1218">
      <c r="A1218" s="10"/>
      <c r="B1218" s="12"/>
      <c r="C1218" s="12"/>
      <c r="D1218" s="23"/>
      <c r="E1218" s="12"/>
      <c r="F1218" s="12"/>
      <c r="G1218" s="12"/>
      <c r="H1218" s="12"/>
      <c r="I1218" s="23"/>
      <c r="J1218" s="12"/>
      <c r="K1218" s="23"/>
      <c r="L1218" s="24"/>
      <c r="M1218" s="12"/>
      <c r="N1218" s="26" t="str">
        <f t="shared" si="2"/>
        <v>
</v>
      </c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</row>
    <row r="1219">
      <c r="A1219" s="10"/>
      <c r="B1219" s="12"/>
      <c r="C1219" s="12"/>
      <c r="D1219" s="23"/>
      <c r="E1219" s="12"/>
      <c r="F1219" s="12"/>
      <c r="G1219" s="12"/>
      <c r="H1219" s="12"/>
      <c r="I1219" s="23"/>
      <c r="J1219" s="12"/>
      <c r="K1219" s="23"/>
      <c r="L1219" s="24"/>
      <c r="M1219" s="12"/>
      <c r="N1219" s="26" t="str">
        <f t="shared" si="2"/>
        <v>
</v>
      </c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</row>
    <row r="1220">
      <c r="A1220" s="10"/>
      <c r="B1220" s="12"/>
      <c r="C1220" s="12"/>
      <c r="D1220" s="23"/>
      <c r="E1220" s="12"/>
      <c r="F1220" s="12"/>
      <c r="G1220" s="12"/>
      <c r="H1220" s="12"/>
      <c r="I1220" s="23"/>
      <c r="J1220" s="12"/>
      <c r="K1220" s="23"/>
      <c r="L1220" s="24"/>
      <c r="M1220" s="12"/>
      <c r="N1220" s="26" t="str">
        <f t="shared" si="2"/>
        <v>
</v>
      </c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</row>
    <row r="1221">
      <c r="A1221" s="10"/>
      <c r="B1221" s="12"/>
      <c r="C1221" s="12"/>
      <c r="D1221" s="23"/>
      <c r="E1221" s="12"/>
      <c r="F1221" s="12"/>
      <c r="G1221" s="12"/>
      <c r="H1221" s="12"/>
      <c r="I1221" s="23"/>
      <c r="J1221" s="12"/>
      <c r="K1221" s="23"/>
      <c r="L1221" s="24"/>
      <c r="M1221" s="12"/>
      <c r="N1221" s="26" t="str">
        <f t="shared" si="2"/>
        <v>
</v>
      </c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</row>
    <row r="1222">
      <c r="A1222" s="10"/>
      <c r="B1222" s="12"/>
      <c r="C1222" s="12"/>
      <c r="D1222" s="23"/>
      <c r="E1222" s="12"/>
      <c r="F1222" s="12"/>
      <c r="G1222" s="12"/>
      <c r="H1222" s="12"/>
      <c r="I1222" s="23"/>
      <c r="J1222" s="12"/>
      <c r="K1222" s="23"/>
      <c r="L1222" s="24"/>
      <c r="M1222" s="39"/>
      <c r="N1222" s="26" t="str">
        <f t="shared" si="2"/>
        <v>
</v>
      </c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</row>
    <row r="1223">
      <c r="A1223" s="10"/>
      <c r="B1223" s="12"/>
      <c r="C1223" s="12"/>
      <c r="D1223" s="23"/>
      <c r="E1223" s="12"/>
      <c r="F1223" s="12"/>
      <c r="G1223" s="12"/>
      <c r="H1223" s="12"/>
      <c r="I1223" s="23"/>
      <c r="J1223" s="12"/>
      <c r="K1223" s="23"/>
      <c r="L1223" s="24"/>
      <c r="M1223" s="39"/>
      <c r="N1223" s="26" t="str">
        <f t="shared" si="2"/>
        <v>
</v>
      </c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</row>
    <row r="1224">
      <c r="A1224" s="10"/>
      <c r="B1224" s="12"/>
      <c r="C1224" s="12"/>
      <c r="D1224" s="23"/>
      <c r="E1224" s="12"/>
      <c r="F1224" s="12"/>
      <c r="G1224" s="12"/>
      <c r="H1224" s="12"/>
      <c r="I1224" s="23"/>
      <c r="J1224" s="12"/>
      <c r="K1224" s="23"/>
      <c r="L1224" s="24"/>
      <c r="M1224" s="12"/>
      <c r="N1224" s="26" t="str">
        <f t="shared" si="2"/>
        <v>
</v>
      </c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</row>
    <row r="1225">
      <c r="A1225" s="10"/>
      <c r="B1225" s="12"/>
      <c r="C1225" s="12"/>
      <c r="D1225" s="23"/>
      <c r="E1225" s="12"/>
      <c r="F1225" s="12"/>
      <c r="G1225" s="12"/>
      <c r="H1225" s="12"/>
      <c r="I1225" s="23"/>
      <c r="J1225" s="12"/>
      <c r="K1225" s="23"/>
      <c r="L1225" s="24"/>
      <c r="M1225" s="39"/>
      <c r="N1225" s="26" t="str">
        <f t="shared" si="2"/>
        <v>
</v>
      </c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</row>
    <row r="1226">
      <c r="A1226" s="10"/>
      <c r="B1226" s="12"/>
      <c r="C1226" s="12"/>
      <c r="D1226" s="23"/>
      <c r="E1226" s="12"/>
      <c r="F1226" s="12"/>
      <c r="G1226" s="12"/>
      <c r="H1226" s="12"/>
      <c r="I1226" s="23"/>
      <c r="J1226" s="12"/>
      <c r="K1226" s="23"/>
      <c r="L1226" s="24"/>
      <c r="M1226" s="12"/>
      <c r="N1226" s="26" t="str">
        <f t="shared" si="2"/>
        <v>
</v>
      </c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</row>
    <row r="1227">
      <c r="A1227" s="10"/>
      <c r="B1227" s="12"/>
      <c r="C1227" s="12"/>
      <c r="D1227" s="23"/>
      <c r="E1227" s="12"/>
      <c r="F1227" s="12"/>
      <c r="G1227" s="12"/>
      <c r="H1227" s="12"/>
      <c r="I1227" s="23"/>
      <c r="J1227" s="12"/>
      <c r="K1227" s="23"/>
      <c r="L1227" s="24"/>
      <c r="M1227" s="12"/>
      <c r="N1227" s="26" t="str">
        <f t="shared" si="2"/>
        <v>
</v>
      </c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</row>
    <row r="1228">
      <c r="A1228" s="10"/>
      <c r="B1228" s="12"/>
      <c r="C1228" s="12"/>
      <c r="D1228" s="23"/>
      <c r="E1228" s="12"/>
      <c r="F1228" s="12"/>
      <c r="G1228" s="12"/>
      <c r="H1228" s="12"/>
      <c r="I1228" s="23"/>
      <c r="J1228" s="12"/>
      <c r="K1228" s="23"/>
      <c r="L1228" s="24"/>
      <c r="M1228" s="12"/>
      <c r="N1228" s="26" t="str">
        <f t="shared" si="2"/>
        <v>
</v>
      </c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</row>
    <row r="1229">
      <c r="A1229" s="10"/>
      <c r="B1229" s="12"/>
      <c r="C1229" s="12"/>
      <c r="D1229" s="23"/>
      <c r="E1229" s="12"/>
      <c r="F1229" s="12"/>
      <c r="G1229" s="12"/>
      <c r="H1229" s="12"/>
      <c r="I1229" s="23"/>
      <c r="J1229" s="12"/>
      <c r="K1229" s="23"/>
      <c r="L1229" s="24"/>
      <c r="M1229" s="39"/>
      <c r="N1229" s="26" t="str">
        <f t="shared" si="2"/>
        <v>
</v>
      </c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</row>
    <row r="1230">
      <c r="A1230" s="10"/>
      <c r="B1230" s="12"/>
      <c r="C1230" s="12"/>
      <c r="D1230" s="23"/>
      <c r="E1230" s="12"/>
      <c r="F1230" s="12"/>
      <c r="G1230" s="12"/>
      <c r="H1230" s="12"/>
      <c r="I1230" s="23"/>
      <c r="J1230" s="12"/>
      <c r="K1230" s="23"/>
      <c r="L1230" s="24"/>
      <c r="M1230" s="12"/>
      <c r="N1230" s="26" t="str">
        <f t="shared" si="2"/>
        <v>
</v>
      </c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</row>
    <row r="1231">
      <c r="A1231" s="10"/>
      <c r="B1231" s="12"/>
      <c r="C1231" s="12"/>
      <c r="D1231" s="23"/>
      <c r="E1231" s="12"/>
      <c r="F1231" s="12"/>
      <c r="G1231" s="12"/>
      <c r="H1231" s="12"/>
      <c r="I1231" s="23"/>
      <c r="J1231" s="12"/>
      <c r="K1231" s="23"/>
      <c r="L1231" s="24"/>
      <c r="M1231" s="39"/>
      <c r="N1231" s="26" t="str">
        <f t="shared" si="2"/>
        <v>
</v>
      </c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</row>
    <row r="1232">
      <c r="A1232" s="10"/>
      <c r="B1232" s="12"/>
      <c r="C1232" s="12"/>
      <c r="D1232" s="23"/>
      <c r="E1232" s="12"/>
      <c r="F1232" s="12"/>
      <c r="G1232" s="12"/>
      <c r="H1232" s="12"/>
      <c r="I1232" s="23"/>
      <c r="J1232" s="12"/>
      <c r="K1232" s="23"/>
      <c r="L1232" s="24"/>
      <c r="M1232" s="12"/>
      <c r="N1232" s="26" t="str">
        <f t="shared" si="2"/>
        <v>
</v>
      </c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</row>
    <row r="1233">
      <c r="A1233" s="10"/>
      <c r="B1233" s="12"/>
      <c r="C1233" s="12"/>
      <c r="D1233" s="23"/>
      <c r="E1233" s="12"/>
      <c r="F1233" s="12"/>
      <c r="G1233" s="12"/>
      <c r="H1233" s="12"/>
      <c r="I1233" s="23"/>
      <c r="J1233" s="12"/>
      <c r="K1233" s="23"/>
      <c r="L1233" s="24"/>
      <c r="M1233" s="12"/>
      <c r="N1233" s="26" t="str">
        <f t="shared" si="2"/>
        <v>
</v>
      </c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</row>
    <row r="1234">
      <c r="A1234" s="10"/>
      <c r="B1234" s="12"/>
      <c r="C1234" s="12"/>
      <c r="D1234" s="23"/>
      <c r="E1234" s="12"/>
      <c r="F1234" s="12"/>
      <c r="G1234" s="12"/>
      <c r="H1234" s="12"/>
      <c r="I1234" s="23"/>
      <c r="J1234" s="12"/>
      <c r="K1234" s="23"/>
      <c r="L1234" s="24"/>
      <c r="M1234" s="39"/>
      <c r="N1234" s="26" t="str">
        <f t="shared" si="2"/>
        <v>
</v>
      </c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</row>
    <row r="1235">
      <c r="A1235" s="10"/>
      <c r="B1235" s="12"/>
      <c r="C1235" s="12"/>
      <c r="D1235" s="23"/>
      <c r="E1235" s="12"/>
      <c r="F1235" s="12"/>
      <c r="G1235" s="12"/>
      <c r="H1235" s="12"/>
      <c r="I1235" s="23"/>
      <c r="J1235" s="12"/>
      <c r="K1235" s="23"/>
      <c r="L1235" s="24"/>
      <c r="M1235" s="39"/>
      <c r="N1235" s="26" t="str">
        <f t="shared" si="2"/>
        <v>
</v>
      </c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</row>
    <row r="1236">
      <c r="A1236" s="10"/>
      <c r="B1236" s="12"/>
      <c r="C1236" s="12"/>
      <c r="D1236" s="23"/>
      <c r="E1236" s="12"/>
      <c r="F1236" s="12"/>
      <c r="G1236" s="12"/>
      <c r="H1236" s="12"/>
      <c r="I1236" s="23"/>
      <c r="J1236" s="12"/>
      <c r="K1236" s="23"/>
      <c r="L1236" s="24"/>
      <c r="M1236" s="12"/>
      <c r="N1236" s="26" t="str">
        <f t="shared" si="2"/>
        <v>
</v>
      </c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</row>
    <row r="1237">
      <c r="A1237" s="10"/>
      <c r="B1237" s="12"/>
      <c r="C1237" s="12"/>
      <c r="D1237" s="23"/>
      <c r="E1237" s="12"/>
      <c r="F1237" s="12"/>
      <c r="G1237" s="12"/>
      <c r="H1237" s="12"/>
      <c r="I1237" s="23"/>
      <c r="J1237" s="12"/>
      <c r="K1237" s="23"/>
      <c r="L1237" s="24"/>
      <c r="M1237" s="12"/>
      <c r="N1237" s="26" t="str">
        <f t="shared" si="2"/>
        <v>
</v>
      </c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</row>
    <row r="1238">
      <c r="A1238" s="10"/>
      <c r="B1238" s="12"/>
      <c r="C1238" s="12"/>
      <c r="D1238" s="23"/>
      <c r="E1238" s="12"/>
      <c r="F1238" s="12"/>
      <c r="G1238" s="12"/>
      <c r="H1238" s="12"/>
      <c r="I1238" s="23"/>
      <c r="J1238" s="12"/>
      <c r="K1238" s="23"/>
      <c r="L1238" s="24"/>
      <c r="M1238" s="12"/>
      <c r="N1238" s="26" t="str">
        <f t="shared" si="2"/>
        <v>
</v>
      </c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</row>
    <row r="1239">
      <c r="A1239" s="10"/>
      <c r="B1239" s="12"/>
      <c r="C1239" s="12"/>
      <c r="D1239" s="23"/>
      <c r="E1239" s="12"/>
      <c r="F1239" s="12"/>
      <c r="G1239" s="12"/>
      <c r="H1239" s="12"/>
      <c r="I1239" s="23"/>
      <c r="J1239" s="12"/>
      <c r="K1239" s="23"/>
      <c r="L1239" s="24"/>
      <c r="M1239" s="12"/>
      <c r="N1239" s="26" t="str">
        <f t="shared" si="2"/>
        <v>
</v>
      </c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</row>
    <row r="1240">
      <c r="A1240" s="10"/>
      <c r="B1240" s="12"/>
      <c r="C1240" s="12"/>
      <c r="D1240" s="23"/>
      <c r="E1240" s="12"/>
      <c r="F1240" s="12"/>
      <c r="G1240" s="12"/>
      <c r="H1240" s="12"/>
      <c r="I1240" s="23"/>
      <c r="J1240" s="12"/>
      <c r="K1240" s="23"/>
      <c r="L1240" s="24"/>
      <c r="M1240" s="39"/>
      <c r="N1240" s="26" t="str">
        <f t="shared" si="2"/>
        <v>
</v>
      </c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</row>
    <row r="1241">
      <c r="A1241" s="10"/>
      <c r="B1241" s="12"/>
      <c r="C1241" s="12"/>
      <c r="D1241" s="23"/>
      <c r="E1241" s="12"/>
      <c r="F1241" s="12"/>
      <c r="G1241" s="12"/>
      <c r="H1241" s="12"/>
      <c r="I1241" s="23"/>
      <c r="J1241" s="12"/>
      <c r="K1241" s="23"/>
      <c r="L1241" s="24"/>
      <c r="M1241" s="12"/>
      <c r="N1241" s="26" t="str">
        <f t="shared" si="2"/>
        <v>
</v>
      </c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</row>
    <row r="1242">
      <c r="A1242" s="10"/>
      <c r="B1242" s="12"/>
      <c r="C1242" s="12"/>
      <c r="D1242" s="23"/>
      <c r="E1242" s="12"/>
      <c r="F1242" s="12"/>
      <c r="G1242" s="12"/>
      <c r="H1242" s="12"/>
      <c r="I1242" s="23"/>
      <c r="J1242" s="12"/>
      <c r="K1242" s="23"/>
      <c r="L1242" s="24"/>
      <c r="M1242" s="12"/>
      <c r="N1242" s="26" t="str">
        <f t="shared" si="2"/>
        <v>
</v>
      </c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</row>
    <row r="1243">
      <c r="A1243" s="10"/>
      <c r="B1243" s="12"/>
      <c r="C1243" s="12"/>
      <c r="D1243" s="23"/>
      <c r="E1243" s="12"/>
      <c r="F1243" s="12"/>
      <c r="G1243" s="12"/>
      <c r="H1243" s="12"/>
      <c r="I1243" s="23"/>
      <c r="J1243" s="12"/>
      <c r="K1243" s="23"/>
      <c r="L1243" s="24"/>
      <c r="M1243" s="39"/>
      <c r="N1243" s="26" t="str">
        <f t="shared" si="2"/>
        <v>
</v>
      </c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</row>
    <row r="1244">
      <c r="A1244" s="10"/>
      <c r="B1244" s="12"/>
      <c r="C1244" s="12"/>
      <c r="D1244" s="23"/>
      <c r="E1244" s="12"/>
      <c r="F1244" s="12"/>
      <c r="G1244" s="12"/>
      <c r="H1244" s="12"/>
      <c r="I1244" s="23"/>
      <c r="J1244" s="12"/>
      <c r="K1244" s="23"/>
      <c r="L1244" s="24"/>
      <c r="M1244" s="12"/>
      <c r="N1244" s="26" t="str">
        <f t="shared" si="2"/>
        <v>
</v>
      </c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</row>
    <row r="1245">
      <c r="A1245" s="10"/>
      <c r="B1245" s="12"/>
      <c r="C1245" s="12"/>
      <c r="D1245" s="23"/>
      <c r="E1245" s="12"/>
      <c r="F1245" s="12"/>
      <c r="G1245" s="12"/>
      <c r="H1245" s="12"/>
      <c r="I1245" s="23"/>
      <c r="J1245" s="12"/>
      <c r="K1245" s="23"/>
      <c r="L1245" s="24"/>
      <c r="M1245" s="12"/>
      <c r="N1245" s="26" t="str">
        <f t="shared" si="2"/>
        <v>
</v>
      </c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</row>
    <row r="1246">
      <c r="A1246" s="10"/>
      <c r="B1246" s="12"/>
      <c r="C1246" s="12"/>
      <c r="D1246" s="23"/>
      <c r="E1246" s="12"/>
      <c r="F1246" s="12"/>
      <c r="G1246" s="12"/>
      <c r="H1246" s="12"/>
      <c r="I1246" s="23"/>
      <c r="J1246" s="12"/>
      <c r="K1246" s="23"/>
      <c r="L1246" s="24"/>
      <c r="M1246" s="12"/>
      <c r="N1246" s="26" t="str">
        <f t="shared" si="2"/>
        <v>
</v>
      </c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</row>
    <row r="1247">
      <c r="A1247" s="10"/>
      <c r="B1247" s="12"/>
      <c r="C1247" s="12"/>
      <c r="D1247" s="23"/>
      <c r="E1247" s="12"/>
      <c r="F1247" s="12"/>
      <c r="G1247" s="12"/>
      <c r="H1247" s="12"/>
      <c r="I1247" s="23"/>
      <c r="J1247" s="12"/>
      <c r="K1247" s="23"/>
      <c r="L1247" s="24"/>
      <c r="M1247" s="12"/>
      <c r="N1247" s="26" t="str">
        <f t="shared" si="2"/>
        <v>
</v>
      </c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</row>
    <row r="1248">
      <c r="A1248" s="10"/>
      <c r="B1248" s="12"/>
      <c r="C1248" s="12"/>
      <c r="D1248" s="23"/>
      <c r="E1248" s="12"/>
      <c r="F1248" s="12"/>
      <c r="G1248" s="12"/>
      <c r="H1248" s="12"/>
      <c r="I1248" s="23"/>
      <c r="J1248" s="12"/>
      <c r="K1248" s="23"/>
      <c r="L1248" s="24"/>
      <c r="M1248" s="39"/>
      <c r="N1248" s="26" t="str">
        <f t="shared" si="2"/>
        <v>
</v>
      </c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</row>
    <row r="1249">
      <c r="A1249" s="10"/>
      <c r="B1249" s="12"/>
      <c r="C1249" s="12"/>
      <c r="D1249" s="23"/>
      <c r="E1249" s="12"/>
      <c r="F1249" s="12"/>
      <c r="G1249" s="12"/>
      <c r="H1249" s="12"/>
      <c r="I1249" s="23"/>
      <c r="J1249" s="12"/>
      <c r="K1249" s="23"/>
      <c r="L1249" s="24"/>
      <c r="M1249" s="12"/>
      <c r="N1249" s="26" t="str">
        <f t="shared" si="2"/>
        <v>
</v>
      </c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</row>
    <row r="1250">
      <c r="A1250" s="10"/>
      <c r="B1250" s="12"/>
      <c r="C1250" s="12"/>
      <c r="D1250" s="23"/>
      <c r="E1250" s="12"/>
      <c r="F1250" s="12"/>
      <c r="G1250" s="12"/>
      <c r="H1250" s="12"/>
      <c r="I1250" s="23"/>
      <c r="J1250" s="12"/>
      <c r="K1250" s="23"/>
      <c r="L1250" s="24"/>
      <c r="M1250" s="12"/>
      <c r="N1250" s="26" t="str">
        <f t="shared" si="2"/>
        <v>
</v>
      </c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</row>
    <row r="1251">
      <c r="A1251" s="10"/>
      <c r="B1251" s="12"/>
      <c r="C1251" s="12"/>
      <c r="D1251" s="23"/>
      <c r="E1251" s="12"/>
      <c r="F1251" s="12"/>
      <c r="G1251" s="12"/>
      <c r="H1251" s="12"/>
      <c r="I1251" s="23"/>
      <c r="J1251" s="12"/>
      <c r="K1251" s="23"/>
      <c r="L1251" s="24"/>
      <c r="M1251" s="12"/>
      <c r="N1251" s="26" t="str">
        <f t="shared" si="2"/>
        <v>
</v>
      </c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</row>
    <row r="1252">
      <c r="A1252" s="10"/>
      <c r="B1252" s="12"/>
      <c r="C1252" s="12"/>
      <c r="D1252" s="23"/>
      <c r="E1252" s="12"/>
      <c r="F1252" s="12"/>
      <c r="G1252" s="12"/>
      <c r="H1252" s="12"/>
      <c r="I1252" s="23"/>
      <c r="J1252" s="12"/>
      <c r="K1252" s="23"/>
      <c r="L1252" s="24"/>
      <c r="M1252" s="12"/>
      <c r="N1252" s="26" t="str">
        <f t="shared" si="2"/>
        <v>
</v>
      </c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</row>
    <row r="1253">
      <c r="A1253" s="10"/>
      <c r="B1253" s="12"/>
      <c r="C1253" s="12"/>
      <c r="D1253" s="23"/>
      <c r="E1253" s="12"/>
      <c r="F1253" s="12"/>
      <c r="G1253" s="12"/>
      <c r="H1253" s="12"/>
      <c r="I1253" s="23"/>
      <c r="J1253" s="12"/>
      <c r="K1253" s="23"/>
      <c r="L1253" s="24"/>
      <c r="M1253" s="12"/>
      <c r="N1253" s="26" t="str">
        <f t="shared" si="2"/>
        <v>
</v>
      </c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</row>
    <row r="1254">
      <c r="A1254" s="10"/>
      <c r="B1254" s="12"/>
      <c r="C1254" s="12"/>
      <c r="D1254" s="23"/>
      <c r="E1254" s="12"/>
      <c r="F1254" s="12"/>
      <c r="G1254" s="12"/>
      <c r="H1254" s="12"/>
      <c r="I1254" s="23"/>
      <c r="J1254" s="12"/>
      <c r="K1254" s="23"/>
      <c r="L1254" s="24"/>
      <c r="M1254" s="12"/>
      <c r="N1254" s="26" t="str">
        <f t="shared" si="2"/>
        <v>
</v>
      </c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</row>
    <row r="1255">
      <c r="A1255" s="10"/>
      <c r="B1255" s="12"/>
      <c r="C1255" s="12"/>
      <c r="D1255" s="23"/>
      <c r="E1255" s="12"/>
      <c r="F1255" s="12"/>
      <c r="G1255" s="12"/>
      <c r="H1255" s="12"/>
      <c r="I1255" s="23"/>
      <c r="J1255" s="12"/>
      <c r="K1255" s="23"/>
      <c r="L1255" s="24"/>
      <c r="M1255" s="12"/>
      <c r="N1255" s="26" t="str">
        <f t="shared" si="2"/>
        <v>
</v>
      </c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</row>
    <row r="1256">
      <c r="A1256" s="10"/>
      <c r="B1256" s="12"/>
      <c r="C1256" s="12"/>
      <c r="D1256" s="23"/>
      <c r="E1256" s="12"/>
      <c r="F1256" s="12"/>
      <c r="G1256" s="12"/>
      <c r="H1256" s="12"/>
      <c r="I1256" s="23"/>
      <c r="J1256" s="12"/>
      <c r="K1256" s="23"/>
      <c r="L1256" s="24"/>
      <c r="M1256" s="12"/>
      <c r="N1256" s="26" t="str">
        <f t="shared" si="2"/>
        <v>
</v>
      </c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</row>
    <row r="1257">
      <c r="A1257" s="10"/>
      <c r="B1257" s="12"/>
      <c r="C1257" s="12"/>
      <c r="D1257" s="23"/>
      <c r="E1257" s="12"/>
      <c r="F1257" s="12"/>
      <c r="G1257" s="12"/>
      <c r="H1257" s="12"/>
      <c r="I1257" s="23"/>
      <c r="J1257" s="12"/>
      <c r="K1257" s="23"/>
      <c r="L1257" s="24"/>
      <c r="M1257" s="12"/>
      <c r="N1257" s="26" t="str">
        <f t="shared" si="2"/>
        <v>
</v>
      </c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</row>
    <row r="1258">
      <c r="A1258" s="10"/>
      <c r="B1258" s="12"/>
      <c r="C1258" s="12"/>
      <c r="D1258" s="23"/>
      <c r="E1258" s="12"/>
      <c r="F1258" s="12"/>
      <c r="G1258" s="12"/>
      <c r="H1258" s="12"/>
      <c r="I1258" s="23"/>
      <c r="J1258" s="12"/>
      <c r="K1258" s="23"/>
      <c r="L1258" s="24"/>
      <c r="M1258" s="39"/>
      <c r="N1258" s="26" t="str">
        <f t="shared" si="2"/>
        <v>
</v>
      </c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</row>
    <row r="1259">
      <c r="A1259" s="10"/>
      <c r="B1259" s="12"/>
      <c r="C1259" s="12"/>
      <c r="D1259" s="23"/>
      <c r="E1259" s="12"/>
      <c r="F1259" s="12"/>
      <c r="G1259" s="12"/>
      <c r="H1259" s="12"/>
      <c r="I1259" s="23"/>
      <c r="J1259" s="12"/>
      <c r="K1259" s="23"/>
      <c r="L1259" s="24"/>
      <c r="M1259" s="12"/>
      <c r="N1259" s="26" t="str">
        <f t="shared" si="2"/>
        <v>
</v>
      </c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</row>
    <row r="1260">
      <c r="A1260" s="10"/>
      <c r="B1260" s="12"/>
      <c r="C1260" s="12"/>
      <c r="D1260" s="23"/>
      <c r="E1260" s="12"/>
      <c r="F1260" s="12"/>
      <c r="G1260" s="12"/>
      <c r="H1260" s="12"/>
      <c r="I1260" s="23"/>
      <c r="J1260" s="12"/>
      <c r="K1260" s="23"/>
      <c r="L1260" s="24"/>
      <c r="M1260" s="12"/>
      <c r="N1260" s="26" t="str">
        <f t="shared" si="2"/>
        <v>
</v>
      </c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</row>
    <row r="1261">
      <c r="A1261" s="10"/>
      <c r="B1261" s="12"/>
      <c r="C1261" s="12"/>
      <c r="D1261" s="23"/>
      <c r="E1261" s="12"/>
      <c r="F1261" s="12"/>
      <c r="G1261" s="12"/>
      <c r="H1261" s="12"/>
      <c r="I1261" s="23"/>
      <c r="J1261" s="12"/>
      <c r="K1261" s="23"/>
      <c r="L1261" s="24"/>
      <c r="M1261" s="12"/>
      <c r="N1261" s="26" t="str">
        <f t="shared" si="2"/>
        <v>
</v>
      </c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</row>
    <row r="1262">
      <c r="A1262" s="10"/>
      <c r="B1262" s="12"/>
      <c r="C1262" s="12"/>
      <c r="D1262" s="23"/>
      <c r="E1262" s="12"/>
      <c r="F1262" s="12"/>
      <c r="G1262" s="12"/>
      <c r="H1262" s="12"/>
      <c r="I1262" s="23"/>
      <c r="J1262" s="12"/>
      <c r="K1262" s="23"/>
      <c r="L1262" s="24"/>
      <c r="M1262" s="12"/>
      <c r="N1262" s="26" t="str">
        <f t="shared" si="2"/>
        <v>
</v>
      </c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</row>
    <row r="1263">
      <c r="A1263" s="10"/>
      <c r="B1263" s="12"/>
      <c r="C1263" s="12"/>
      <c r="D1263" s="23"/>
      <c r="E1263" s="12"/>
      <c r="F1263" s="12"/>
      <c r="G1263" s="12"/>
      <c r="H1263" s="12"/>
      <c r="I1263" s="23"/>
      <c r="J1263" s="12"/>
      <c r="K1263" s="23"/>
      <c r="L1263" s="24"/>
      <c r="M1263" s="12"/>
      <c r="N1263" s="26" t="str">
        <f t="shared" si="2"/>
        <v>
</v>
      </c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</row>
    <row r="1264">
      <c r="A1264" s="10"/>
      <c r="B1264" s="12"/>
      <c r="C1264" s="12"/>
      <c r="D1264" s="23"/>
      <c r="E1264" s="12"/>
      <c r="F1264" s="12"/>
      <c r="G1264" s="12"/>
      <c r="H1264" s="12"/>
      <c r="I1264" s="23"/>
      <c r="J1264" s="12"/>
      <c r="K1264" s="23"/>
      <c r="L1264" s="24"/>
      <c r="M1264" s="12"/>
      <c r="N1264" s="26" t="str">
        <f t="shared" si="2"/>
        <v>
</v>
      </c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</row>
    <row r="1265">
      <c r="A1265" s="10"/>
      <c r="B1265" s="12"/>
      <c r="C1265" s="12"/>
      <c r="D1265" s="23"/>
      <c r="E1265" s="12"/>
      <c r="F1265" s="12"/>
      <c r="G1265" s="12"/>
      <c r="H1265" s="12"/>
      <c r="I1265" s="23"/>
      <c r="J1265" s="12"/>
      <c r="K1265" s="23"/>
      <c r="L1265" s="24"/>
      <c r="M1265" s="12"/>
      <c r="N1265" s="26" t="str">
        <f t="shared" si="2"/>
        <v>
</v>
      </c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</row>
    <row r="1266">
      <c r="A1266" s="10"/>
      <c r="B1266" s="12"/>
      <c r="C1266" s="12"/>
      <c r="D1266" s="23"/>
      <c r="E1266" s="12"/>
      <c r="F1266" s="12"/>
      <c r="G1266" s="12"/>
      <c r="H1266" s="12"/>
      <c r="I1266" s="23"/>
      <c r="J1266" s="12"/>
      <c r="K1266" s="23"/>
      <c r="L1266" s="24"/>
      <c r="M1266" s="12"/>
      <c r="N1266" s="26" t="str">
        <f t="shared" si="2"/>
        <v>
</v>
      </c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</row>
    <row r="1267">
      <c r="A1267" s="10"/>
      <c r="B1267" s="12"/>
      <c r="C1267" s="12"/>
      <c r="D1267" s="23"/>
      <c r="E1267" s="12"/>
      <c r="F1267" s="12"/>
      <c r="G1267" s="12"/>
      <c r="H1267" s="12"/>
      <c r="I1267" s="23"/>
      <c r="J1267" s="12"/>
      <c r="K1267" s="23"/>
      <c r="L1267" s="24"/>
      <c r="M1267" s="12"/>
      <c r="N1267" s="26" t="str">
        <f t="shared" si="2"/>
        <v>
</v>
      </c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</row>
    <row r="1268">
      <c r="A1268" s="10"/>
      <c r="B1268" s="12"/>
      <c r="C1268" s="12"/>
      <c r="D1268" s="23"/>
      <c r="E1268" s="12"/>
      <c r="F1268" s="12"/>
      <c r="G1268" s="12"/>
      <c r="H1268" s="12"/>
      <c r="I1268" s="23"/>
      <c r="J1268" s="12"/>
      <c r="K1268" s="23"/>
      <c r="L1268" s="24"/>
      <c r="M1268" s="12"/>
      <c r="N1268" s="26" t="str">
        <f t="shared" si="2"/>
        <v>
</v>
      </c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</row>
    <row r="1269">
      <c r="A1269" s="10"/>
      <c r="B1269" s="12"/>
      <c r="C1269" s="12"/>
      <c r="D1269" s="79"/>
      <c r="E1269" s="89"/>
      <c r="F1269" s="12"/>
      <c r="G1269" s="12"/>
      <c r="H1269" s="12"/>
      <c r="I1269" s="23"/>
      <c r="J1269" s="12"/>
      <c r="K1269" s="23"/>
      <c r="L1269" s="24"/>
      <c r="M1269" s="12"/>
      <c r="N1269" s="26" t="str">
        <f t="shared" si="2"/>
        <v>
</v>
      </c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</row>
    <row r="1270">
      <c r="A1270" s="10"/>
      <c r="B1270" s="12"/>
      <c r="C1270" s="12"/>
      <c r="D1270" s="23"/>
      <c r="E1270" s="22"/>
      <c r="F1270" s="12"/>
      <c r="G1270" s="12"/>
      <c r="H1270" s="12"/>
      <c r="I1270" s="23"/>
      <c r="J1270" s="12"/>
      <c r="K1270" s="23"/>
      <c r="L1270" s="24"/>
      <c r="M1270" s="12"/>
      <c r="N1270" s="26" t="str">
        <f t="shared" si="2"/>
        <v>
</v>
      </c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</row>
    <row r="1271">
      <c r="A1271" s="10"/>
      <c r="B1271" s="12"/>
      <c r="C1271" s="12"/>
      <c r="D1271" s="23"/>
      <c r="E1271" s="12"/>
      <c r="F1271" s="12"/>
      <c r="G1271" s="12"/>
      <c r="H1271" s="12"/>
      <c r="I1271" s="23"/>
      <c r="J1271" s="12"/>
      <c r="K1271" s="23"/>
      <c r="L1271" s="24"/>
      <c r="M1271" s="12"/>
      <c r="N1271" s="26" t="str">
        <f t="shared" si="2"/>
        <v>
</v>
      </c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</row>
    <row r="1272">
      <c r="A1272" s="10"/>
      <c r="B1272" s="12"/>
      <c r="C1272" s="12"/>
      <c r="D1272" s="23"/>
      <c r="E1272" s="22"/>
      <c r="F1272" s="12"/>
      <c r="G1272" s="12"/>
      <c r="H1272" s="12"/>
      <c r="I1272" s="23"/>
      <c r="J1272" s="12"/>
      <c r="K1272" s="23"/>
      <c r="L1272" s="24"/>
      <c r="M1272" s="12"/>
      <c r="N1272" s="26" t="str">
        <f t="shared" si="2"/>
        <v>
</v>
      </c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</row>
    <row r="1273">
      <c r="A1273" s="10"/>
      <c r="B1273" s="12"/>
      <c r="C1273" s="12"/>
      <c r="D1273" s="23"/>
      <c r="E1273" s="12"/>
      <c r="F1273" s="12"/>
      <c r="G1273" s="12"/>
      <c r="H1273" s="12"/>
      <c r="I1273" s="23"/>
      <c r="J1273" s="12"/>
      <c r="K1273" s="23"/>
      <c r="L1273" s="24"/>
      <c r="M1273" s="12"/>
      <c r="N1273" s="26" t="str">
        <f t="shared" si="2"/>
        <v>
</v>
      </c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</row>
    <row r="1274">
      <c r="A1274" s="10"/>
      <c r="B1274" s="12"/>
      <c r="C1274" s="12"/>
      <c r="D1274" s="47"/>
      <c r="E1274" s="12"/>
      <c r="F1274" s="12"/>
      <c r="G1274" s="12"/>
      <c r="H1274" s="12"/>
      <c r="I1274" s="23"/>
      <c r="J1274" s="12"/>
      <c r="K1274" s="23"/>
      <c r="L1274" s="24"/>
      <c r="M1274" s="12"/>
      <c r="N1274" s="26" t="str">
        <f t="shared" si="2"/>
        <v>
</v>
      </c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</row>
    <row r="1275">
      <c r="A1275" s="10"/>
      <c r="B1275" s="12"/>
      <c r="C1275" s="12"/>
      <c r="D1275" s="23"/>
      <c r="E1275" s="12"/>
      <c r="F1275" s="12"/>
      <c r="G1275" s="12"/>
      <c r="H1275" s="12"/>
      <c r="I1275" s="23"/>
      <c r="J1275" s="12"/>
      <c r="K1275" s="23"/>
      <c r="L1275" s="24"/>
      <c r="M1275" s="12"/>
      <c r="N1275" s="26" t="str">
        <f t="shared" si="2"/>
        <v>
</v>
      </c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</row>
    <row r="1276">
      <c r="A1276" s="10"/>
      <c r="B1276" s="12"/>
      <c r="C1276" s="12"/>
      <c r="D1276" s="23"/>
      <c r="E1276" s="22"/>
      <c r="F1276" s="12"/>
      <c r="G1276" s="12"/>
      <c r="H1276" s="12"/>
      <c r="I1276" s="23"/>
      <c r="J1276" s="12"/>
      <c r="K1276" s="23"/>
      <c r="L1276" s="24"/>
      <c r="M1276" s="12"/>
      <c r="N1276" s="26" t="str">
        <f t="shared" si="2"/>
        <v>
</v>
      </c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</row>
    <row r="1277">
      <c r="A1277" s="10"/>
      <c r="B1277" s="12"/>
      <c r="C1277" s="12"/>
      <c r="D1277" s="23"/>
      <c r="E1277" s="12"/>
      <c r="F1277" s="12"/>
      <c r="G1277" s="12"/>
      <c r="H1277" s="12"/>
      <c r="I1277" s="23"/>
      <c r="J1277" s="12"/>
      <c r="K1277" s="23"/>
      <c r="L1277" s="24"/>
      <c r="M1277" s="12"/>
      <c r="N1277" s="26" t="str">
        <f t="shared" si="2"/>
        <v>
</v>
      </c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</row>
    <row r="1278">
      <c r="A1278" s="10"/>
      <c r="B1278" s="12"/>
      <c r="C1278" s="12"/>
      <c r="D1278" s="23"/>
      <c r="E1278" s="12"/>
      <c r="F1278" s="12"/>
      <c r="G1278" s="12"/>
      <c r="H1278" s="12"/>
      <c r="I1278" s="23"/>
      <c r="J1278" s="12"/>
      <c r="K1278" s="23"/>
      <c r="L1278" s="24"/>
      <c r="M1278" s="12"/>
      <c r="N1278" s="26" t="str">
        <f t="shared" si="2"/>
        <v>
</v>
      </c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</row>
    <row r="1279">
      <c r="A1279" s="10"/>
      <c r="B1279" s="12"/>
      <c r="C1279" s="12"/>
      <c r="D1279" s="23"/>
      <c r="E1279" s="12"/>
      <c r="F1279" s="12"/>
      <c r="G1279" s="12"/>
      <c r="H1279" s="12"/>
      <c r="I1279" s="23"/>
      <c r="J1279" s="12"/>
      <c r="K1279" s="23"/>
      <c r="L1279" s="24"/>
      <c r="M1279" s="12"/>
      <c r="N1279" s="26" t="str">
        <f t="shared" si="2"/>
        <v>
</v>
      </c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</row>
    <row r="1280">
      <c r="A1280" s="10"/>
      <c r="B1280" s="12"/>
      <c r="C1280" s="12"/>
      <c r="D1280" s="23"/>
      <c r="E1280" s="22"/>
      <c r="F1280" s="12"/>
      <c r="G1280" s="12"/>
      <c r="H1280" s="12"/>
      <c r="I1280" s="23"/>
      <c r="J1280" s="12"/>
      <c r="K1280" s="23"/>
      <c r="L1280" s="24"/>
      <c r="M1280" s="12"/>
      <c r="N1280" s="26" t="str">
        <f t="shared" si="2"/>
        <v>
</v>
      </c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</row>
    <row r="1281">
      <c r="A1281" s="10"/>
      <c r="B1281" s="12"/>
      <c r="C1281" s="12"/>
      <c r="D1281" s="23"/>
      <c r="E1281" s="12"/>
      <c r="F1281" s="12"/>
      <c r="G1281" s="12"/>
      <c r="H1281" s="12"/>
      <c r="I1281" s="23"/>
      <c r="J1281" s="12"/>
      <c r="K1281" s="23"/>
      <c r="L1281" s="24"/>
      <c r="M1281" s="12"/>
      <c r="N1281" s="26" t="str">
        <f t="shared" si="2"/>
        <v>
</v>
      </c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</row>
    <row r="1282">
      <c r="A1282" s="10"/>
      <c r="B1282" s="12"/>
      <c r="C1282" s="12"/>
      <c r="D1282" s="23"/>
      <c r="E1282" s="12"/>
      <c r="F1282" s="12"/>
      <c r="G1282" s="12"/>
      <c r="H1282" s="12"/>
      <c r="I1282" s="23"/>
      <c r="J1282" s="12"/>
      <c r="K1282" s="23"/>
      <c r="L1282" s="24"/>
      <c r="M1282" s="12"/>
      <c r="N1282" s="26" t="str">
        <f t="shared" si="2"/>
        <v>
</v>
      </c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</row>
    <row r="1283">
      <c r="A1283" s="10"/>
      <c r="B1283" s="12"/>
      <c r="C1283" s="12"/>
      <c r="D1283" s="23"/>
      <c r="E1283" s="12"/>
      <c r="F1283" s="12"/>
      <c r="G1283" s="12"/>
      <c r="H1283" s="12"/>
      <c r="I1283" s="23"/>
      <c r="J1283" s="12"/>
      <c r="K1283" s="23"/>
      <c r="L1283" s="24"/>
      <c r="M1283" s="12"/>
      <c r="N1283" s="26" t="str">
        <f t="shared" si="2"/>
        <v>
</v>
      </c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</row>
    <row r="1284">
      <c r="A1284" s="10"/>
      <c r="B1284" s="12"/>
      <c r="C1284" s="12"/>
      <c r="D1284" s="23"/>
      <c r="E1284" s="12"/>
      <c r="F1284" s="12"/>
      <c r="G1284" s="12"/>
      <c r="H1284" s="12"/>
      <c r="I1284" s="23"/>
      <c r="J1284" s="12"/>
      <c r="K1284" s="23"/>
      <c r="L1284" s="24"/>
      <c r="M1284" s="12"/>
      <c r="N1284" s="26" t="str">
        <f t="shared" si="2"/>
        <v>
</v>
      </c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</row>
    <row r="1285">
      <c r="A1285" s="10"/>
      <c r="B1285" s="12"/>
      <c r="C1285" s="12"/>
      <c r="D1285" s="23"/>
      <c r="E1285" s="12"/>
      <c r="F1285" s="12"/>
      <c r="G1285" s="12"/>
      <c r="H1285" s="12"/>
      <c r="I1285" s="23"/>
      <c r="J1285" s="12"/>
      <c r="K1285" s="23"/>
      <c r="L1285" s="24"/>
      <c r="M1285" s="12"/>
      <c r="N1285" s="26" t="str">
        <f t="shared" si="2"/>
        <v>
</v>
      </c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</row>
    <row r="1286">
      <c r="A1286" s="10"/>
      <c r="B1286" s="12"/>
      <c r="C1286" s="12"/>
      <c r="D1286" s="23"/>
      <c r="E1286" s="22"/>
      <c r="F1286" s="12"/>
      <c r="G1286" s="12"/>
      <c r="H1286" s="12"/>
      <c r="I1286" s="23"/>
      <c r="J1286" s="12"/>
      <c r="K1286" s="23"/>
      <c r="L1286" s="24"/>
      <c r="M1286" s="12"/>
      <c r="N1286" s="26" t="str">
        <f t="shared" si="2"/>
        <v>
</v>
      </c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</row>
    <row r="1287">
      <c r="A1287" s="10"/>
      <c r="B1287" s="12"/>
      <c r="C1287" s="12"/>
      <c r="D1287" s="23"/>
      <c r="E1287" s="12"/>
      <c r="F1287" s="12"/>
      <c r="G1287" s="12"/>
      <c r="H1287" s="12"/>
      <c r="I1287" s="23"/>
      <c r="J1287" s="12"/>
      <c r="K1287" s="23"/>
      <c r="L1287" s="24"/>
      <c r="M1287" s="12"/>
      <c r="N1287" s="26" t="str">
        <f t="shared" si="2"/>
        <v>
</v>
      </c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</row>
    <row r="1288">
      <c r="A1288" s="10"/>
      <c r="B1288" s="12"/>
      <c r="C1288" s="12"/>
      <c r="D1288" s="23"/>
      <c r="E1288" s="12"/>
      <c r="F1288" s="12"/>
      <c r="G1288" s="12"/>
      <c r="H1288" s="12"/>
      <c r="I1288" s="23"/>
      <c r="J1288" s="12"/>
      <c r="K1288" s="23"/>
      <c r="L1288" s="24"/>
      <c r="M1288" s="12"/>
      <c r="N1288" s="26" t="str">
        <f t="shared" si="2"/>
        <v>
</v>
      </c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</row>
    <row r="1289">
      <c r="A1289" s="10"/>
      <c r="B1289" s="12"/>
      <c r="C1289" s="12"/>
      <c r="D1289" s="23"/>
      <c r="E1289" s="12"/>
      <c r="F1289" s="12"/>
      <c r="G1289" s="12"/>
      <c r="H1289" s="12"/>
      <c r="I1289" s="23"/>
      <c r="J1289" s="12"/>
      <c r="K1289" s="23"/>
      <c r="L1289" s="24"/>
      <c r="M1289" s="12"/>
      <c r="N1289" s="26" t="str">
        <f t="shared" si="2"/>
        <v>
</v>
      </c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</row>
    <row r="1290">
      <c r="A1290" s="10"/>
      <c r="B1290" s="12"/>
      <c r="C1290" s="12"/>
      <c r="D1290" s="23"/>
      <c r="E1290" s="12"/>
      <c r="F1290" s="12"/>
      <c r="G1290" s="12"/>
      <c r="H1290" s="12"/>
      <c r="I1290" s="23"/>
      <c r="J1290" s="12"/>
      <c r="K1290" s="23"/>
      <c r="L1290" s="24"/>
      <c r="M1290" s="12"/>
      <c r="N1290" s="26" t="str">
        <f t="shared" si="2"/>
        <v>
</v>
      </c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</row>
    <row r="1291">
      <c r="A1291" s="10"/>
      <c r="B1291" s="12"/>
      <c r="C1291" s="12"/>
      <c r="D1291" s="23"/>
      <c r="E1291" s="12"/>
      <c r="F1291" s="12"/>
      <c r="G1291" s="12"/>
      <c r="H1291" s="12"/>
      <c r="I1291" s="23"/>
      <c r="J1291" s="12"/>
      <c r="K1291" s="23"/>
      <c r="L1291" s="24"/>
      <c r="M1291" s="12"/>
      <c r="N1291" s="26" t="str">
        <f t="shared" si="2"/>
        <v>
</v>
      </c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</row>
    <row r="1292">
      <c r="A1292" s="10"/>
      <c r="B1292" s="12"/>
      <c r="C1292" s="12"/>
      <c r="D1292" s="23"/>
      <c r="E1292" s="12"/>
      <c r="F1292" s="12"/>
      <c r="G1292" s="12"/>
      <c r="H1292" s="12"/>
      <c r="I1292" s="23"/>
      <c r="J1292" s="12"/>
      <c r="K1292" s="23"/>
      <c r="L1292" s="24"/>
      <c r="M1292" s="12"/>
      <c r="N1292" s="26" t="str">
        <f t="shared" si="2"/>
        <v>
</v>
      </c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</row>
    <row r="1293">
      <c r="A1293" s="10"/>
      <c r="B1293" s="12"/>
      <c r="C1293" s="12"/>
      <c r="D1293" s="23"/>
      <c r="E1293" s="12"/>
      <c r="F1293" s="12"/>
      <c r="G1293" s="12"/>
      <c r="H1293" s="12"/>
      <c r="I1293" s="23"/>
      <c r="J1293" s="12"/>
      <c r="K1293" s="23"/>
      <c r="L1293" s="24"/>
      <c r="M1293" s="12"/>
      <c r="N1293" s="26" t="str">
        <f t="shared" si="2"/>
        <v>
</v>
      </c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</row>
    <row r="1294">
      <c r="A1294" s="10"/>
      <c r="B1294" s="12"/>
      <c r="C1294" s="12"/>
      <c r="D1294" s="23"/>
      <c r="E1294" s="12"/>
      <c r="F1294" s="12"/>
      <c r="G1294" s="12"/>
      <c r="H1294" s="12"/>
      <c r="I1294" s="23"/>
      <c r="J1294" s="12"/>
      <c r="K1294" s="23"/>
      <c r="L1294" s="24"/>
      <c r="M1294" s="12"/>
      <c r="N1294" s="26" t="str">
        <f t="shared" si="2"/>
        <v>
</v>
      </c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</row>
    <row r="1295">
      <c r="A1295" s="10"/>
      <c r="B1295" s="12"/>
      <c r="C1295" s="12"/>
      <c r="D1295" s="23"/>
      <c r="E1295" s="22"/>
      <c r="F1295" s="12"/>
      <c r="G1295" s="12"/>
      <c r="H1295" s="12"/>
      <c r="I1295" s="23"/>
      <c r="J1295" s="12"/>
      <c r="K1295" s="23"/>
      <c r="L1295" s="24"/>
      <c r="M1295" s="12"/>
      <c r="N1295" s="26" t="str">
        <f t="shared" si="2"/>
        <v>
</v>
      </c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</row>
    <row r="1296">
      <c r="A1296" s="10"/>
      <c r="B1296" s="12"/>
      <c r="C1296" s="12"/>
      <c r="D1296" s="23"/>
      <c r="E1296" s="22"/>
      <c r="F1296" s="12"/>
      <c r="G1296" s="12"/>
      <c r="H1296" s="12"/>
      <c r="I1296" s="23"/>
      <c r="J1296" s="12"/>
      <c r="K1296" s="23"/>
      <c r="L1296" s="24"/>
      <c r="M1296" s="12"/>
      <c r="N1296" s="26" t="str">
        <f t="shared" si="2"/>
        <v>
</v>
      </c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</row>
    <row r="1297">
      <c r="A1297" s="10"/>
      <c r="B1297" s="12"/>
      <c r="C1297" s="12"/>
      <c r="D1297" s="23"/>
      <c r="E1297" s="12"/>
      <c r="F1297" s="12"/>
      <c r="G1297" s="12"/>
      <c r="H1297" s="12"/>
      <c r="I1297" s="23"/>
      <c r="J1297" s="12"/>
      <c r="K1297" s="23"/>
      <c r="L1297" s="24"/>
      <c r="M1297" s="12"/>
      <c r="N1297" s="26" t="str">
        <f t="shared" si="2"/>
        <v>
</v>
      </c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</row>
    <row r="1298">
      <c r="A1298" s="10"/>
      <c r="B1298" s="12"/>
      <c r="C1298" s="12"/>
      <c r="D1298" s="23"/>
      <c r="E1298" s="12"/>
      <c r="F1298" s="12"/>
      <c r="G1298" s="12"/>
      <c r="H1298" s="12"/>
      <c r="I1298" s="23"/>
      <c r="J1298" s="12"/>
      <c r="K1298" s="23"/>
      <c r="L1298" s="24"/>
      <c r="M1298" s="12"/>
      <c r="N1298" s="26" t="str">
        <f t="shared" si="2"/>
        <v>
</v>
      </c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</row>
    <row r="1299">
      <c r="A1299" s="10"/>
      <c r="B1299" s="12"/>
      <c r="C1299" s="12"/>
      <c r="D1299" s="23"/>
      <c r="E1299" s="22"/>
      <c r="F1299" s="12"/>
      <c r="G1299" s="12"/>
      <c r="H1299" s="12"/>
      <c r="I1299" s="23"/>
      <c r="J1299" s="12"/>
      <c r="K1299" s="23"/>
      <c r="L1299" s="24"/>
      <c r="M1299" s="12"/>
      <c r="N1299" s="26" t="str">
        <f t="shared" si="2"/>
        <v>
</v>
      </c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</row>
    <row r="1300">
      <c r="A1300" s="10"/>
      <c r="B1300" s="12"/>
      <c r="C1300" s="12"/>
      <c r="D1300" s="23"/>
      <c r="E1300" s="22"/>
      <c r="F1300" s="12"/>
      <c r="G1300" s="12"/>
      <c r="H1300" s="12"/>
      <c r="I1300" s="23"/>
      <c r="J1300" s="12"/>
      <c r="K1300" s="23"/>
      <c r="L1300" s="24"/>
      <c r="M1300" s="12"/>
      <c r="N1300" s="26" t="str">
        <f t="shared" si="2"/>
        <v>
</v>
      </c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</row>
    <row r="1301">
      <c r="A1301" s="10"/>
      <c r="B1301" s="12"/>
      <c r="C1301" s="12"/>
      <c r="D1301" s="23"/>
      <c r="E1301" s="22"/>
      <c r="F1301" s="12"/>
      <c r="G1301" s="12"/>
      <c r="H1301" s="12"/>
      <c r="I1301" s="23"/>
      <c r="J1301" s="12"/>
      <c r="K1301" s="23"/>
      <c r="L1301" s="24"/>
      <c r="M1301" s="12"/>
      <c r="N1301" s="26" t="str">
        <f t="shared" si="2"/>
        <v>
</v>
      </c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</row>
    <row r="1302">
      <c r="A1302" s="10"/>
      <c r="B1302" s="12"/>
      <c r="C1302" s="12"/>
      <c r="D1302" s="23"/>
      <c r="E1302" s="22"/>
      <c r="F1302" s="12"/>
      <c r="G1302" s="12"/>
      <c r="H1302" s="12"/>
      <c r="I1302" s="23"/>
      <c r="J1302" s="12"/>
      <c r="K1302" s="23"/>
      <c r="L1302" s="24"/>
      <c r="M1302" s="12"/>
      <c r="N1302" s="26" t="str">
        <f t="shared" si="2"/>
        <v>
</v>
      </c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</row>
    <row r="1303">
      <c r="A1303" s="10"/>
      <c r="B1303" s="12"/>
      <c r="C1303" s="12"/>
      <c r="D1303" s="23"/>
      <c r="E1303" s="12"/>
      <c r="F1303" s="12"/>
      <c r="G1303" s="12"/>
      <c r="H1303" s="12"/>
      <c r="I1303" s="23"/>
      <c r="J1303" s="12"/>
      <c r="K1303" s="23"/>
      <c r="L1303" s="24"/>
      <c r="M1303" s="12"/>
      <c r="N1303" s="26" t="str">
        <f t="shared" si="2"/>
        <v>
</v>
      </c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</row>
    <row r="1304">
      <c r="A1304" s="10"/>
      <c r="B1304" s="12"/>
      <c r="C1304" s="12"/>
      <c r="D1304" s="23"/>
      <c r="E1304" s="22"/>
      <c r="F1304" s="12"/>
      <c r="G1304" s="12"/>
      <c r="H1304" s="12"/>
      <c r="I1304" s="23"/>
      <c r="J1304" s="12"/>
      <c r="K1304" s="23"/>
      <c r="L1304" s="24"/>
      <c r="M1304" s="12"/>
      <c r="N1304" s="26" t="str">
        <f t="shared" si="2"/>
        <v>
</v>
      </c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</row>
    <row r="1305">
      <c r="A1305" s="10"/>
      <c r="B1305" s="12"/>
      <c r="C1305" s="12"/>
      <c r="D1305" s="23"/>
      <c r="E1305" s="22"/>
      <c r="F1305" s="12"/>
      <c r="G1305" s="12"/>
      <c r="H1305" s="12"/>
      <c r="I1305" s="23"/>
      <c r="J1305" s="12"/>
      <c r="K1305" s="23"/>
      <c r="L1305" s="24"/>
      <c r="M1305" s="12"/>
      <c r="N1305" s="26" t="str">
        <f t="shared" si="2"/>
        <v>
</v>
      </c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</row>
    <row r="1306">
      <c r="A1306" s="10"/>
      <c r="B1306" s="12"/>
      <c r="C1306" s="12"/>
      <c r="D1306" s="23"/>
      <c r="E1306" s="12"/>
      <c r="F1306" s="12"/>
      <c r="G1306" s="12"/>
      <c r="H1306" s="12"/>
      <c r="I1306" s="23"/>
      <c r="J1306" s="12"/>
      <c r="K1306" s="23"/>
      <c r="L1306" s="24"/>
      <c r="M1306" s="12"/>
      <c r="N1306" s="26" t="str">
        <f t="shared" si="2"/>
        <v>
</v>
      </c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</row>
    <row r="1307">
      <c r="A1307" s="10"/>
      <c r="B1307" s="12"/>
      <c r="C1307" s="12"/>
      <c r="D1307" s="23"/>
      <c r="E1307" s="22"/>
      <c r="F1307" s="12"/>
      <c r="G1307" s="12"/>
      <c r="H1307" s="12"/>
      <c r="I1307" s="23"/>
      <c r="J1307" s="12"/>
      <c r="K1307" s="23"/>
      <c r="L1307" s="24"/>
      <c r="M1307" s="39"/>
      <c r="N1307" s="26" t="str">
        <f t="shared" si="2"/>
        <v>
</v>
      </c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</row>
    <row r="1308">
      <c r="A1308" s="10"/>
      <c r="B1308" s="12"/>
      <c r="C1308" s="12"/>
      <c r="D1308" s="23"/>
      <c r="E1308" s="22"/>
      <c r="F1308" s="12"/>
      <c r="G1308" s="12"/>
      <c r="H1308" s="12"/>
      <c r="I1308" s="23"/>
      <c r="J1308" s="12"/>
      <c r="K1308" s="23"/>
      <c r="L1308" s="24"/>
      <c r="M1308" s="12"/>
      <c r="N1308" s="26" t="str">
        <f t="shared" si="2"/>
        <v>
</v>
      </c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</row>
    <row r="1309">
      <c r="A1309" s="10"/>
      <c r="B1309" s="12"/>
      <c r="C1309" s="12"/>
      <c r="D1309" s="23"/>
      <c r="E1309" s="12"/>
      <c r="F1309" s="12"/>
      <c r="G1309" s="12"/>
      <c r="H1309" s="12"/>
      <c r="I1309" s="23"/>
      <c r="J1309" s="12"/>
      <c r="K1309" s="23"/>
      <c r="L1309" s="24"/>
      <c r="M1309" s="12"/>
      <c r="N1309" s="26" t="str">
        <f t="shared" si="2"/>
        <v>
</v>
      </c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</row>
    <row r="1310">
      <c r="A1310" s="10"/>
      <c r="B1310" s="12"/>
      <c r="C1310" s="12"/>
      <c r="D1310" s="23"/>
      <c r="E1310" s="12"/>
      <c r="F1310" s="12"/>
      <c r="G1310" s="12"/>
      <c r="H1310" s="12"/>
      <c r="I1310" s="23"/>
      <c r="J1310" s="12"/>
      <c r="K1310" s="23"/>
      <c r="L1310" s="24"/>
      <c r="M1310" s="12"/>
      <c r="N1310" s="26" t="str">
        <f t="shared" si="2"/>
        <v>
</v>
      </c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</row>
    <row r="1311">
      <c r="A1311" s="10"/>
      <c r="B1311" s="12"/>
      <c r="C1311" s="12"/>
      <c r="D1311" s="23"/>
      <c r="E1311" s="22"/>
      <c r="F1311" s="12"/>
      <c r="G1311" s="12"/>
      <c r="H1311" s="12"/>
      <c r="I1311" s="23"/>
      <c r="J1311" s="12"/>
      <c r="K1311" s="23"/>
      <c r="L1311" s="24"/>
      <c r="M1311" s="12"/>
      <c r="N1311" s="26" t="str">
        <f t="shared" si="2"/>
        <v>
</v>
      </c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</row>
    <row r="1312">
      <c r="A1312" s="10"/>
      <c r="B1312" s="12"/>
      <c r="C1312" s="12"/>
      <c r="D1312" s="23"/>
      <c r="E1312" s="12"/>
      <c r="F1312" s="12"/>
      <c r="G1312" s="12"/>
      <c r="H1312" s="12"/>
      <c r="I1312" s="23"/>
      <c r="J1312" s="12"/>
      <c r="K1312" s="23"/>
      <c r="L1312" s="24"/>
      <c r="M1312" s="12"/>
      <c r="N1312" s="26" t="str">
        <f t="shared" si="2"/>
        <v>
</v>
      </c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</row>
    <row r="1313">
      <c r="A1313" s="10"/>
      <c r="B1313" s="12"/>
      <c r="C1313" s="12"/>
      <c r="D1313" s="23"/>
      <c r="E1313" s="12"/>
      <c r="F1313" s="12"/>
      <c r="G1313" s="12"/>
      <c r="H1313" s="12"/>
      <c r="I1313" s="23"/>
      <c r="J1313" s="12"/>
      <c r="K1313" s="23"/>
      <c r="L1313" s="24"/>
      <c r="M1313" s="12"/>
      <c r="N1313" s="26" t="str">
        <f t="shared" si="2"/>
        <v>
</v>
      </c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</row>
    <row r="1314">
      <c r="A1314" s="10"/>
      <c r="B1314" s="12"/>
      <c r="C1314" s="12"/>
      <c r="D1314" s="23"/>
      <c r="E1314" s="12"/>
      <c r="F1314" s="12"/>
      <c r="G1314" s="12"/>
      <c r="H1314" s="12"/>
      <c r="I1314" s="23"/>
      <c r="J1314" s="12"/>
      <c r="K1314" s="23"/>
      <c r="L1314" s="24"/>
      <c r="M1314" s="12"/>
      <c r="N1314" s="26" t="str">
        <f t="shared" si="2"/>
        <v>
</v>
      </c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</row>
    <row r="1315">
      <c r="A1315" s="10"/>
      <c r="B1315" s="12"/>
      <c r="C1315" s="12"/>
      <c r="D1315" s="23"/>
      <c r="E1315" s="12"/>
      <c r="F1315" s="12"/>
      <c r="G1315" s="12"/>
      <c r="H1315" s="12"/>
      <c r="I1315" s="23"/>
      <c r="J1315" s="12"/>
      <c r="K1315" s="23"/>
      <c r="L1315" s="24"/>
      <c r="M1315" s="12"/>
      <c r="N1315" s="26" t="str">
        <f t="shared" si="2"/>
        <v>
</v>
      </c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</row>
    <row r="1316">
      <c r="A1316" s="10"/>
      <c r="B1316" s="12"/>
      <c r="C1316" s="12"/>
      <c r="D1316" s="23"/>
      <c r="E1316" s="12"/>
      <c r="F1316" s="12"/>
      <c r="G1316" s="12"/>
      <c r="H1316" s="12"/>
      <c r="I1316" s="23"/>
      <c r="J1316" s="12"/>
      <c r="K1316" s="23"/>
      <c r="L1316" s="24"/>
      <c r="M1316" s="12"/>
      <c r="N1316" s="26" t="str">
        <f t="shared" si="2"/>
        <v>
</v>
      </c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</row>
    <row r="1317">
      <c r="A1317" s="10"/>
      <c r="B1317" s="12"/>
      <c r="C1317" s="12"/>
      <c r="D1317" s="23"/>
      <c r="E1317" s="12"/>
      <c r="F1317" s="12"/>
      <c r="G1317" s="12"/>
      <c r="H1317" s="12"/>
      <c r="I1317" s="23"/>
      <c r="J1317" s="12"/>
      <c r="K1317" s="23"/>
      <c r="L1317" s="24"/>
      <c r="M1317" s="12"/>
      <c r="N1317" s="26" t="str">
        <f t="shared" si="2"/>
        <v>
</v>
      </c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</row>
    <row r="1318">
      <c r="A1318" s="10"/>
      <c r="B1318" s="12"/>
      <c r="C1318" s="12"/>
      <c r="D1318" s="23"/>
      <c r="E1318" s="12"/>
      <c r="F1318" s="12"/>
      <c r="G1318" s="12"/>
      <c r="H1318" s="12"/>
      <c r="I1318" s="23"/>
      <c r="J1318" s="12"/>
      <c r="K1318" s="23"/>
      <c r="L1318" s="24"/>
      <c r="M1318" s="12"/>
      <c r="N1318" s="26" t="str">
        <f t="shared" si="2"/>
        <v>
</v>
      </c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</row>
    <row r="1319">
      <c r="A1319" s="10"/>
      <c r="B1319" s="12"/>
      <c r="C1319" s="12"/>
      <c r="D1319" s="23"/>
      <c r="E1319" s="12"/>
      <c r="F1319" s="12"/>
      <c r="G1319" s="12"/>
      <c r="H1319" s="12"/>
      <c r="I1319" s="23"/>
      <c r="J1319" s="12"/>
      <c r="K1319" s="23"/>
      <c r="L1319" s="24"/>
      <c r="M1319" s="39"/>
      <c r="N1319" s="26" t="str">
        <f t="shared" si="2"/>
        <v>
</v>
      </c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</row>
    <row r="1320">
      <c r="A1320" s="10"/>
      <c r="B1320" s="12"/>
      <c r="C1320" s="12"/>
      <c r="D1320" s="23"/>
      <c r="E1320" s="12"/>
      <c r="F1320" s="12"/>
      <c r="G1320" s="12"/>
      <c r="H1320" s="12"/>
      <c r="I1320" s="23"/>
      <c r="J1320" s="12"/>
      <c r="K1320" s="23"/>
      <c r="L1320" s="24"/>
      <c r="M1320" s="39"/>
      <c r="N1320" s="26" t="str">
        <f t="shared" si="2"/>
        <v>
</v>
      </c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</row>
    <row r="1321">
      <c r="A1321" s="10"/>
      <c r="B1321" s="12"/>
      <c r="C1321" s="12"/>
      <c r="D1321" s="23"/>
      <c r="E1321" s="12"/>
      <c r="F1321" s="12"/>
      <c r="G1321" s="12"/>
      <c r="H1321" s="12"/>
      <c r="I1321" s="23"/>
      <c r="J1321" s="12"/>
      <c r="K1321" s="23"/>
      <c r="L1321" s="24"/>
      <c r="M1321" s="12"/>
      <c r="N1321" s="26" t="str">
        <f t="shared" si="2"/>
        <v>
</v>
      </c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</row>
    <row r="1322">
      <c r="A1322" s="10"/>
      <c r="B1322" s="12"/>
      <c r="C1322" s="12"/>
      <c r="D1322" s="23"/>
      <c r="E1322" s="12"/>
      <c r="F1322" s="12"/>
      <c r="G1322" s="12"/>
      <c r="H1322" s="12"/>
      <c r="I1322" s="23"/>
      <c r="J1322" s="12"/>
      <c r="K1322" s="23"/>
      <c r="L1322" s="24"/>
      <c r="M1322" s="12"/>
      <c r="N1322" s="26" t="str">
        <f t="shared" si="2"/>
        <v>
</v>
      </c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</row>
    <row r="1323">
      <c r="A1323" s="10"/>
      <c r="B1323" s="12"/>
      <c r="C1323" s="12"/>
      <c r="D1323" s="23"/>
      <c r="E1323" s="22"/>
      <c r="F1323" s="12"/>
      <c r="G1323" s="12"/>
      <c r="H1323" s="12"/>
      <c r="I1323" s="23"/>
      <c r="J1323" s="12"/>
      <c r="K1323" s="23"/>
      <c r="L1323" s="24"/>
      <c r="M1323" s="12"/>
      <c r="N1323" s="26" t="str">
        <f t="shared" si="2"/>
        <v>
</v>
      </c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</row>
    <row r="1324">
      <c r="A1324" s="10"/>
      <c r="B1324" s="12"/>
      <c r="C1324" s="12"/>
      <c r="D1324" s="23"/>
      <c r="E1324" s="12"/>
      <c r="F1324" s="12"/>
      <c r="G1324" s="12"/>
      <c r="H1324" s="12"/>
      <c r="I1324" s="23"/>
      <c r="J1324" s="12"/>
      <c r="K1324" s="23"/>
      <c r="L1324" s="24"/>
      <c r="M1324" s="12"/>
      <c r="N1324" s="26" t="str">
        <f t="shared" si="2"/>
        <v>
</v>
      </c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</row>
    <row r="1325">
      <c r="A1325" s="10"/>
      <c r="B1325" s="12"/>
      <c r="C1325" s="12"/>
      <c r="D1325" s="23"/>
      <c r="E1325" s="22"/>
      <c r="F1325" s="12"/>
      <c r="G1325" s="12"/>
      <c r="H1325" s="12"/>
      <c r="I1325" s="23"/>
      <c r="J1325" s="12"/>
      <c r="K1325" s="23"/>
      <c r="L1325" s="24"/>
      <c r="M1325" s="12"/>
      <c r="N1325" s="26" t="str">
        <f t="shared" si="2"/>
        <v>
</v>
      </c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</row>
    <row r="1326">
      <c r="A1326" s="10"/>
      <c r="B1326" s="12"/>
      <c r="C1326" s="12"/>
      <c r="D1326" s="23"/>
      <c r="E1326" s="12"/>
      <c r="F1326" s="12"/>
      <c r="G1326" s="12"/>
      <c r="H1326" s="12"/>
      <c r="I1326" s="23"/>
      <c r="J1326" s="12"/>
      <c r="K1326" s="23"/>
      <c r="L1326" s="24"/>
      <c r="M1326" s="12"/>
      <c r="N1326" s="26" t="str">
        <f t="shared" si="2"/>
        <v>
</v>
      </c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</row>
    <row r="1327">
      <c r="A1327" s="10"/>
      <c r="B1327" s="12"/>
      <c r="C1327" s="12"/>
      <c r="D1327" s="23"/>
      <c r="E1327" s="12"/>
      <c r="F1327" s="12"/>
      <c r="G1327" s="12"/>
      <c r="H1327" s="12"/>
      <c r="I1327" s="23"/>
      <c r="J1327" s="12"/>
      <c r="K1327" s="23"/>
      <c r="L1327" s="24"/>
      <c r="M1327" s="12"/>
      <c r="N1327" s="26" t="str">
        <f t="shared" si="2"/>
        <v>
</v>
      </c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</row>
    <row r="1328">
      <c r="A1328" s="10"/>
      <c r="B1328" s="12"/>
      <c r="C1328" s="12"/>
      <c r="D1328" s="23"/>
      <c r="E1328" s="12"/>
      <c r="F1328" s="12"/>
      <c r="G1328" s="12"/>
      <c r="H1328" s="12"/>
      <c r="I1328" s="23"/>
      <c r="J1328" s="12"/>
      <c r="K1328" s="23"/>
      <c r="L1328" s="24"/>
      <c r="M1328" s="12"/>
      <c r="N1328" s="26" t="str">
        <f t="shared" si="2"/>
        <v>
</v>
      </c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</row>
    <row r="1329">
      <c r="A1329" s="10"/>
      <c r="B1329" s="12"/>
      <c r="C1329" s="12"/>
      <c r="D1329" s="23"/>
      <c r="E1329" s="12"/>
      <c r="F1329" s="12"/>
      <c r="G1329" s="12"/>
      <c r="H1329" s="12"/>
      <c r="I1329" s="23"/>
      <c r="J1329" s="12"/>
      <c r="K1329" s="23"/>
      <c r="L1329" s="24"/>
      <c r="M1329" s="12"/>
      <c r="N1329" s="26" t="str">
        <f t="shared" si="2"/>
        <v>
</v>
      </c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</row>
    <row r="1330">
      <c r="A1330" s="10"/>
      <c r="B1330" s="12"/>
      <c r="C1330" s="12"/>
      <c r="D1330" s="23"/>
      <c r="E1330" s="12"/>
      <c r="F1330" s="12"/>
      <c r="G1330" s="12"/>
      <c r="H1330" s="12"/>
      <c r="I1330" s="23"/>
      <c r="J1330" s="12"/>
      <c r="K1330" s="23"/>
      <c r="L1330" s="24"/>
      <c r="M1330" s="12"/>
      <c r="N1330" s="26" t="str">
        <f t="shared" si="2"/>
        <v>
</v>
      </c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</row>
    <row r="1331">
      <c r="A1331" s="10"/>
      <c r="B1331" s="12"/>
      <c r="C1331" s="12"/>
      <c r="D1331" s="23"/>
      <c r="E1331" s="12"/>
      <c r="F1331" s="12"/>
      <c r="G1331" s="12"/>
      <c r="H1331" s="12"/>
      <c r="I1331" s="23"/>
      <c r="J1331" s="12"/>
      <c r="K1331" s="23"/>
      <c r="L1331" s="24"/>
      <c r="M1331" s="12"/>
      <c r="N1331" s="26" t="str">
        <f t="shared" si="2"/>
        <v>
</v>
      </c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</row>
    <row r="1332">
      <c r="A1332" s="10"/>
      <c r="B1332" s="12"/>
      <c r="C1332" s="12"/>
      <c r="D1332" s="23"/>
      <c r="E1332" s="12"/>
      <c r="F1332" s="12"/>
      <c r="G1332" s="12"/>
      <c r="H1332" s="12"/>
      <c r="I1332" s="23"/>
      <c r="J1332" s="12"/>
      <c r="K1332" s="23"/>
      <c r="L1332" s="24"/>
      <c r="M1332" s="12"/>
      <c r="N1332" s="26" t="str">
        <f t="shared" si="2"/>
        <v>
</v>
      </c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</row>
    <row r="1333">
      <c r="A1333" s="10"/>
      <c r="B1333" s="12"/>
      <c r="C1333" s="12"/>
      <c r="D1333" s="23"/>
      <c r="E1333" s="12"/>
      <c r="F1333" s="12"/>
      <c r="G1333" s="12"/>
      <c r="H1333" s="12"/>
      <c r="I1333" s="23"/>
      <c r="J1333" s="12"/>
      <c r="K1333" s="23"/>
      <c r="L1333" s="24"/>
      <c r="M1333" s="12"/>
      <c r="N1333" s="26" t="str">
        <f t="shared" si="2"/>
        <v>
</v>
      </c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</row>
    <row r="1334">
      <c r="A1334" s="10"/>
      <c r="B1334" s="12"/>
      <c r="C1334" s="12"/>
      <c r="D1334" s="23"/>
      <c r="E1334" s="12"/>
      <c r="F1334" s="12"/>
      <c r="G1334" s="12"/>
      <c r="H1334" s="12"/>
      <c r="I1334" s="23"/>
      <c r="J1334" s="12"/>
      <c r="K1334" s="23"/>
      <c r="L1334" s="24"/>
      <c r="M1334" s="39"/>
      <c r="N1334" s="26" t="str">
        <f t="shared" si="2"/>
        <v>
</v>
      </c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</row>
    <row r="1335">
      <c r="A1335" s="10"/>
      <c r="B1335" s="12"/>
      <c r="C1335" s="12"/>
      <c r="D1335" s="23"/>
      <c r="E1335" s="12"/>
      <c r="F1335" s="12"/>
      <c r="G1335" s="12"/>
      <c r="H1335" s="12"/>
      <c r="I1335" s="23"/>
      <c r="J1335" s="12"/>
      <c r="K1335" s="23"/>
      <c r="L1335" s="24"/>
      <c r="M1335" s="12"/>
      <c r="N1335" s="26" t="str">
        <f t="shared" si="2"/>
        <v>
</v>
      </c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</row>
    <row r="1336">
      <c r="A1336" s="10"/>
      <c r="B1336" s="12"/>
      <c r="C1336" s="12"/>
      <c r="D1336" s="23"/>
      <c r="E1336" s="12"/>
      <c r="F1336" s="12"/>
      <c r="G1336" s="12"/>
      <c r="H1336" s="12"/>
      <c r="I1336" s="23"/>
      <c r="J1336" s="12"/>
      <c r="K1336" s="23"/>
      <c r="L1336" s="24"/>
      <c r="M1336" s="39"/>
      <c r="N1336" s="26" t="str">
        <f t="shared" si="2"/>
        <v>
</v>
      </c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</row>
    <row r="1337">
      <c r="A1337" s="10"/>
      <c r="B1337" s="12"/>
      <c r="C1337" s="12"/>
      <c r="D1337" s="23"/>
      <c r="E1337" s="12"/>
      <c r="F1337" s="12"/>
      <c r="G1337" s="12"/>
      <c r="H1337" s="12"/>
      <c r="I1337" s="23"/>
      <c r="J1337" s="12"/>
      <c r="K1337" s="23"/>
      <c r="L1337" s="24"/>
      <c r="M1337" s="12"/>
      <c r="N1337" s="26" t="str">
        <f t="shared" si="2"/>
        <v>
</v>
      </c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</row>
    <row r="1338">
      <c r="A1338" s="10"/>
      <c r="B1338" s="12"/>
      <c r="C1338" s="12"/>
      <c r="D1338" s="23"/>
      <c r="E1338" s="12"/>
      <c r="F1338" s="12"/>
      <c r="G1338" s="12"/>
      <c r="H1338" s="12"/>
      <c r="I1338" s="23"/>
      <c r="J1338" s="12"/>
      <c r="K1338" s="23"/>
      <c r="L1338" s="24"/>
      <c r="M1338" s="12"/>
      <c r="N1338" s="26" t="str">
        <f t="shared" si="2"/>
        <v>
</v>
      </c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</row>
    <row r="1339">
      <c r="A1339" s="10"/>
      <c r="B1339" s="12"/>
      <c r="C1339" s="12"/>
      <c r="D1339" s="23"/>
      <c r="E1339" s="12"/>
      <c r="F1339" s="12"/>
      <c r="G1339" s="12"/>
      <c r="H1339" s="12"/>
      <c r="I1339" s="23"/>
      <c r="J1339" s="12"/>
      <c r="K1339" s="23"/>
      <c r="L1339" s="24"/>
      <c r="M1339" s="39"/>
      <c r="N1339" s="26" t="str">
        <f t="shared" si="2"/>
        <v>
</v>
      </c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</row>
    <row r="1340">
      <c r="A1340" s="10"/>
      <c r="B1340" s="12"/>
      <c r="C1340" s="12"/>
      <c r="D1340" s="23"/>
      <c r="E1340" s="12"/>
      <c r="F1340" s="12"/>
      <c r="G1340" s="12"/>
      <c r="H1340" s="12"/>
      <c r="I1340" s="23"/>
      <c r="J1340" s="12"/>
      <c r="K1340" s="23"/>
      <c r="L1340" s="24"/>
      <c r="M1340" s="39"/>
      <c r="N1340" s="26" t="str">
        <f t="shared" si="2"/>
        <v>
</v>
      </c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</row>
    <row r="1341">
      <c r="A1341" s="10"/>
      <c r="B1341" s="12"/>
      <c r="C1341" s="12"/>
      <c r="D1341" s="23"/>
      <c r="E1341" s="12"/>
      <c r="F1341" s="12"/>
      <c r="G1341" s="12"/>
      <c r="H1341" s="12"/>
      <c r="I1341" s="23"/>
      <c r="J1341" s="12"/>
      <c r="K1341" s="23"/>
      <c r="L1341" s="24"/>
      <c r="M1341" s="12"/>
      <c r="N1341" s="26" t="str">
        <f t="shared" si="2"/>
        <v>
</v>
      </c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</row>
    <row r="1342">
      <c r="A1342" s="10"/>
      <c r="B1342" s="12"/>
      <c r="C1342" s="12"/>
      <c r="D1342" s="23"/>
      <c r="E1342" s="12"/>
      <c r="F1342" s="12"/>
      <c r="G1342" s="12"/>
      <c r="H1342" s="12"/>
      <c r="I1342" s="23"/>
      <c r="J1342" s="12"/>
      <c r="K1342" s="23"/>
      <c r="L1342" s="24"/>
      <c r="M1342" s="12"/>
      <c r="N1342" s="26" t="str">
        <f t="shared" si="2"/>
        <v>
</v>
      </c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</row>
    <row r="1343">
      <c r="A1343" s="10"/>
      <c r="B1343" s="12"/>
      <c r="C1343" s="12"/>
      <c r="D1343" s="23"/>
      <c r="E1343" s="12"/>
      <c r="F1343" s="12"/>
      <c r="G1343" s="12"/>
      <c r="H1343" s="12"/>
      <c r="I1343" s="23"/>
      <c r="J1343" s="12"/>
      <c r="K1343" s="23"/>
      <c r="L1343" s="24"/>
      <c r="M1343" s="39"/>
      <c r="N1343" s="26" t="str">
        <f t="shared" si="2"/>
        <v>
</v>
      </c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</row>
    <row r="1344">
      <c r="A1344" s="10"/>
      <c r="B1344" s="12"/>
      <c r="C1344" s="12"/>
      <c r="D1344" s="23"/>
      <c r="E1344" s="22"/>
      <c r="F1344" s="12"/>
      <c r="G1344" s="12"/>
      <c r="H1344" s="12"/>
      <c r="I1344" s="23"/>
      <c r="J1344" s="12"/>
      <c r="K1344" s="23"/>
      <c r="L1344" s="24"/>
      <c r="M1344" s="39"/>
      <c r="N1344" s="26" t="str">
        <f t="shared" si="2"/>
        <v>
</v>
      </c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</row>
    <row r="1345">
      <c r="A1345" s="10"/>
      <c r="B1345" s="12"/>
      <c r="C1345" s="12"/>
      <c r="D1345" s="23"/>
      <c r="E1345" s="12"/>
      <c r="F1345" s="12"/>
      <c r="G1345" s="12"/>
      <c r="H1345" s="12"/>
      <c r="I1345" s="23"/>
      <c r="J1345" s="12"/>
      <c r="K1345" s="23"/>
      <c r="L1345" s="24"/>
      <c r="M1345" s="12"/>
      <c r="N1345" s="26" t="str">
        <f t="shared" si="2"/>
        <v>
</v>
      </c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</row>
    <row r="1346">
      <c r="A1346" s="10"/>
      <c r="B1346" s="12"/>
      <c r="C1346" s="12"/>
      <c r="D1346" s="23"/>
      <c r="E1346" s="12"/>
      <c r="F1346" s="12"/>
      <c r="G1346" s="12"/>
      <c r="H1346" s="12"/>
      <c r="I1346" s="23"/>
      <c r="J1346" s="12"/>
      <c r="K1346" s="23"/>
      <c r="L1346" s="24"/>
      <c r="M1346" s="12"/>
      <c r="N1346" s="26" t="str">
        <f t="shared" si="2"/>
        <v>
</v>
      </c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</row>
    <row r="1347">
      <c r="A1347" s="10"/>
      <c r="B1347" s="12"/>
      <c r="C1347" s="12"/>
      <c r="D1347" s="23"/>
      <c r="E1347" s="12"/>
      <c r="F1347" s="12"/>
      <c r="G1347" s="12"/>
      <c r="H1347" s="12"/>
      <c r="I1347" s="23"/>
      <c r="J1347" s="12"/>
      <c r="K1347" s="23"/>
      <c r="L1347" s="24"/>
      <c r="M1347" s="101"/>
      <c r="N1347" s="26" t="str">
        <f t="shared" si="2"/>
        <v>
</v>
      </c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</row>
    <row r="1348">
      <c r="A1348" s="10"/>
      <c r="B1348" s="12"/>
      <c r="C1348" s="12"/>
      <c r="D1348" s="23"/>
      <c r="E1348" s="12"/>
      <c r="F1348" s="12"/>
      <c r="G1348" s="12"/>
      <c r="H1348" s="12"/>
      <c r="I1348" s="23"/>
      <c r="J1348" s="12"/>
      <c r="K1348" s="23"/>
      <c r="L1348" s="24"/>
      <c r="M1348" s="12"/>
      <c r="N1348" s="26" t="str">
        <f t="shared" si="2"/>
        <v>
</v>
      </c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</row>
    <row r="1349">
      <c r="A1349" s="10"/>
      <c r="B1349" s="12"/>
      <c r="C1349" s="12"/>
      <c r="D1349" s="23"/>
      <c r="E1349" s="12"/>
      <c r="F1349" s="12"/>
      <c r="G1349" s="12"/>
      <c r="H1349" s="12"/>
      <c r="I1349" s="23"/>
      <c r="J1349" s="12"/>
      <c r="K1349" s="23"/>
      <c r="L1349" s="24"/>
      <c r="M1349" s="39"/>
      <c r="N1349" s="26" t="str">
        <f t="shared" si="2"/>
        <v>
</v>
      </c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</row>
    <row r="1350">
      <c r="A1350" s="10"/>
      <c r="B1350" s="12"/>
      <c r="C1350" s="12"/>
      <c r="D1350" s="23"/>
      <c r="E1350" s="22"/>
      <c r="F1350" s="12"/>
      <c r="G1350" s="12"/>
      <c r="H1350" s="12"/>
      <c r="I1350" s="23"/>
      <c r="J1350" s="12"/>
      <c r="K1350" s="23"/>
      <c r="L1350" s="24"/>
      <c r="M1350" s="39"/>
      <c r="N1350" s="26" t="str">
        <f t="shared" si="2"/>
        <v>
</v>
      </c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</row>
    <row r="1351">
      <c r="A1351" s="10"/>
      <c r="B1351" s="12"/>
      <c r="C1351" s="12"/>
      <c r="D1351" s="23"/>
      <c r="E1351" s="12"/>
      <c r="F1351" s="12"/>
      <c r="G1351" s="12"/>
      <c r="H1351" s="12"/>
      <c r="I1351" s="23"/>
      <c r="J1351" s="12"/>
      <c r="K1351" s="23"/>
      <c r="L1351" s="24"/>
      <c r="M1351" s="39"/>
      <c r="N1351" s="26" t="str">
        <f t="shared" si="2"/>
        <v>
</v>
      </c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</row>
    <row r="1352">
      <c r="A1352" s="10"/>
      <c r="B1352" s="12"/>
      <c r="C1352" s="12"/>
      <c r="D1352" s="23"/>
      <c r="E1352" s="12"/>
      <c r="F1352" s="12"/>
      <c r="G1352" s="12"/>
      <c r="H1352" s="12"/>
      <c r="I1352" s="23"/>
      <c r="J1352" s="12"/>
      <c r="K1352" s="23"/>
      <c r="L1352" s="24"/>
      <c r="M1352" s="12"/>
      <c r="N1352" s="26" t="str">
        <f t="shared" si="2"/>
        <v>
</v>
      </c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</row>
    <row r="1353">
      <c r="A1353" s="10"/>
      <c r="B1353" s="12"/>
      <c r="C1353" s="12"/>
      <c r="D1353" s="23"/>
      <c r="E1353" s="12"/>
      <c r="F1353" s="12"/>
      <c r="G1353" s="12"/>
      <c r="H1353" s="12"/>
      <c r="I1353" s="23"/>
      <c r="J1353" s="12"/>
      <c r="K1353" s="23"/>
      <c r="L1353" s="24"/>
      <c r="M1353" s="12"/>
      <c r="N1353" s="26" t="str">
        <f t="shared" si="2"/>
        <v>
</v>
      </c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</row>
    <row r="1354">
      <c r="A1354" s="10"/>
      <c r="B1354" s="12"/>
      <c r="C1354" s="12"/>
      <c r="D1354" s="23"/>
      <c r="E1354" s="12"/>
      <c r="F1354" s="12"/>
      <c r="G1354" s="12"/>
      <c r="H1354" s="12"/>
      <c r="I1354" s="23"/>
      <c r="J1354" s="12"/>
      <c r="K1354" s="23"/>
      <c r="L1354" s="24"/>
      <c r="M1354" s="39"/>
      <c r="N1354" s="26" t="str">
        <f t="shared" si="2"/>
        <v>
</v>
      </c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</row>
    <row r="1355">
      <c r="A1355" s="10"/>
      <c r="B1355" s="12"/>
      <c r="C1355" s="12"/>
      <c r="D1355" s="23"/>
      <c r="E1355" s="22"/>
      <c r="F1355" s="12"/>
      <c r="G1355" s="12"/>
      <c r="H1355" s="12"/>
      <c r="I1355" s="23"/>
      <c r="J1355" s="12"/>
      <c r="K1355" s="23"/>
      <c r="L1355" s="24"/>
      <c r="M1355" s="12"/>
      <c r="N1355" s="26" t="str">
        <f t="shared" si="2"/>
        <v>
</v>
      </c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</row>
    <row r="1356">
      <c r="A1356" s="10"/>
      <c r="B1356" s="12"/>
      <c r="C1356" s="12"/>
      <c r="D1356" s="23"/>
      <c r="E1356" s="12"/>
      <c r="F1356" s="12"/>
      <c r="G1356" s="12"/>
      <c r="H1356" s="12"/>
      <c r="I1356" s="23"/>
      <c r="J1356" s="12"/>
      <c r="K1356" s="23"/>
      <c r="L1356" s="24"/>
      <c r="M1356" s="12"/>
      <c r="N1356" s="26" t="str">
        <f t="shared" si="2"/>
        <v>
</v>
      </c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</row>
    <row r="1357">
      <c r="A1357" s="10"/>
      <c r="B1357" s="12"/>
      <c r="C1357" s="12"/>
      <c r="D1357" s="23"/>
      <c r="E1357" s="12"/>
      <c r="F1357" s="12"/>
      <c r="G1357" s="12"/>
      <c r="H1357" s="12"/>
      <c r="I1357" s="23"/>
      <c r="J1357" s="12"/>
      <c r="K1357" s="23"/>
      <c r="L1357" s="24"/>
      <c r="M1357" s="12"/>
      <c r="N1357" s="26" t="str">
        <f t="shared" si="2"/>
        <v>
</v>
      </c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</row>
    <row r="1358">
      <c r="A1358" s="10"/>
      <c r="B1358" s="12"/>
      <c r="C1358" s="12"/>
      <c r="D1358" s="23"/>
      <c r="E1358" s="12"/>
      <c r="F1358" s="12"/>
      <c r="G1358" s="12"/>
      <c r="H1358" s="12"/>
      <c r="I1358" s="23"/>
      <c r="J1358" s="12"/>
      <c r="K1358" s="23"/>
      <c r="L1358" s="24"/>
      <c r="M1358" s="12"/>
      <c r="N1358" s="26" t="str">
        <f t="shared" si="2"/>
        <v>
</v>
      </c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</row>
    <row r="1359">
      <c r="A1359" s="10"/>
      <c r="B1359" s="12"/>
      <c r="C1359" s="12"/>
      <c r="D1359" s="23"/>
      <c r="E1359" s="12"/>
      <c r="F1359" s="12"/>
      <c r="G1359" s="12"/>
      <c r="H1359" s="12"/>
      <c r="I1359" s="23"/>
      <c r="J1359" s="12"/>
      <c r="K1359" s="23"/>
      <c r="L1359" s="24"/>
      <c r="M1359" s="12"/>
      <c r="N1359" s="26" t="str">
        <f t="shared" si="2"/>
        <v>
</v>
      </c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</row>
    <row r="1360">
      <c r="A1360" s="10"/>
      <c r="B1360" s="12"/>
      <c r="C1360" s="12"/>
      <c r="D1360" s="23"/>
      <c r="E1360" s="12"/>
      <c r="F1360" s="12"/>
      <c r="G1360" s="12"/>
      <c r="H1360" s="12"/>
      <c r="I1360" s="23"/>
      <c r="J1360" s="12"/>
      <c r="K1360" s="23"/>
      <c r="L1360" s="24"/>
      <c r="M1360" s="12"/>
      <c r="N1360" s="26" t="str">
        <f t="shared" si="2"/>
        <v>
</v>
      </c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</row>
    <row r="1361">
      <c r="A1361" s="10"/>
      <c r="B1361" s="12"/>
      <c r="C1361" s="12"/>
      <c r="D1361" s="23"/>
      <c r="E1361" s="12"/>
      <c r="F1361" s="12"/>
      <c r="G1361" s="12"/>
      <c r="H1361" s="12"/>
      <c r="I1361" s="23"/>
      <c r="J1361" s="12"/>
      <c r="K1361" s="23"/>
      <c r="L1361" s="24"/>
      <c r="M1361" s="12"/>
      <c r="N1361" s="26" t="str">
        <f t="shared" si="2"/>
        <v>
</v>
      </c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</row>
    <row r="1362">
      <c r="A1362" s="10"/>
      <c r="B1362" s="12"/>
      <c r="C1362" s="12"/>
      <c r="D1362" s="23"/>
      <c r="E1362" s="12"/>
      <c r="F1362" s="12"/>
      <c r="G1362" s="12"/>
      <c r="H1362" s="12"/>
      <c r="I1362" s="23"/>
      <c r="J1362" s="12"/>
      <c r="K1362" s="23"/>
      <c r="L1362" s="24"/>
      <c r="M1362" s="12"/>
      <c r="N1362" s="26" t="str">
        <f t="shared" si="2"/>
        <v>
</v>
      </c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</row>
    <row r="1363">
      <c r="A1363" s="10"/>
      <c r="B1363" s="12"/>
      <c r="C1363" s="12"/>
      <c r="D1363" s="23"/>
      <c r="E1363" s="12"/>
      <c r="F1363" s="12"/>
      <c r="G1363" s="12"/>
      <c r="H1363" s="12"/>
      <c r="I1363" s="23"/>
      <c r="J1363" s="12"/>
      <c r="K1363" s="23"/>
      <c r="L1363" s="24"/>
      <c r="M1363" s="12"/>
      <c r="N1363" s="26" t="str">
        <f t="shared" si="2"/>
        <v>
</v>
      </c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</row>
    <row r="1364">
      <c r="A1364" s="10"/>
      <c r="B1364" s="12"/>
      <c r="C1364" s="12"/>
      <c r="D1364" s="23"/>
      <c r="E1364" s="12"/>
      <c r="F1364" s="12"/>
      <c r="G1364" s="12"/>
      <c r="H1364" s="12"/>
      <c r="I1364" s="23"/>
      <c r="J1364" s="12"/>
      <c r="K1364" s="23"/>
      <c r="L1364" s="24"/>
      <c r="M1364" s="39"/>
      <c r="N1364" s="26" t="str">
        <f t="shared" si="2"/>
        <v>
</v>
      </c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</row>
    <row r="1365">
      <c r="A1365" s="10"/>
      <c r="B1365" s="89"/>
      <c r="C1365" s="102"/>
      <c r="D1365" s="89"/>
      <c r="E1365" s="89"/>
      <c r="F1365" s="103"/>
      <c r="G1365" s="89"/>
      <c r="H1365" s="89"/>
      <c r="I1365" s="104"/>
      <c r="J1365" s="91"/>
      <c r="K1365" s="89"/>
      <c r="L1365" s="92"/>
      <c r="M1365" s="89"/>
      <c r="N1365" s="26" t="str">
        <f t="shared" si="2"/>
        <v>
</v>
      </c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</row>
    <row r="1366">
      <c r="A1366" s="10"/>
      <c r="B1366" s="12"/>
      <c r="C1366" s="12"/>
      <c r="D1366" s="23"/>
      <c r="E1366" s="12"/>
      <c r="F1366" s="12"/>
      <c r="G1366" s="12"/>
      <c r="H1366" s="12"/>
      <c r="I1366" s="23"/>
      <c r="J1366" s="12"/>
      <c r="K1366" s="23"/>
      <c r="L1366" s="24"/>
      <c r="M1366" s="12"/>
      <c r="N1366" s="26" t="str">
        <f t="shared" si="2"/>
        <v>
</v>
      </c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</row>
    <row r="1367">
      <c r="A1367" s="10"/>
      <c r="B1367" s="12"/>
      <c r="C1367" s="12"/>
      <c r="D1367" s="23"/>
      <c r="E1367" s="12"/>
      <c r="F1367" s="12"/>
      <c r="G1367" s="12"/>
      <c r="H1367" s="12"/>
      <c r="I1367" s="23"/>
      <c r="J1367" s="12"/>
      <c r="K1367" s="23"/>
      <c r="L1367" s="24"/>
      <c r="M1367" s="12"/>
      <c r="N1367" s="26" t="str">
        <f t="shared" si="2"/>
        <v>
</v>
      </c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</row>
    <row r="1368">
      <c r="A1368" s="10"/>
      <c r="B1368" s="12"/>
      <c r="C1368" s="12"/>
      <c r="D1368" s="23"/>
      <c r="E1368" s="12"/>
      <c r="F1368" s="12"/>
      <c r="G1368" s="12"/>
      <c r="H1368" s="12"/>
      <c r="I1368" s="23"/>
      <c r="J1368" s="12"/>
      <c r="K1368" s="23"/>
      <c r="L1368" s="24"/>
      <c r="M1368" s="12"/>
      <c r="N1368" s="26" t="str">
        <f t="shared" si="2"/>
        <v>
</v>
      </c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</row>
    <row r="1369">
      <c r="A1369" s="10"/>
      <c r="B1369" s="12"/>
      <c r="C1369" s="12"/>
      <c r="D1369" s="23"/>
      <c r="E1369" s="12"/>
      <c r="F1369" s="12"/>
      <c r="G1369" s="12"/>
      <c r="H1369" s="12"/>
      <c r="I1369" s="23"/>
      <c r="J1369" s="12"/>
      <c r="K1369" s="23"/>
      <c r="L1369" s="24"/>
      <c r="M1369" s="12"/>
      <c r="N1369" s="26" t="str">
        <f t="shared" si="2"/>
        <v>
</v>
      </c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</row>
    <row r="1370">
      <c r="A1370" s="10"/>
      <c r="B1370" s="12"/>
      <c r="C1370" s="12"/>
      <c r="D1370" s="23"/>
      <c r="E1370" s="12"/>
      <c r="F1370" s="12"/>
      <c r="G1370" s="12"/>
      <c r="H1370" s="12"/>
      <c r="I1370" s="23"/>
      <c r="J1370" s="12"/>
      <c r="K1370" s="23"/>
      <c r="L1370" s="24"/>
      <c r="M1370" s="12"/>
      <c r="N1370" s="26" t="str">
        <f t="shared" si="2"/>
        <v>
</v>
      </c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</row>
    <row r="1371">
      <c r="A1371" s="10"/>
      <c r="B1371" s="12"/>
      <c r="C1371" s="12"/>
      <c r="D1371" s="23"/>
      <c r="E1371" s="12"/>
      <c r="F1371" s="12"/>
      <c r="G1371" s="12"/>
      <c r="H1371" s="12"/>
      <c r="I1371" s="23"/>
      <c r="J1371" s="12"/>
      <c r="K1371" s="23"/>
      <c r="L1371" s="24"/>
      <c r="M1371" s="12"/>
      <c r="N1371" s="26" t="str">
        <f t="shared" si="2"/>
        <v>
</v>
      </c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</row>
    <row r="1372">
      <c r="A1372" s="10"/>
      <c r="B1372" s="12"/>
      <c r="C1372" s="12"/>
      <c r="D1372" s="23"/>
      <c r="E1372" s="12"/>
      <c r="F1372" s="12"/>
      <c r="G1372" s="12"/>
      <c r="H1372" s="12"/>
      <c r="I1372" s="23"/>
      <c r="J1372" s="12"/>
      <c r="K1372" s="23"/>
      <c r="L1372" s="24"/>
      <c r="M1372" s="12"/>
      <c r="N1372" s="26" t="str">
        <f t="shared" si="2"/>
        <v>
</v>
      </c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</row>
    <row r="1373">
      <c r="A1373" s="10"/>
      <c r="B1373" s="12"/>
      <c r="C1373" s="12"/>
      <c r="D1373" s="23"/>
      <c r="E1373" s="12"/>
      <c r="F1373" s="12"/>
      <c r="G1373" s="12"/>
      <c r="H1373" s="12"/>
      <c r="I1373" s="23"/>
      <c r="J1373" s="12"/>
      <c r="K1373" s="23"/>
      <c r="L1373" s="24"/>
      <c r="M1373" s="12"/>
      <c r="N1373" s="26" t="str">
        <f t="shared" si="2"/>
        <v>
</v>
      </c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</row>
    <row r="1374">
      <c r="A1374" s="10"/>
      <c r="B1374" s="12"/>
      <c r="C1374" s="12"/>
      <c r="D1374" s="23"/>
      <c r="E1374" s="22"/>
      <c r="F1374" s="12"/>
      <c r="G1374" s="12"/>
      <c r="H1374" s="12"/>
      <c r="I1374" s="23"/>
      <c r="J1374" s="12"/>
      <c r="K1374" s="23"/>
      <c r="L1374" s="24"/>
      <c r="M1374" s="12"/>
      <c r="N1374" s="26" t="str">
        <f t="shared" si="2"/>
        <v>
</v>
      </c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</row>
    <row r="1375">
      <c r="A1375" s="10"/>
      <c r="B1375" s="12"/>
      <c r="C1375" s="12"/>
      <c r="D1375" s="23"/>
      <c r="E1375" s="22"/>
      <c r="F1375" s="12"/>
      <c r="G1375" s="12"/>
      <c r="H1375" s="12"/>
      <c r="I1375" s="23"/>
      <c r="J1375" s="12"/>
      <c r="K1375" s="23"/>
      <c r="L1375" s="24"/>
      <c r="M1375" s="12"/>
      <c r="N1375" s="26" t="str">
        <f t="shared" si="2"/>
        <v>
</v>
      </c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</row>
    <row r="1376">
      <c r="A1376" s="10"/>
      <c r="B1376" s="12"/>
      <c r="C1376" s="12"/>
      <c r="D1376" s="23"/>
      <c r="E1376" s="22"/>
      <c r="F1376" s="12"/>
      <c r="G1376" s="12"/>
      <c r="H1376" s="12"/>
      <c r="I1376" s="23"/>
      <c r="J1376" s="12"/>
      <c r="K1376" s="23"/>
      <c r="L1376" s="24"/>
      <c r="M1376" s="12"/>
      <c r="N1376" s="26" t="str">
        <f t="shared" si="2"/>
        <v>
</v>
      </c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</row>
    <row r="1377">
      <c r="A1377" s="10"/>
      <c r="B1377" s="12"/>
      <c r="C1377" s="12"/>
      <c r="D1377" s="23"/>
      <c r="E1377" s="22"/>
      <c r="F1377" s="12"/>
      <c r="G1377" s="12"/>
      <c r="H1377" s="12"/>
      <c r="I1377" s="23"/>
      <c r="J1377" s="12"/>
      <c r="K1377" s="23"/>
      <c r="L1377" s="24"/>
      <c r="M1377" s="12"/>
      <c r="N1377" s="26" t="str">
        <f t="shared" si="2"/>
        <v>
</v>
      </c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</row>
    <row r="1378">
      <c r="A1378" s="10"/>
      <c r="B1378" s="12"/>
      <c r="C1378" s="12"/>
      <c r="D1378" s="23"/>
      <c r="E1378" s="22"/>
      <c r="F1378" s="12"/>
      <c r="G1378" s="12"/>
      <c r="H1378" s="12"/>
      <c r="I1378" s="23"/>
      <c r="J1378" s="12"/>
      <c r="K1378" s="23"/>
      <c r="L1378" s="24"/>
      <c r="M1378" s="12"/>
      <c r="N1378" s="26" t="str">
        <f t="shared" si="2"/>
        <v>
</v>
      </c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</row>
    <row r="1379">
      <c r="A1379" s="10"/>
      <c r="B1379" s="12"/>
      <c r="C1379" s="12"/>
      <c r="D1379" s="23"/>
      <c r="E1379" s="22"/>
      <c r="F1379" s="12"/>
      <c r="G1379" s="12"/>
      <c r="H1379" s="12"/>
      <c r="I1379" s="23"/>
      <c r="J1379" s="12"/>
      <c r="K1379" s="23"/>
      <c r="L1379" s="24"/>
      <c r="M1379" s="12"/>
      <c r="N1379" s="26" t="str">
        <f t="shared" si="2"/>
        <v>
</v>
      </c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</row>
    <row r="1380">
      <c r="A1380" s="10"/>
      <c r="B1380" s="12"/>
      <c r="C1380" s="12"/>
      <c r="D1380" s="23"/>
      <c r="E1380" s="12"/>
      <c r="F1380" s="12"/>
      <c r="G1380" s="12"/>
      <c r="H1380" s="12"/>
      <c r="I1380" s="23"/>
      <c r="J1380" s="12"/>
      <c r="K1380" s="23"/>
      <c r="L1380" s="24"/>
      <c r="M1380" s="12"/>
      <c r="N1380" s="26" t="str">
        <f t="shared" si="2"/>
        <v>
</v>
      </c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</row>
    <row r="1381">
      <c r="A1381" s="10"/>
      <c r="B1381" s="12"/>
      <c r="C1381" s="12"/>
      <c r="D1381" s="23"/>
      <c r="E1381" s="12"/>
      <c r="F1381" s="12"/>
      <c r="G1381" s="12"/>
      <c r="H1381" s="12"/>
      <c r="I1381" s="23"/>
      <c r="J1381" s="12"/>
      <c r="K1381" s="23"/>
      <c r="L1381" s="24"/>
      <c r="M1381" s="12"/>
      <c r="N1381" s="26" t="str">
        <f t="shared" si="2"/>
        <v>
</v>
      </c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</row>
    <row r="1382">
      <c r="A1382" s="10"/>
      <c r="B1382" s="12"/>
      <c r="C1382" s="12"/>
      <c r="D1382" s="23"/>
      <c r="E1382" s="12"/>
      <c r="F1382" s="12"/>
      <c r="G1382" s="12"/>
      <c r="H1382" s="12"/>
      <c r="I1382" s="23"/>
      <c r="J1382" s="12"/>
      <c r="K1382" s="23"/>
      <c r="L1382" s="24"/>
      <c r="M1382" s="12"/>
      <c r="N1382" s="26" t="str">
        <f t="shared" si="2"/>
        <v>
</v>
      </c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</row>
    <row r="1383">
      <c r="A1383" s="10"/>
      <c r="B1383" s="12"/>
      <c r="C1383" s="12"/>
      <c r="D1383" s="23"/>
      <c r="E1383" s="12"/>
      <c r="F1383" s="12"/>
      <c r="G1383" s="12"/>
      <c r="H1383" s="12"/>
      <c r="I1383" s="23"/>
      <c r="J1383" s="12"/>
      <c r="K1383" s="23"/>
      <c r="L1383" s="24"/>
      <c r="M1383" s="39"/>
      <c r="N1383" s="26" t="str">
        <f t="shared" si="2"/>
        <v>
</v>
      </c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</row>
    <row r="1384">
      <c r="A1384" s="10"/>
      <c r="B1384" s="12"/>
      <c r="C1384" s="12"/>
      <c r="D1384" s="23"/>
      <c r="E1384" s="12"/>
      <c r="F1384" s="12"/>
      <c r="G1384" s="12"/>
      <c r="H1384" s="12"/>
      <c r="I1384" s="23"/>
      <c r="J1384" s="12"/>
      <c r="K1384" s="23"/>
      <c r="L1384" s="24"/>
      <c r="M1384" s="12"/>
      <c r="N1384" s="26" t="str">
        <f t="shared" si="2"/>
        <v>
</v>
      </c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</row>
    <row r="1385">
      <c r="A1385" s="10"/>
      <c r="B1385" s="12"/>
      <c r="C1385" s="12"/>
      <c r="D1385" s="23"/>
      <c r="E1385" s="12"/>
      <c r="F1385" s="12"/>
      <c r="G1385" s="12"/>
      <c r="H1385" s="12"/>
      <c r="I1385" s="23"/>
      <c r="J1385" s="12"/>
      <c r="K1385" s="23"/>
      <c r="L1385" s="24"/>
      <c r="M1385" s="12"/>
      <c r="N1385" s="26" t="str">
        <f t="shared" si="2"/>
        <v>
</v>
      </c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>
      <c r="A1386" s="10"/>
      <c r="B1386" s="12"/>
      <c r="C1386" s="12"/>
      <c r="D1386" s="23"/>
      <c r="E1386" s="12"/>
      <c r="F1386" s="12"/>
      <c r="G1386" s="12"/>
      <c r="H1386" s="12"/>
      <c r="I1386" s="23"/>
      <c r="J1386" s="12"/>
      <c r="K1386" s="23"/>
      <c r="L1386" s="24"/>
      <c r="M1386" s="12"/>
      <c r="N1386" s="26" t="str">
        <f t="shared" si="2"/>
        <v>
</v>
      </c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</row>
    <row r="1387">
      <c r="A1387" s="10"/>
      <c r="B1387" s="12"/>
      <c r="C1387" s="12"/>
      <c r="D1387" s="23"/>
      <c r="E1387" s="12"/>
      <c r="F1387" s="12"/>
      <c r="G1387" s="12"/>
      <c r="H1387" s="12"/>
      <c r="I1387" s="23"/>
      <c r="J1387" s="12"/>
      <c r="K1387" s="23"/>
      <c r="L1387" s="24"/>
      <c r="M1387" s="12"/>
      <c r="N1387" s="26" t="str">
        <f t="shared" si="2"/>
        <v>
</v>
      </c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</row>
    <row r="1388">
      <c r="A1388" s="10"/>
      <c r="B1388" s="12"/>
      <c r="C1388" s="12"/>
      <c r="D1388" s="23"/>
      <c r="E1388" s="12"/>
      <c r="F1388" s="12"/>
      <c r="G1388" s="12"/>
      <c r="H1388" s="12"/>
      <c r="I1388" s="23"/>
      <c r="J1388" s="12"/>
      <c r="K1388" s="23"/>
      <c r="L1388" s="24"/>
      <c r="M1388" s="12"/>
      <c r="N1388" s="26" t="str">
        <f t="shared" si="2"/>
        <v>
</v>
      </c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</row>
    <row r="1389">
      <c r="A1389" s="10"/>
      <c r="B1389" s="12"/>
      <c r="C1389" s="12"/>
      <c r="D1389" s="47"/>
      <c r="E1389" s="12"/>
      <c r="F1389" s="12"/>
      <c r="G1389" s="12"/>
      <c r="H1389" s="12"/>
      <c r="I1389" s="23"/>
      <c r="J1389" s="12"/>
      <c r="K1389" s="23"/>
      <c r="L1389" s="24"/>
      <c r="M1389" s="12"/>
      <c r="N1389" s="26" t="str">
        <f t="shared" si="2"/>
        <v>
</v>
      </c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</row>
    <row r="1390">
      <c r="A1390" s="10"/>
      <c r="B1390" s="12"/>
      <c r="C1390" s="12"/>
      <c r="D1390" s="47"/>
      <c r="E1390" s="12"/>
      <c r="F1390" s="12"/>
      <c r="G1390" s="12"/>
      <c r="H1390" s="12"/>
      <c r="I1390" s="23"/>
      <c r="J1390" s="12"/>
      <c r="K1390" s="23"/>
      <c r="L1390" s="24"/>
      <c r="M1390" s="12"/>
      <c r="N1390" s="26" t="str">
        <f t="shared" si="2"/>
        <v>
</v>
      </c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</row>
    <row r="1391">
      <c r="A1391" s="10"/>
      <c r="B1391" s="12"/>
      <c r="C1391" s="12"/>
      <c r="D1391" s="23"/>
      <c r="E1391" s="12"/>
      <c r="F1391" s="12"/>
      <c r="G1391" s="12"/>
      <c r="H1391" s="12"/>
      <c r="I1391" s="23"/>
      <c r="J1391" s="12"/>
      <c r="K1391" s="23"/>
      <c r="L1391" s="24"/>
      <c r="M1391" s="12"/>
      <c r="N1391" s="26" t="str">
        <f t="shared" si="2"/>
        <v>
</v>
      </c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</row>
    <row r="1392">
      <c r="A1392" s="10"/>
      <c r="B1392" s="12"/>
      <c r="C1392" s="12"/>
      <c r="D1392" s="23"/>
      <c r="E1392" s="12"/>
      <c r="F1392" s="12"/>
      <c r="G1392" s="12"/>
      <c r="H1392" s="12"/>
      <c r="I1392" s="23"/>
      <c r="J1392" s="12"/>
      <c r="K1392" s="23"/>
      <c r="L1392" s="24"/>
      <c r="M1392" s="12"/>
      <c r="N1392" s="26" t="str">
        <f t="shared" si="2"/>
        <v>
</v>
      </c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</row>
    <row r="1393">
      <c r="A1393" s="10"/>
      <c r="B1393" s="12"/>
      <c r="C1393" s="12"/>
      <c r="D1393" s="23"/>
      <c r="E1393" s="12"/>
      <c r="F1393" s="12"/>
      <c r="G1393" s="12"/>
      <c r="H1393" s="12"/>
      <c r="I1393" s="23"/>
      <c r="J1393" s="12"/>
      <c r="K1393" s="23"/>
      <c r="L1393" s="24"/>
      <c r="M1393" s="12"/>
      <c r="N1393" s="26" t="str">
        <f t="shared" si="2"/>
        <v>
</v>
      </c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</row>
    <row r="1394">
      <c r="A1394" s="10"/>
      <c r="B1394" s="12"/>
      <c r="C1394" s="12"/>
      <c r="D1394" s="23"/>
      <c r="E1394" s="12"/>
      <c r="F1394" s="12"/>
      <c r="G1394" s="12"/>
      <c r="H1394" s="12"/>
      <c r="I1394" s="23"/>
      <c r="J1394" s="12"/>
      <c r="K1394" s="23"/>
      <c r="L1394" s="24"/>
      <c r="M1394" s="12"/>
      <c r="N1394" s="26" t="str">
        <f t="shared" si="2"/>
        <v>
</v>
      </c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</row>
    <row r="1395">
      <c r="A1395" s="10"/>
      <c r="B1395" s="12"/>
      <c r="C1395" s="12"/>
      <c r="D1395" s="23"/>
      <c r="E1395" s="12"/>
      <c r="F1395" s="12"/>
      <c r="G1395" s="12"/>
      <c r="H1395" s="12"/>
      <c r="I1395" s="23"/>
      <c r="J1395" s="12"/>
      <c r="K1395" s="23"/>
      <c r="L1395" s="24"/>
      <c r="M1395" s="12"/>
      <c r="N1395" s="26" t="str">
        <f t="shared" si="2"/>
        <v>
</v>
      </c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</row>
    <row r="1396">
      <c r="A1396" s="10"/>
      <c r="B1396" s="12"/>
      <c r="C1396" s="12"/>
      <c r="D1396" s="23"/>
      <c r="E1396" s="12"/>
      <c r="F1396" s="12"/>
      <c r="G1396" s="12"/>
      <c r="H1396" s="12"/>
      <c r="I1396" s="23"/>
      <c r="J1396" s="12"/>
      <c r="K1396" s="23"/>
      <c r="L1396" s="24"/>
      <c r="M1396" s="12"/>
      <c r="N1396" s="26" t="str">
        <f t="shared" si="2"/>
        <v>
</v>
      </c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</row>
    <row r="1397">
      <c r="A1397" s="10"/>
      <c r="B1397" s="12"/>
      <c r="C1397" s="12"/>
      <c r="D1397" s="23"/>
      <c r="E1397" s="12"/>
      <c r="F1397" s="12"/>
      <c r="G1397" s="12"/>
      <c r="H1397" s="12"/>
      <c r="I1397" s="23"/>
      <c r="J1397" s="12"/>
      <c r="K1397" s="23"/>
      <c r="L1397" s="23"/>
      <c r="M1397" s="12"/>
      <c r="N1397" s="22" t="str">
        <f t="shared" si="2"/>
        <v>
</v>
      </c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</row>
    <row r="1398">
      <c r="A1398" s="10"/>
      <c r="B1398" s="12"/>
      <c r="C1398" s="12"/>
      <c r="D1398" s="23"/>
      <c r="E1398" s="12"/>
      <c r="F1398" s="12"/>
      <c r="G1398" s="12"/>
      <c r="H1398" s="12"/>
      <c r="I1398" s="23"/>
      <c r="J1398" s="12"/>
      <c r="K1398" s="23"/>
      <c r="L1398" s="23"/>
      <c r="M1398" s="12"/>
      <c r="N1398" s="22" t="str">
        <f t="shared" si="2"/>
        <v>
</v>
      </c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</row>
    <row r="1399">
      <c r="A1399" s="10"/>
      <c r="B1399" s="12"/>
      <c r="C1399" s="12"/>
      <c r="D1399" s="23"/>
      <c r="E1399" s="22"/>
      <c r="F1399" s="12"/>
      <c r="G1399" s="12"/>
      <c r="H1399" s="12"/>
      <c r="I1399" s="23"/>
      <c r="J1399" s="12"/>
      <c r="K1399" s="23"/>
      <c r="L1399" s="24"/>
      <c r="M1399" s="12"/>
      <c r="N1399" s="22" t="str">
        <f t="shared" si="2"/>
        <v>
</v>
      </c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</row>
    <row r="1400">
      <c r="A1400" s="10"/>
      <c r="B1400" s="12"/>
      <c r="C1400" s="12"/>
      <c r="D1400" s="23"/>
      <c r="E1400" s="12"/>
      <c r="F1400" s="12"/>
      <c r="G1400" s="12"/>
      <c r="H1400" s="12"/>
      <c r="I1400" s="23"/>
      <c r="J1400" s="12"/>
      <c r="K1400" s="23"/>
      <c r="L1400" s="23"/>
      <c r="M1400" s="12"/>
      <c r="N1400" s="22" t="str">
        <f t="shared" si="2"/>
        <v>
</v>
      </c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</row>
    <row r="1401">
      <c r="A1401" s="10"/>
      <c r="B1401" s="12"/>
      <c r="C1401" s="12"/>
      <c r="D1401" s="23"/>
      <c r="E1401" s="12"/>
      <c r="F1401" s="12"/>
      <c r="G1401" s="12"/>
      <c r="H1401" s="12"/>
      <c r="I1401" s="23"/>
      <c r="J1401" s="12"/>
      <c r="K1401" s="23"/>
      <c r="L1401" s="23"/>
      <c r="M1401" s="12"/>
      <c r="N1401" s="22" t="str">
        <f t="shared" si="2"/>
        <v>
</v>
      </c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</row>
    <row r="1402">
      <c r="A1402" s="10"/>
      <c r="B1402" s="12"/>
      <c r="C1402" s="12"/>
      <c r="D1402" s="23"/>
      <c r="E1402" s="12"/>
      <c r="F1402" s="12"/>
      <c r="G1402" s="12"/>
      <c r="H1402" s="12"/>
      <c r="I1402" s="23"/>
      <c r="J1402" s="12"/>
      <c r="K1402" s="23"/>
      <c r="L1402" s="23"/>
      <c r="M1402" s="12"/>
      <c r="N1402" s="22" t="str">
        <f t="shared" si="2"/>
        <v>
</v>
      </c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</row>
    <row r="1403">
      <c r="A1403" s="10"/>
      <c r="B1403" s="12"/>
      <c r="C1403" s="12"/>
      <c r="D1403" s="23"/>
      <c r="E1403" s="12"/>
      <c r="F1403" s="12"/>
      <c r="G1403" s="12"/>
      <c r="H1403" s="12"/>
      <c r="I1403" s="23"/>
      <c r="J1403" s="12"/>
      <c r="K1403" s="23"/>
      <c r="L1403" s="24"/>
      <c r="M1403" s="12"/>
      <c r="N1403" s="22" t="str">
        <f t="shared" si="2"/>
        <v>
</v>
      </c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</row>
    <row r="1404">
      <c r="A1404" s="10"/>
      <c r="B1404" s="12"/>
      <c r="C1404" s="12"/>
      <c r="D1404" s="23"/>
      <c r="E1404" s="12"/>
      <c r="F1404" s="12"/>
      <c r="G1404" s="12"/>
      <c r="H1404" s="12"/>
      <c r="I1404" s="23"/>
      <c r="J1404" s="12"/>
      <c r="K1404" s="23"/>
      <c r="L1404" s="23"/>
      <c r="M1404" s="12"/>
      <c r="N1404" s="22" t="str">
        <f t="shared" si="2"/>
        <v>
</v>
      </c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</row>
    <row r="1405">
      <c r="A1405" s="10"/>
      <c r="B1405" s="12"/>
      <c r="C1405" s="12"/>
      <c r="D1405" s="23"/>
      <c r="E1405" s="12"/>
      <c r="F1405" s="12"/>
      <c r="G1405" s="12"/>
      <c r="H1405" s="12"/>
      <c r="I1405" s="23"/>
      <c r="J1405" s="12"/>
      <c r="K1405" s="23"/>
      <c r="L1405" s="23"/>
      <c r="M1405" s="12"/>
      <c r="N1405" s="22" t="str">
        <f t="shared" si="2"/>
        <v>
</v>
      </c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</row>
    <row r="1406">
      <c r="A1406" s="10"/>
      <c r="B1406" s="12"/>
      <c r="C1406" s="12"/>
      <c r="D1406" s="23"/>
      <c r="E1406" s="12"/>
      <c r="F1406" s="12"/>
      <c r="G1406" s="12"/>
      <c r="H1406" s="12"/>
      <c r="I1406" s="23"/>
      <c r="J1406" s="12"/>
      <c r="K1406" s="23"/>
      <c r="L1406" s="23"/>
      <c r="M1406" s="12"/>
      <c r="N1406" s="22" t="str">
        <f t="shared" si="2"/>
        <v>
</v>
      </c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</row>
    <row r="1407">
      <c r="A1407" s="10"/>
      <c r="B1407" s="12"/>
      <c r="C1407" s="12"/>
      <c r="D1407" s="23"/>
      <c r="E1407" s="12"/>
      <c r="F1407" s="12"/>
      <c r="G1407" s="12"/>
      <c r="H1407" s="12"/>
      <c r="I1407" s="23"/>
      <c r="J1407" s="12"/>
      <c r="K1407" s="23"/>
      <c r="L1407" s="23"/>
      <c r="M1407" s="12"/>
      <c r="N1407" s="22" t="str">
        <f t="shared" si="2"/>
        <v>
</v>
      </c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</row>
    <row r="1408">
      <c r="A1408" s="10"/>
      <c r="B1408" s="12"/>
      <c r="C1408" s="12"/>
      <c r="D1408" s="23"/>
      <c r="E1408" s="12"/>
      <c r="F1408" s="12"/>
      <c r="G1408" s="12"/>
      <c r="H1408" s="12"/>
      <c r="I1408" s="23"/>
      <c r="J1408" s="12"/>
      <c r="K1408" s="23"/>
      <c r="L1408" s="24"/>
      <c r="M1408" s="12"/>
      <c r="N1408" s="22" t="str">
        <f t="shared" si="2"/>
        <v>
</v>
      </c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</row>
    <row r="1409">
      <c r="A1409" s="10"/>
      <c r="B1409" s="12"/>
      <c r="C1409" s="12"/>
      <c r="D1409" s="23"/>
      <c r="E1409" s="12"/>
      <c r="F1409" s="12"/>
      <c r="G1409" s="12"/>
      <c r="H1409" s="12"/>
      <c r="I1409" s="23"/>
      <c r="J1409" s="12"/>
      <c r="K1409" s="23"/>
      <c r="L1409" s="24"/>
      <c r="M1409" s="12"/>
      <c r="N1409" s="22" t="str">
        <f t="shared" si="2"/>
        <v>
</v>
      </c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</row>
    <row r="1410">
      <c r="A1410" s="10"/>
      <c r="B1410" s="12"/>
      <c r="C1410" s="12"/>
      <c r="D1410" s="23"/>
      <c r="E1410" s="12"/>
      <c r="F1410" s="12"/>
      <c r="G1410" s="12"/>
      <c r="H1410" s="12"/>
      <c r="I1410" s="23"/>
      <c r="J1410" s="12"/>
      <c r="K1410" s="23"/>
      <c r="L1410" s="23"/>
      <c r="M1410" s="12"/>
      <c r="N1410" s="22" t="str">
        <f t="shared" si="2"/>
        <v>
</v>
      </c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</row>
    <row r="1411">
      <c r="A1411" s="10"/>
      <c r="B1411" s="12"/>
      <c r="C1411" s="12"/>
      <c r="D1411" s="23"/>
      <c r="E1411" s="12"/>
      <c r="F1411" s="12"/>
      <c r="G1411" s="12"/>
      <c r="H1411" s="12"/>
      <c r="I1411" s="23"/>
      <c r="J1411" s="12"/>
      <c r="K1411" s="23"/>
      <c r="L1411" s="24"/>
      <c r="M1411" s="12"/>
      <c r="N1411" s="22" t="str">
        <f t="shared" si="2"/>
        <v>
</v>
      </c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</row>
    <row r="1412">
      <c r="A1412" s="10"/>
      <c r="B1412" s="12"/>
      <c r="C1412" s="12"/>
      <c r="D1412" s="23"/>
      <c r="E1412" s="12"/>
      <c r="F1412" s="12"/>
      <c r="G1412" s="12"/>
      <c r="H1412" s="12"/>
      <c r="I1412" s="23"/>
      <c r="J1412" s="12"/>
      <c r="K1412" s="23"/>
      <c r="L1412" s="23"/>
      <c r="M1412" s="12"/>
      <c r="N1412" s="22" t="str">
        <f t="shared" si="2"/>
        <v>
</v>
      </c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</row>
    <row r="1413">
      <c r="A1413" s="10"/>
      <c r="B1413" s="12"/>
      <c r="C1413" s="12"/>
      <c r="D1413" s="23"/>
      <c r="E1413" s="12"/>
      <c r="F1413" s="12"/>
      <c r="G1413" s="12"/>
      <c r="H1413" s="12"/>
      <c r="I1413" s="23"/>
      <c r="J1413" s="12"/>
      <c r="K1413" s="23"/>
      <c r="L1413" s="23"/>
      <c r="M1413" s="12"/>
      <c r="N1413" s="22" t="str">
        <f t="shared" si="2"/>
        <v>
</v>
      </c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</row>
    <row r="1414">
      <c r="A1414" s="10"/>
      <c r="B1414" s="12"/>
      <c r="C1414" s="12"/>
      <c r="D1414" s="23"/>
      <c r="E1414" s="12"/>
      <c r="F1414" s="12"/>
      <c r="G1414" s="12"/>
      <c r="H1414" s="12"/>
      <c r="I1414" s="23"/>
      <c r="J1414" s="12"/>
      <c r="K1414" s="23"/>
      <c r="L1414" s="24"/>
      <c r="M1414" s="12"/>
      <c r="N1414" s="22" t="str">
        <f t="shared" si="2"/>
        <v>
</v>
      </c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</row>
    <row r="1415">
      <c r="A1415" s="10"/>
      <c r="B1415" s="12"/>
      <c r="C1415" s="12"/>
      <c r="D1415" s="23"/>
      <c r="E1415" s="12"/>
      <c r="F1415" s="12"/>
      <c r="G1415" s="12"/>
      <c r="H1415" s="12"/>
      <c r="I1415" s="23"/>
      <c r="J1415" s="12"/>
      <c r="K1415" s="23"/>
      <c r="L1415" s="23"/>
      <c r="M1415" s="12"/>
      <c r="N1415" s="22" t="str">
        <f t="shared" si="2"/>
        <v>
</v>
      </c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</row>
    <row r="1416">
      <c r="A1416" s="10"/>
      <c r="B1416" s="12"/>
      <c r="C1416" s="12"/>
      <c r="D1416" s="23"/>
      <c r="E1416" s="12"/>
      <c r="F1416" s="12"/>
      <c r="G1416" s="12"/>
      <c r="H1416" s="12"/>
      <c r="I1416" s="23"/>
      <c r="J1416" s="12"/>
      <c r="K1416" s="23"/>
      <c r="L1416" s="24"/>
      <c r="M1416" s="12"/>
      <c r="N1416" s="22" t="str">
        <f t="shared" si="2"/>
        <v>
</v>
      </c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</row>
    <row r="1417">
      <c r="A1417" s="10"/>
      <c r="B1417" s="12"/>
      <c r="C1417" s="12"/>
      <c r="D1417" s="23"/>
      <c r="E1417" s="12"/>
      <c r="F1417" s="12"/>
      <c r="G1417" s="12"/>
      <c r="H1417" s="12"/>
      <c r="I1417" s="23"/>
      <c r="J1417" s="12"/>
      <c r="K1417" s="23"/>
      <c r="L1417" s="23"/>
      <c r="M1417" s="12"/>
      <c r="N1417" s="22" t="str">
        <f t="shared" si="2"/>
        <v>
</v>
      </c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</row>
    <row r="1418">
      <c r="A1418" s="10"/>
      <c r="B1418" s="12"/>
      <c r="C1418" s="12"/>
      <c r="D1418" s="23"/>
      <c r="E1418" s="12"/>
      <c r="F1418" s="12"/>
      <c r="G1418" s="12"/>
      <c r="H1418" s="12"/>
      <c r="I1418" s="23"/>
      <c r="J1418" s="12"/>
      <c r="K1418" s="23"/>
      <c r="L1418" s="24"/>
      <c r="M1418" s="12"/>
      <c r="N1418" s="22" t="str">
        <f t="shared" si="2"/>
        <v>
</v>
      </c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</row>
    <row r="1419">
      <c r="A1419" s="10"/>
      <c r="B1419" s="12"/>
      <c r="C1419" s="12"/>
      <c r="D1419" s="23"/>
      <c r="E1419" s="12"/>
      <c r="F1419" s="12"/>
      <c r="G1419" s="12"/>
      <c r="H1419" s="12"/>
      <c r="I1419" s="23"/>
      <c r="J1419" s="12"/>
      <c r="K1419" s="23"/>
      <c r="L1419" s="24"/>
      <c r="M1419" s="12"/>
      <c r="N1419" s="22" t="str">
        <f t="shared" si="2"/>
        <v>
</v>
      </c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</row>
    <row r="1420">
      <c r="A1420" s="10"/>
      <c r="B1420" s="12"/>
      <c r="C1420" s="12"/>
      <c r="D1420" s="23"/>
      <c r="E1420" s="12"/>
      <c r="F1420" s="12"/>
      <c r="G1420" s="12"/>
      <c r="H1420" s="12"/>
      <c r="I1420" s="23"/>
      <c r="J1420" s="12"/>
      <c r="K1420" s="23"/>
      <c r="L1420" s="23"/>
      <c r="M1420" s="12"/>
      <c r="N1420" s="22" t="str">
        <f t="shared" si="2"/>
        <v>
</v>
      </c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</row>
    <row r="1421">
      <c r="A1421" s="10"/>
      <c r="B1421" s="12"/>
      <c r="C1421" s="12"/>
      <c r="D1421" s="23"/>
      <c r="E1421" s="12"/>
      <c r="F1421" s="12"/>
      <c r="G1421" s="12"/>
      <c r="H1421" s="12"/>
      <c r="I1421" s="23"/>
      <c r="J1421" s="12"/>
      <c r="K1421" s="23"/>
      <c r="L1421" s="23"/>
      <c r="M1421" s="12"/>
      <c r="N1421" s="22" t="str">
        <f t="shared" si="2"/>
        <v>
</v>
      </c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</row>
    <row r="1422">
      <c r="A1422" s="10"/>
      <c r="B1422" s="12"/>
      <c r="C1422" s="12"/>
      <c r="D1422" s="23"/>
      <c r="E1422" s="12"/>
      <c r="F1422" s="12"/>
      <c r="G1422" s="12"/>
      <c r="H1422" s="12"/>
      <c r="I1422" s="23"/>
      <c r="J1422" s="12"/>
      <c r="K1422" s="23"/>
      <c r="L1422" s="24"/>
      <c r="M1422" s="12"/>
      <c r="N1422" s="22" t="str">
        <f t="shared" si="2"/>
        <v>
</v>
      </c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</row>
    <row r="1423">
      <c r="A1423" s="10"/>
      <c r="B1423" s="12"/>
      <c r="C1423" s="12"/>
      <c r="D1423" s="23"/>
      <c r="E1423" s="12"/>
      <c r="F1423" s="12"/>
      <c r="G1423" s="12"/>
      <c r="H1423" s="12"/>
      <c r="I1423" s="23"/>
      <c r="J1423" s="12"/>
      <c r="K1423" s="23"/>
      <c r="L1423" s="24"/>
      <c r="M1423" s="12"/>
      <c r="N1423" s="22" t="str">
        <f t="shared" si="2"/>
        <v>
</v>
      </c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</row>
    <row r="1424">
      <c r="A1424" s="10"/>
      <c r="B1424" s="12"/>
      <c r="C1424" s="12"/>
      <c r="D1424" s="23"/>
      <c r="E1424" s="12"/>
      <c r="F1424" s="12"/>
      <c r="G1424" s="12"/>
      <c r="H1424" s="12"/>
      <c r="I1424" s="23"/>
      <c r="J1424" s="12"/>
      <c r="K1424" s="23"/>
      <c r="L1424" s="23"/>
      <c r="M1424" s="12"/>
      <c r="N1424" s="22" t="str">
        <f t="shared" si="2"/>
        <v>
</v>
      </c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</row>
    <row r="1425">
      <c r="A1425" s="10"/>
      <c r="B1425" s="12"/>
      <c r="C1425" s="12"/>
      <c r="D1425" s="23"/>
      <c r="E1425" s="12"/>
      <c r="F1425" s="12"/>
      <c r="G1425" s="12"/>
      <c r="H1425" s="12"/>
      <c r="I1425" s="23"/>
      <c r="J1425" s="12"/>
      <c r="K1425" s="23"/>
      <c r="L1425" s="24"/>
      <c r="M1425" s="12"/>
      <c r="N1425" s="22" t="str">
        <f t="shared" si="2"/>
        <v>
</v>
      </c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</row>
    <row r="1426">
      <c r="A1426" s="10"/>
      <c r="B1426" s="12"/>
      <c r="C1426" s="12"/>
      <c r="D1426" s="23"/>
      <c r="E1426" s="12"/>
      <c r="F1426" s="12"/>
      <c r="G1426" s="12"/>
      <c r="H1426" s="12"/>
      <c r="I1426" s="23"/>
      <c r="J1426" s="12"/>
      <c r="K1426" s="23"/>
      <c r="L1426" s="23"/>
      <c r="M1426" s="12"/>
      <c r="N1426" s="22" t="str">
        <f t="shared" si="2"/>
        <v>
</v>
      </c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</row>
    <row r="1427">
      <c r="A1427" s="10"/>
      <c r="B1427" s="12"/>
      <c r="C1427" s="12"/>
      <c r="D1427" s="23"/>
      <c r="E1427" s="12"/>
      <c r="F1427" s="12"/>
      <c r="G1427" s="12"/>
      <c r="H1427" s="12"/>
      <c r="I1427" s="23"/>
      <c r="J1427" s="12"/>
      <c r="K1427" s="23"/>
      <c r="L1427" s="23"/>
      <c r="M1427" s="12"/>
      <c r="N1427" s="22" t="str">
        <f t="shared" si="2"/>
        <v>
</v>
      </c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</row>
    <row r="1428">
      <c r="A1428" s="10"/>
      <c r="B1428" s="12"/>
      <c r="C1428" s="12"/>
      <c r="D1428" s="23"/>
      <c r="E1428" s="12"/>
      <c r="F1428" s="12"/>
      <c r="G1428" s="12"/>
      <c r="H1428" s="12"/>
      <c r="I1428" s="23"/>
      <c r="J1428" s="12"/>
      <c r="K1428" s="23"/>
      <c r="L1428" s="24"/>
      <c r="M1428" s="12"/>
      <c r="N1428" s="22" t="str">
        <f t="shared" si="2"/>
        <v>
</v>
      </c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</row>
    <row r="1429">
      <c r="A1429" s="10"/>
      <c r="B1429" s="12"/>
      <c r="C1429" s="12"/>
      <c r="D1429" s="23"/>
      <c r="E1429" s="12"/>
      <c r="F1429" s="12"/>
      <c r="G1429" s="12"/>
      <c r="H1429" s="12"/>
      <c r="I1429" s="23"/>
      <c r="J1429" s="12"/>
      <c r="K1429" s="23"/>
      <c r="L1429" s="24"/>
      <c r="M1429" s="12"/>
      <c r="N1429" s="22" t="str">
        <f t="shared" si="2"/>
        <v>
</v>
      </c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</row>
    <row r="1430">
      <c r="A1430" s="10"/>
      <c r="B1430" s="12"/>
      <c r="C1430" s="12"/>
      <c r="D1430" s="23"/>
      <c r="E1430" s="12"/>
      <c r="F1430" s="12"/>
      <c r="G1430" s="12"/>
      <c r="H1430" s="12"/>
      <c r="I1430" s="23"/>
      <c r="J1430" s="12"/>
      <c r="K1430" s="23"/>
      <c r="L1430" s="24"/>
      <c r="M1430" s="12"/>
      <c r="N1430" s="22" t="str">
        <f t="shared" si="2"/>
        <v>
</v>
      </c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</row>
    <row r="1431">
      <c r="A1431" s="10"/>
      <c r="B1431" s="12"/>
      <c r="C1431" s="12"/>
      <c r="D1431" s="23"/>
      <c r="E1431" s="12"/>
      <c r="F1431" s="12"/>
      <c r="G1431" s="12"/>
      <c r="H1431" s="12"/>
      <c r="I1431" s="23"/>
      <c r="J1431" s="12"/>
      <c r="K1431" s="23"/>
      <c r="L1431" s="24"/>
      <c r="M1431" s="12"/>
      <c r="N1431" s="22" t="str">
        <f t="shared" si="2"/>
        <v>
</v>
      </c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</row>
    <row r="1432">
      <c r="A1432" s="10"/>
      <c r="B1432" s="12"/>
      <c r="C1432" s="12"/>
      <c r="D1432" s="23"/>
      <c r="E1432" s="12"/>
      <c r="F1432" s="12"/>
      <c r="G1432" s="12"/>
      <c r="H1432" s="12"/>
      <c r="I1432" s="23"/>
      <c r="J1432" s="12"/>
      <c r="K1432" s="23"/>
      <c r="L1432" s="24"/>
      <c r="M1432" s="12"/>
      <c r="N1432" s="22" t="str">
        <f t="shared" si="2"/>
        <v>
</v>
      </c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</row>
    <row r="1433">
      <c r="A1433" s="10"/>
      <c r="B1433" s="12"/>
      <c r="C1433" s="12"/>
      <c r="D1433" s="23"/>
      <c r="E1433" s="12"/>
      <c r="F1433" s="12"/>
      <c r="G1433" s="12"/>
      <c r="H1433" s="12"/>
      <c r="I1433" s="23"/>
      <c r="J1433" s="12"/>
      <c r="K1433" s="23"/>
      <c r="L1433" s="23"/>
      <c r="M1433" s="12"/>
      <c r="N1433" s="22" t="str">
        <f t="shared" si="2"/>
        <v>
</v>
      </c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</row>
    <row r="1434">
      <c r="A1434" s="10"/>
      <c r="B1434" s="12"/>
      <c r="C1434" s="12"/>
      <c r="D1434" s="23"/>
      <c r="E1434" s="12"/>
      <c r="F1434" s="12"/>
      <c r="G1434" s="12"/>
      <c r="H1434" s="12"/>
      <c r="I1434" s="23"/>
      <c r="J1434" s="12"/>
      <c r="K1434" s="23"/>
      <c r="L1434" s="23"/>
      <c r="M1434" s="12"/>
      <c r="N1434" s="22" t="str">
        <f t="shared" si="2"/>
        <v>
</v>
      </c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</row>
    <row r="1435">
      <c r="A1435" s="10"/>
      <c r="B1435" s="12"/>
      <c r="C1435" s="12"/>
      <c r="D1435" s="23"/>
      <c r="E1435" s="12"/>
      <c r="F1435" s="12"/>
      <c r="G1435" s="12"/>
      <c r="H1435" s="12"/>
      <c r="I1435" s="23"/>
      <c r="J1435" s="12"/>
      <c r="K1435" s="23"/>
      <c r="L1435" s="23"/>
      <c r="M1435" s="12"/>
      <c r="N1435" s="22" t="str">
        <f t="shared" si="2"/>
        <v>
</v>
      </c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</row>
    <row r="1436">
      <c r="A1436" s="10"/>
      <c r="B1436" s="12"/>
      <c r="C1436" s="12"/>
      <c r="D1436" s="23"/>
      <c r="E1436" s="12"/>
      <c r="F1436" s="12"/>
      <c r="G1436" s="12"/>
      <c r="H1436" s="12"/>
      <c r="I1436" s="23"/>
      <c r="J1436" s="12"/>
      <c r="K1436" s="23"/>
      <c r="L1436" s="23"/>
      <c r="M1436" s="12"/>
      <c r="N1436" s="22" t="str">
        <f t="shared" si="2"/>
        <v>
</v>
      </c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</row>
    <row r="1437">
      <c r="A1437" s="10"/>
      <c r="B1437" s="12"/>
      <c r="C1437" s="12"/>
      <c r="D1437" s="23"/>
      <c r="E1437" s="12"/>
      <c r="F1437" s="12"/>
      <c r="G1437" s="12"/>
      <c r="H1437" s="12"/>
      <c r="I1437" s="23"/>
      <c r="J1437" s="12"/>
      <c r="K1437" s="23"/>
      <c r="L1437" s="23"/>
      <c r="M1437" s="12"/>
      <c r="N1437" s="22" t="str">
        <f t="shared" si="2"/>
        <v>
</v>
      </c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</row>
    <row r="1438">
      <c r="A1438" s="10"/>
      <c r="B1438" s="12"/>
      <c r="C1438" s="12"/>
      <c r="D1438" s="23"/>
      <c r="E1438" s="12"/>
      <c r="F1438" s="12"/>
      <c r="G1438" s="12"/>
      <c r="H1438" s="12"/>
      <c r="I1438" s="23"/>
      <c r="J1438" s="12"/>
      <c r="K1438" s="23"/>
      <c r="L1438" s="23"/>
      <c r="M1438" s="12"/>
      <c r="N1438" s="22" t="str">
        <f t="shared" si="2"/>
        <v>
</v>
      </c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</row>
    <row r="1439">
      <c r="A1439" s="10"/>
      <c r="B1439" s="12"/>
      <c r="C1439" s="12"/>
      <c r="D1439" s="23"/>
      <c r="E1439" s="12"/>
      <c r="F1439" s="12"/>
      <c r="G1439" s="12"/>
      <c r="H1439" s="12"/>
      <c r="I1439" s="23"/>
      <c r="J1439" s="12"/>
      <c r="K1439" s="23"/>
      <c r="L1439" s="23"/>
      <c r="M1439" s="12"/>
      <c r="N1439" s="22" t="str">
        <f t="shared" si="2"/>
        <v>
</v>
      </c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</row>
    <row r="1440">
      <c r="A1440" s="10"/>
      <c r="B1440" s="12"/>
      <c r="C1440" s="12"/>
      <c r="D1440" s="23"/>
      <c r="E1440" s="12"/>
      <c r="F1440" s="12"/>
      <c r="G1440" s="12"/>
      <c r="H1440" s="12"/>
      <c r="I1440" s="23"/>
      <c r="J1440" s="12"/>
      <c r="K1440" s="23"/>
      <c r="L1440" s="23"/>
      <c r="M1440" s="12"/>
      <c r="N1440" s="22" t="str">
        <f t="shared" si="2"/>
        <v>
</v>
      </c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</row>
    <row r="1441">
      <c r="A1441" s="10"/>
      <c r="B1441" s="12"/>
      <c r="C1441" s="12"/>
      <c r="D1441" s="23"/>
      <c r="E1441" s="12"/>
      <c r="F1441" s="12"/>
      <c r="G1441" s="12"/>
      <c r="H1441" s="12"/>
      <c r="I1441" s="23"/>
      <c r="J1441" s="12"/>
      <c r="K1441" s="23"/>
      <c r="L1441" s="24"/>
      <c r="M1441" s="12"/>
      <c r="N1441" s="22" t="str">
        <f t="shared" si="2"/>
        <v>
</v>
      </c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</row>
    <row r="1442">
      <c r="A1442" s="10"/>
      <c r="B1442" s="12"/>
      <c r="C1442" s="12"/>
      <c r="D1442" s="23"/>
      <c r="E1442" s="12"/>
      <c r="F1442" s="12"/>
      <c r="G1442" s="12"/>
      <c r="H1442" s="12"/>
      <c r="I1442" s="23"/>
      <c r="J1442" s="12"/>
      <c r="K1442" s="23"/>
      <c r="L1442" s="23"/>
      <c r="M1442" s="12"/>
      <c r="N1442" s="22" t="str">
        <f t="shared" si="2"/>
        <v>
</v>
      </c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</row>
    <row r="1443">
      <c r="A1443" s="10"/>
      <c r="B1443" s="12"/>
      <c r="C1443" s="12"/>
      <c r="D1443" s="23"/>
      <c r="E1443" s="12"/>
      <c r="F1443" s="12"/>
      <c r="G1443" s="12"/>
      <c r="H1443" s="12"/>
      <c r="I1443" s="23"/>
      <c r="J1443" s="12"/>
      <c r="K1443" s="23"/>
      <c r="L1443" s="23"/>
      <c r="M1443" s="12"/>
      <c r="N1443" s="22" t="str">
        <f t="shared" si="2"/>
        <v>
</v>
      </c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</row>
    <row r="1444">
      <c r="A1444" s="10"/>
      <c r="B1444" s="12"/>
      <c r="C1444" s="12"/>
      <c r="D1444" s="23"/>
      <c r="E1444" s="12"/>
      <c r="F1444" s="12"/>
      <c r="G1444" s="12"/>
      <c r="H1444" s="12"/>
      <c r="I1444" s="23"/>
      <c r="J1444" s="12"/>
      <c r="K1444" s="23"/>
      <c r="L1444" s="23"/>
      <c r="M1444" s="12"/>
      <c r="N1444" s="22" t="str">
        <f t="shared" si="2"/>
        <v>
</v>
      </c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</row>
    <row r="1445">
      <c r="A1445" s="10"/>
      <c r="B1445" s="12"/>
      <c r="C1445" s="12"/>
      <c r="D1445" s="23"/>
      <c r="E1445" s="12"/>
      <c r="F1445" s="12"/>
      <c r="G1445" s="12"/>
      <c r="H1445" s="12"/>
      <c r="I1445" s="23"/>
      <c r="J1445" s="12"/>
      <c r="K1445" s="23"/>
      <c r="L1445" s="24"/>
      <c r="M1445" s="12"/>
      <c r="N1445" s="22" t="str">
        <f t="shared" si="2"/>
        <v>
</v>
      </c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</row>
    <row r="1446">
      <c r="A1446" s="10"/>
      <c r="B1446" s="12"/>
      <c r="C1446" s="12"/>
      <c r="D1446" s="23"/>
      <c r="E1446" s="12"/>
      <c r="F1446" s="12"/>
      <c r="G1446" s="12"/>
      <c r="H1446" s="12"/>
      <c r="I1446" s="23"/>
      <c r="J1446" s="12"/>
      <c r="K1446" s="23"/>
      <c r="L1446" s="23"/>
      <c r="M1446" s="12"/>
      <c r="N1446" s="22" t="str">
        <f t="shared" si="2"/>
        <v>
</v>
      </c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</row>
    <row r="1447">
      <c r="A1447" s="10"/>
      <c r="B1447" s="12"/>
      <c r="C1447" s="12"/>
      <c r="D1447" s="23"/>
      <c r="E1447" s="12"/>
      <c r="F1447" s="12"/>
      <c r="G1447" s="12"/>
      <c r="H1447" s="12"/>
      <c r="I1447" s="23"/>
      <c r="J1447" s="12"/>
      <c r="K1447" s="23"/>
      <c r="L1447" s="24"/>
      <c r="M1447" s="12"/>
      <c r="N1447" s="22" t="str">
        <f t="shared" si="2"/>
        <v>
</v>
      </c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</row>
    <row r="1448">
      <c r="A1448" s="10"/>
      <c r="B1448" s="12"/>
      <c r="C1448" s="12"/>
      <c r="D1448" s="23"/>
      <c r="E1448" s="12"/>
      <c r="F1448" s="12"/>
      <c r="G1448" s="12"/>
      <c r="H1448" s="12"/>
      <c r="I1448" s="23"/>
      <c r="J1448" s="12"/>
      <c r="K1448" s="23"/>
      <c r="L1448" s="24"/>
      <c r="M1448" s="12"/>
      <c r="N1448" s="22" t="str">
        <f t="shared" si="2"/>
        <v>
</v>
      </c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</row>
    <row r="1449">
      <c r="A1449" s="10"/>
      <c r="B1449" s="12"/>
      <c r="C1449" s="12"/>
      <c r="D1449" s="23"/>
      <c r="E1449" s="12"/>
      <c r="F1449" s="12"/>
      <c r="G1449" s="12"/>
      <c r="H1449" s="12"/>
      <c r="I1449" s="23"/>
      <c r="J1449" s="12"/>
      <c r="K1449" s="23"/>
      <c r="L1449" s="24"/>
      <c r="M1449" s="12"/>
      <c r="N1449" s="22" t="str">
        <f t="shared" si="2"/>
        <v>
</v>
      </c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</row>
    <row r="1450">
      <c r="A1450" s="10"/>
      <c r="B1450" s="12"/>
      <c r="C1450" s="12"/>
      <c r="D1450" s="23"/>
      <c r="E1450" s="12"/>
      <c r="F1450" s="12"/>
      <c r="G1450" s="12"/>
      <c r="H1450" s="12"/>
      <c r="I1450" s="23"/>
      <c r="J1450" s="12"/>
      <c r="K1450" s="23"/>
      <c r="L1450" s="23"/>
      <c r="M1450" s="12"/>
      <c r="N1450" s="22" t="str">
        <f t="shared" si="2"/>
        <v>
</v>
      </c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</row>
    <row r="1451">
      <c r="A1451" s="10"/>
      <c r="B1451" s="12"/>
      <c r="C1451" s="12"/>
      <c r="D1451" s="23"/>
      <c r="E1451" s="12"/>
      <c r="F1451" s="12"/>
      <c r="G1451" s="12"/>
      <c r="H1451" s="12"/>
      <c r="I1451" s="23"/>
      <c r="J1451" s="12"/>
      <c r="K1451" s="23"/>
      <c r="L1451" s="23"/>
      <c r="M1451" s="12"/>
      <c r="N1451" s="22" t="str">
        <f t="shared" si="2"/>
        <v>
</v>
      </c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</row>
    <row r="1452">
      <c r="A1452" s="10"/>
      <c r="B1452" s="12"/>
      <c r="C1452" s="12"/>
      <c r="D1452" s="23"/>
      <c r="E1452" s="12"/>
      <c r="F1452" s="12"/>
      <c r="G1452" s="12"/>
      <c r="H1452" s="12"/>
      <c r="I1452" s="23"/>
      <c r="J1452" s="12"/>
      <c r="K1452" s="23"/>
      <c r="L1452" s="24"/>
      <c r="M1452" s="12"/>
      <c r="N1452" s="22" t="str">
        <f t="shared" si="2"/>
        <v>
</v>
      </c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</row>
    <row r="1453">
      <c r="A1453" s="10"/>
      <c r="B1453" s="12"/>
      <c r="C1453" s="12"/>
      <c r="D1453" s="23"/>
      <c r="E1453" s="12"/>
      <c r="F1453" s="12"/>
      <c r="G1453" s="12"/>
      <c r="H1453" s="12"/>
      <c r="I1453" s="23"/>
      <c r="J1453" s="12"/>
      <c r="K1453" s="23"/>
      <c r="L1453" s="23"/>
      <c r="M1453" s="12"/>
      <c r="N1453" s="22" t="str">
        <f t="shared" si="2"/>
        <v>
</v>
      </c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</row>
    <row r="1454">
      <c r="A1454" s="10"/>
      <c r="B1454" s="12"/>
      <c r="C1454" s="12"/>
      <c r="D1454" s="23"/>
      <c r="E1454" s="12"/>
      <c r="F1454" s="12"/>
      <c r="G1454" s="12"/>
      <c r="H1454" s="12"/>
      <c r="I1454" s="23"/>
      <c r="J1454" s="12"/>
      <c r="K1454" s="23"/>
      <c r="L1454" s="23"/>
      <c r="M1454" s="12"/>
      <c r="N1454" s="22" t="str">
        <f t="shared" si="2"/>
        <v>
</v>
      </c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</row>
    <row r="1455">
      <c r="A1455" s="10"/>
      <c r="B1455" s="12"/>
      <c r="C1455" s="12"/>
      <c r="D1455" s="23"/>
      <c r="E1455" s="12"/>
      <c r="F1455" s="12"/>
      <c r="G1455" s="12"/>
      <c r="H1455" s="12"/>
      <c r="I1455" s="23"/>
      <c r="J1455" s="12"/>
      <c r="K1455" s="23"/>
      <c r="L1455" s="24"/>
      <c r="M1455" s="12"/>
      <c r="N1455" s="22" t="str">
        <f t="shared" si="2"/>
        <v>
</v>
      </c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</row>
    <row r="1456">
      <c r="A1456" s="10"/>
      <c r="B1456" s="12"/>
      <c r="C1456" s="12"/>
      <c r="D1456" s="23"/>
      <c r="E1456" s="12"/>
      <c r="F1456" s="12"/>
      <c r="G1456" s="12"/>
      <c r="H1456" s="12"/>
      <c r="I1456" s="23"/>
      <c r="J1456" s="12"/>
      <c r="K1456" s="23"/>
      <c r="L1456" s="24"/>
      <c r="M1456" s="12"/>
      <c r="N1456" s="22" t="str">
        <f t="shared" si="2"/>
        <v>
</v>
      </c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</row>
    <row r="1457">
      <c r="A1457" s="10"/>
      <c r="B1457" s="12"/>
      <c r="C1457" s="12"/>
      <c r="D1457" s="23"/>
      <c r="E1457" s="12"/>
      <c r="F1457" s="12"/>
      <c r="G1457" s="12"/>
      <c r="H1457" s="12"/>
      <c r="I1457" s="23"/>
      <c r="J1457" s="12"/>
      <c r="K1457" s="23"/>
      <c r="L1457" s="24"/>
      <c r="M1457" s="12"/>
      <c r="N1457" s="22" t="str">
        <f t="shared" si="2"/>
        <v>
</v>
      </c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</row>
    <row r="1458">
      <c r="A1458" s="10"/>
      <c r="B1458" s="12"/>
      <c r="C1458" s="12"/>
      <c r="D1458" s="23"/>
      <c r="E1458" s="12"/>
      <c r="F1458" s="12"/>
      <c r="G1458" s="12"/>
      <c r="H1458" s="12"/>
      <c r="I1458" s="23"/>
      <c r="J1458" s="12"/>
      <c r="K1458" s="23"/>
      <c r="L1458" s="24"/>
      <c r="M1458" s="12"/>
      <c r="N1458" s="22" t="str">
        <f t="shared" si="2"/>
        <v>
</v>
      </c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</row>
    <row r="1459">
      <c r="A1459" s="10"/>
      <c r="B1459" s="12"/>
      <c r="C1459" s="12"/>
      <c r="D1459" s="23"/>
      <c r="E1459" s="12"/>
      <c r="F1459" s="12"/>
      <c r="G1459" s="12"/>
      <c r="H1459" s="12"/>
      <c r="I1459" s="23"/>
      <c r="J1459" s="12"/>
      <c r="K1459" s="23"/>
      <c r="L1459" s="24"/>
      <c r="M1459" s="12"/>
      <c r="N1459" s="22" t="str">
        <f t="shared" si="2"/>
        <v>
</v>
      </c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</row>
    <row r="1460">
      <c r="A1460" s="10"/>
      <c r="B1460" s="12"/>
      <c r="C1460" s="12"/>
      <c r="D1460" s="23"/>
      <c r="E1460" s="12"/>
      <c r="F1460" s="12"/>
      <c r="G1460" s="12"/>
      <c r="H1460" s="12"/>
      <c r="I1460" s="23"/>
      <c r="J1460" s="12"/>
      <c r="K1460" s="23"/>
      <c r="L1460" s="23"/>
      <c r="M1460" s="12"/>
      <c r="N1460" s="22" t="str">
        <f t="shared" si="2"/>
        <v>
</v>
      </c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</row>
    <row r="1461">
      <c r="A1461" s="10"/>
      <c r="B1461" s="12"/>
      <c r="C1461" s="12"/>
      <c r="D1461" s="23"/>
      <c r="E1461" s="12"/>
      <c r="F1461" s="12"/>
      <c r="G1461" s="12"/>
      <c r="H1461" s="12"/>
      <c r="I1461" s="23"/>
      <c r="J1461" s="12"/>
      <c r="K1461" s="23"/>
      <c r="L1461" s="23"/>
      <c r="M1461" s="12"/>
      <c r="N1461" s="22" t="str">
        <f t="shared" si="2"/>
        <v>
</v>
      </c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</row>
    <row r="1462">
      <c r="A1462" s="10"/>
      <c r="B1462" s="12"/>
      <c r="C1462" s="12"/>
      <c r="D1462" s="23"/>
      <c r="E1462" s="12"/>
      <c r="F1462" s="12"/>
      <c r="G1462" s="12"/>
      <c r="H1462" s="12"/>
      <c r="I1462" s="23"/>
      <c r="J1462" s="12"/>
      <c r="K1462" s="23"/>
      <c r="L1462" s="23"/>
      <c r="M1462" s="12"/>
      <c r="N1462" s="22" t="str">
        <f t="shared" si="2"/>
        <v>
</v>
      </c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</row>
    <row r="1463">
      <c r="A1463" s="10"/>
      <c r="B1463" s="12"/>
      <c r="C1463" s="12"/>
      <c r="D1463" s="23"/>
      <c r="E1463" s="12"/>
      <c r="F1463" s="12"/>
      <c r="G1463" s="12"/>
      <c r="H1463" s="12"/>
      <c r="I1463" s="23"/>
      <c r="J1463" s="12"/>
      <c r="K1463" s="23"/>
      <c r="L1463" s="23"/>
      <c r="M1463" s="12"/>
      <c r="N1463" s="22" t="str">
        <f t="shared" si="2"/>
        <v>
</v>
      </c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</row>
    <row r="1464">
      <c r="A1464" s="10"/>
      <c r="B1464" s="12"/>
      <c r="C1464" s="12"/>
      <c r="D1464" s="23"/>
      <c r="E1464" s="12"/>
      <c r="F1464" s="12"/>
      <c r="G1464" s="12"/>
      <c r="H1464" s="12"/>
      <c r="I1464" s="23"/>
      <c r="J1464" s="12"/>
      <c r="K1464" s="23"/>
      <c r="L1464" s="24"/>
      <c r="M1464" s="12"/>
      <c r="N1464" s="22" t="str">
        <f t="shared" si="2"/>
        <v>
</v>
      </c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</row>
    <row r="1465">
      <c r="A1465" s="10"/>
      <c r="B1465" s="12"/>
      <c r="C1465" s="12"/>
      <c r="D1465" s="23"/>
      <c r="E1465" s="12"/>
      <c r="F1465" s="12"/>
      <c r="G1465" s="12"/>
      <c r="H1465" s="12"/>
      <c r="I1465" s="23"/>
      <c r="J1465" s="12"/>
      <c r="K1465" s="23"/>
      <c r="L1465" s="23"/>
      <c r="M1465" s="12"/>
      <c r="N1465" s="22" t="str">
        <f t="shared" si="2"/>
        <v>
</v>
      </c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</row>
    <row r="1466">
      <c r="A1466" s="10"/>
      <c r="B1466" s="12"/>
      <c r="C1466" s="12"/>
      <c r="D1466" s="23"/>
      <c r="E1466" s="12"/>
      <c r="F1466" s="12"/>
      <c r="G1466" s="12"/>
      <c r="H1466" s="12"/>
      <c r="I1466" s="23"/>
      <c r="J1466" s="12"/>
      <c r="K1466" s="23"/>
      <c r="L1466" s="23"/>
      <c r="M1466" s="12"/>
      <c r="N1466" s="22" t="str">
        <f t="shared" si="2"/>
        <v>
</v>
      </c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</row>
    <row r="1467">
      <c r="A1467" s="10"/>
      <c r="B1467" s="12"/>
      <c r="C1467" s="12"/>
      <c r="D1467" s="23"/>
      <c r="E1467" s="12"/>
      <c r="F1467" s="12"/>
      <c r="G1467" s="12"/>
      <c r="H1467" s="12"/>
      <c r="I1467" s="23"/>
      <c r="J1467" s="12"/>
      <c r="K1467" s="23"/>
      <c r="L1467" s="24"/>
      <c r="M1467" s="12"/>
      <c r="N1467" s="22" t="str">
        <f t="shared" si="2"/>
        <v>
</v>
      </c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</row>
    <row r="1468">
      <c r="A1468" s="10"/>
      <c r="B1468" s="12"/>
      <c r="C1468" s="12"/>
      <c r="D1468" s="23"/>
      <c r="E1468" s="12"/>
      <c r="F1468" s="12"/>
      <c r="G1468" s="12"/>
      <c r="H1468" s="12"/>
      <c r="I1468" s="23"/>
      <c r="J1468" s="12"/>
      <c r="K1468" s="23"/>
      <c r="L1468" s="24"/>
      <c r="M1468" s="12"/>
      <c r="N1468" s="22" t="str">
        <f t="shared" si="2"/>
        <v>
</v>
      </c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</row>
    <row r="1469">
      <c r="A1469" s="10"/>
      <c r="B1469" s="12"/>
      <c r="C1469" s="12"/>
      <c r="D1469" s="23"/>
      <c r="E1469" s="12"/>
      <c r="F1469" s="12"/>
      <c r="G1469" s="12"/>
      <c r="H1469" s="12"/>
      <c r="I1469" s="23"/>
      <c r="J1469" s="12"/>
      <c r="K1469" s="23"/>
      <c r="L1469" s="24"/>
      <c r="M1469" s="12"/>
      <c r="N1469" s="22" t="str">
        <f t="shared" si="2"/>
        <v>
</v>
      </c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</row>
    <row r="1470">
      <c r="A1470" s="10"/>
      <c r="B1470" s="12"/>
      <c r="C1470" s="12"/>
      <c r="D1470" s="23"/>
      <c r="E1470" s="12"/>
      <c r="F1470" s="12"/>
      <c r="G1470" s="12"/>
      <c r="H1470" s="12"/>
      <c r="I1470" s="23"/>
      <c r="J1470" s="12"/>
      <c r="K1470" s="23"/>
      <c r="L1470" s="23"/>
      <c r="M1470" s="12"/>
      <c r="N1470" s="22" t="str">
        <f t="shared" si="2"/>
        <v>
</v>
      </c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</row>
    <row r="1471">
      <c r="A1471" s="10"/>
      <c r="B1471" s="12"/>
      <c r="C1471" s="12"/>
      <c r="D1471" s="23"/>
      <c r="E1471" s="12"/>
      <c r="F1471" s="12"/>
      <c r="G1471" s="12"/>
      <c r="H1471" s="12"/>
      <c r="I1471" s="23"/>
      <c r="J1471" s="12"/>
      <c r="K1471" s="23"/>
      <c r="L1471" s="23"/>
      <c r="M1471" s="12"/>
      <c r="N1471" s="22" t="str">
        <f t="shared" si="2"/>
        <v>
</v>
      </c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</row>
    <row r="1472">
      <c r="A1472" s="10"/>
      <c r="B1472" s="12"/>
      <c r="C1472" s="12"/>
      <c r="D1472" s="23"/>
      <c r="E1472" s="12"/>
      <c r="F1472" s="12"/>
      <c r="G1472" s="12"/>
      <c r="H1472" s="12"/>
      <c r="I1472" s="23"/>
      <c r="J1472" s="12"/>
      <c r="K1472" s="23"/>
      <c r="L1472" s="24"/>
      <c r="M1472" s="12"/>
      <c r="N1472" s="22" t="str">
        <f t="shared" si="2"/>
        <v>
</v>
      </c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</row>
    <row r="1473">
      <c r="A1473" s="10"/>
      <c r="B1473" s="12"/>
      <c r="C1473" s="12"/>
      <c r="D1473" s="23"/>
      <c r="E1473" s="12"/>
      <c r="F1473" s="12"/>
      <c r="G1473" s="12"/>
      <c r="H1473" s="12"/>
      <c r="I1473" s="23"/>
      <c r="J1473" s="12"/>
      <c r="K1473" s="23"/>
      <c r="L1473" s="23"/>
      <c r="M1473" s="12"/>
      <c r="N1473" s="22" t="str">
        <f t="shared" si="2"/>
        <v>
</v>
      </c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</row>
    <row r="1474">
      <c r="A1474" s="10"/>
      <c r="B1474" s="12"/>
      <c r="C1474" s="12"/>
      <c r="D1474" s="23"/>
      <c r="E1474" s="12"/>
      <c r="F1474" s="12"/>
      <c r="G1474" s="12"/>
      <c r="H1474" s="12"/>
      <c r="I1474" s="23"/>
      <c r="J1474" s="12"/>
      <c r="K1474" s="23"/>
      <c r="L1474" s="24"/>
      <c r="M1474" s="12"/>
      <c r="N1474" s="22" t="str">
        <f t="shared" si="2"/>
        <v>
</v>
      </c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</row>
    <row r="1475">
      <c r="A1475" s="10"/>
      <c r="B1475" s="12"/>
      <c r="C1475" s="12"/>
      <c r="D1475" s="23"/>
      <c r="E1475" s="12"/>
      <c r="F1475" s="12"/>
      <c r="G1475" s="12"/>
      <c r="H1475" s="12"/>
      <c r="I1475" s="23"/>
      <c r="J1475" s="12"/>
      <c r="K1475" s="23"/>
      <c r="L1475" s="23"/>
      <c r="M1475" s="39"/>
      <c r="N1475" s="22" t="str">
        <f t="shared" si="2"/>
        <v>
</v>
      </c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</row>
    <row r="1476">
      <c r="A1476" s="10"/>
      <c r="B1476" s="12"/>
      <c r="C1476" s="12"/>
      <c r="D1476" s="23"/>
      <c r="E1476" s="12"/>
      <c r="F1476" s="12"/>
      <c r="G1476" s="12"/>
      <c r="H1476" s="12"/>
      <c r="I1476" s="23"/>
      <c r="J1476" s="12"/>
      <c r="K1476" s="23"/>
      <c r="L1476" s="23"/>
      <c r="M1476" s="12"/>
      <c r="N1476" s="22" t="str">
        <f t="shared" si="2"/>
        <v>
</v>
      </c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</row>
    <row r="1477">
      <c r="A1477" s="10"/>
      <c r="B1477" s="12"/>
      <c r="C1477" s="12"/>
      <c r="D1477" s="23"/>
      <c r="E1477" s="12"/>
      <c r="F1477" s="12"/>
      <c r="G1477" s="12"/>
      <c r="H1477" s="12"/>
      <c r="I1477" s="23"/>
      <c r="J1477" s="12"/>
      <c r="K1477" s="23"/>
      <c r="L1477" s="23"/>
      <c r="M1477" s="12"/>
      <c r="N1477" s="22" t="str">
        <f t="shared" si="2"/>
        <v>
</v>
      </c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</row>
    <row r="1478">
      <c r="A1478" s="10"/>
      <c r="B1478" s="12"/>
      <c r="C1478" s="12"/>
      <c r="D1478" s="23"/>
      <c r="E1478" s="12"/>
      <c r="F1478" s="12"/>
      <c r="G1478" s="12"/>
      <c r="H1478" s="12"/>
      <c r="I1478" s="23"/>
      <c r="J1478" s="12"/>
      <c r="K1478" s="23"/>
      <c r="L1478" s="23"/>
      <c r="M1478" s="12"/>
      <c r="N1478" s="22" t="str">
        <f t="shared" si="2"/>
        <v>
</v>
      </c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</row>
    <row r="1479">
      <c r="A1479" s="10"/>
      <c r="B1479" s="12"/>
      <c r="C1479" s="12"/>
      <c r="D1479" s="23"/>
      <c r="E1479" s="22"/>
      <c r="F1479" s="12"/>
      <c r="G1479" s="12"/>
      <c r="H1479" s="12"/>
      <c r="I1479" s="23"/>
      <c r="J1479" s="12"/>
      <c r="K1479" s="23"/>
      <c r="L1479" s="23"/>
      <c r="M1479" s="12"/>
      <c r="N1479" s="22" t="str">
        <f t="shared" si="2"/>
        <v>
</v>
      </c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</row>
    <row r="1480">
      <c r="A1480" s="10"/>
      <c r="B1480" s="12"/>
      <c r="C1480" s="12"/>
      <c r="D1480" s="23"/>
      <c r="E1480" s="22"/>
      <c r="F1480" s="12"/>
      <c r="G1480" s="12"/>
      <c r="H1480" s="12"/>
      <c r="I1480" s="23"/>
      <c r="J1480" s="12"/>
      <c r="K1480" s="23"/>
      <c r="L1480" s="23"/>
      <c r="M1480" s="12"/>
      <c r="N1480" s="22" t="str">
        <f t="shared" si="2"/>
        <v>
</v>
      </c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</row>
    <row r="1481">
      <c r="A1481" s="10"/>
      <c r="B1481" s="12"/>
      <c r="C1481" s="12"/>
      <c r="D1481" s="23"/>
      <c r="E1481" s="12"/>
      <c r="F1481" s="12"/>
      <c r="G1481" s="12"/>
      <c r="H1481" s="12"/>
      <c r="I1481" s="23"/>
      <c r="J1481" s="12"/>
      <c r="K1481" s="23"/>
      <c r="L1481" s="24"/>
      <c r="M1481" s="12"/>
      <c r="N1481" s="22" t="str">
        <f t="shared" si="2"/>
        <v>
</v>
      </c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</row>
    <row r="1482">
      <c r="A1482" s="10"/>
      <c r="B1482" s="12"/>
      <c r="C1482" s="12"/>
      <c r="D1482" s="23"/>
      <c r="E1482" s="12"/>
      <c r="F1482" s="12"/>
      <c r="G1482" s="12"/>
      <c r="H1482" s="12"/>
      <c r="I1482" s="23"/>
      <c r="J1482" s="12"/>
      <c r="K1482" s="23"/>
      <c r="L1482" s="24"/>
      <c r="M1482" s="12"/>
      <c r="N1482" s="22" t="str">
        <f t="shared" si="2"/>
        <v>
</v>
      </c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</row>
    <row r="1483">
      <c r="A1483" s="10"/>
      <c r="B1483" s="12"/>
      <c r="C1483" s="12"/>
      <c r="D1483" s="23"/>
      <c r="E1483" s="12"/>
      <c r="F1483" s="12"/>
      <c r="G1483" s="12"/>
      <c r="H1483" s="12"/>
      <c r="I1483" s="23"/>
      <c r="J1483" s="12"/>
      <c r="K1483" s="23"/>
      <c r="L1483" s="23"/>
      <c r="M1483" s="12"/>
      <c r="N1483" s="22" t="str">
        <f t="shared" si="2"/>
        <v>
</v>
      </c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</row>
    <row r="1484">
      <c r="A1484" s="10"/>
      <c r="B1484" s="12"/>
      <c r="C1484" s="12"/>
      <c r="D1484" s="23"/>
      <c r="E1484" s="12"/>
      <c r="F1484" s="12"/>
      <c r="G1484" s="12"/>
      <c r="H1484" s="12"/>
      <c r="I1484" s="23"/>
      <c r="J1484" s="12"/>
      <c r="K1484" s="23"/>
      <c r="L1484" s="23"/>
      <c r="M1484" s="12"/>
      <c r="N1484" s="22" t="str">
        <f t="shared" si="2"/>
        <v>
</v>
      </c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</row>
    <row r="1485">
      <c r="A1485" s="10"/>
      <c r="B1485" s="12"/>
      <c r="C1485" s="12"/>
      <c r="D1485" s="23"/>
      <c r="E1485" s="12"/>
      <c r="F1485" s="12"/>
      <c r="G1485" s="12"/>
      <c r="H1485" s="12"/>
      <c r="I1485" s="23"/>
      <c r="J1485" s="12"/>
      <c r="K1485" s="23"/>
      <c r="L1485" s="23"/>
      <c r="M1485" s="12"/>
      <c r="N1485" s="22" t="str">
        <f t="shared" si="2"/>
        <v>
</v>
      </c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</row>
    <row r="1486">
      <c r="A1486" s="10"/>
      <c r="B1486" s="12"/>
      <c r="C1486" s="12"/>
      <c r="D1486" s="23"/>
      <c r="E1486" s="12"/>
      <c r="F1486" s="12"/>
      <c r="G1486" s="12"/>
      <c r="H1486" s="12"/>
      <c r="I1486" s="23"/>
      <c r="J1486" s="12"/>
      <c r="K1486" s="23"/>
      <c r="L1486" s="23"/>
      <c r="M1486" s="12"/>
      <c r="N1486" s="22" t="str">
        <f t="shared" si="2"/>
        <v>
</v>
      </c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</row>
    <row r="1487">
      <c r="A1487" s="10"/>
      <c r="B1487" s="12"/>
      <c r="C1487" s="12"/>
      <c r="D1487" s="23"/>
      <c r="E1487" s="12"/>
      <c r="F1487" s="12"/>
      <c r="G1487" s="12"/>
      <c r="H1487" s="12"/>
      <c r="I1487" s="23"/>
      <c r="J1487" s="12"/>
      <c r="K1487" s="23"/>
      <c r="L1487" s="23"/>
      <c r="M1487" s="12"/>
      <c r="N1487" s="22" t="str">
        <f t="shared" si="2"/>
        <v>
</v>
      </c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</row>
    <row r="1488">
      <c r="A1488" s="10"/>
      <c r="B1488" s="12"/>
      <c r="C1488" s="12"/>
      <c r="D1488" s="23"/>
      <c r="E1488" s="12"/>
      <c r="F1488" s="12"/>
      <c r="G1488" s="12"/>
      <c r="H1488" s="12"/>
      <c r="I1488" s="23"/>
      <c r="J1488" s="12"/>
      <c r="K1488" s="23"/>
      <c r="L1488" s="23"/>
      <c r="M1488" s="12"/>
      <c r="N1488" s="22" t="str">
        <f t="shared" si="2"/>
        <v>
</v>
      </c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</row>
    <row r="1489">
      <c r="A1489" s="10"/>
      <c r="B1489" s="12"/>
      <c r="C1489" s="12"/>
      <c r="D1489" s="47"/>
      <c r="E1489" s="12"/>
      <c r="F1489" s="12"/>
      <c r="G1489" s="12"/>
      <c r="H1489" s="12"/>
      <c r="I1489" s="23"/>
      <c r="J1489" s="12"/>
      <c r="K1489" s="23"/>
      <c r="L1489" s="23"/>
      <c r="M1489" s="12"/>
      <c r="N1489" s="22" t="str">
        <f t="shared" si="2"/>
        <v>
</v>
      </c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</row>
    <row r="1490">
      <c r="A1490" s="10"/>
      <c r="B1490" s="12"/>
      <c r="C1490" s="12"/>
      <c r="D1490" s="23"/>
      <c r="E1490" s="12"/>
      <c r="F1490" s="12"/>
      <c r="G1490" s="12"/>
      <c r="H1490" s="12"/>
      <c r="I1490" s="23"/>
      <c r="J1490" s="12"/>
      <c r="K1490" s="23"/>
      <c r="L1490" s="23"/>
      <c r="M1490" s="12"/>
      <c r="N1490" s="22" t="str">
        <f t="shared" si="2"/>
        <v>
</v>
      </c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</row>
    <row r="1491">
      <c r="A1491" s="10"/>
      <c r="B1491" s="12"/>
      <c r="C1491" s="12"/>
      <c r="D1491" s="23"/>
      <c r="E1491" s="12"/>
      <c r="F1491" s="12"/>
      <c r="G1491" s="12"/>
      <c r="H1491" s="12"/>
      <c r="I1491" s="23"/>
      <c r="J1491" s="12"/>
      <c r="K1491" s="23"/>
      <c r="L1491" s="23"/>
      <c r="M1491" s="12"/>
      <c r="N1491" s="22" t="str">
        <f t="shared" si="2"/>
        <v>
</v>
      </c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</row>
    <row r="1492">
      <c r="A1492" s="10"/>
      <c r="B1492" s="12"/>
      <c r="C1492" s="12"/>
      <c r="D1492" s="23"/>
      <c r="E1492" s="12"/>
      <c r="F1492" s="12"/>
      <c r="G1492" s="12"/>
      <c r="H1492" s="12"/>
      <c r="I1492" s="23"/>
      <c r="J1492" s="12"/>
      <c r="K1492" s="23"/>
      <c r="L1492" s="23"/>
      <c r="M1492" s="12"/>
      <c r="N1492" s="22" t="str">
        <f t="shared" si="2"/>
        <v>
</v>
      </c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</row>
    <row r="1493">
      <c r="A1493" s="10"/>
      <c r="B1493" s="12"/>
      <c r="C1493" s="12"/>
      <c r="D1493" s="23"/>
      <c r="E1493" s="12"/>
      <c r="F1493" s="12"/>
      <c r="G1493" s="12"/>
      <c r="H1493" s="12"/>
      <c r="I1493" s="23"/>
      <c r="J1493" s="12"/>
      <c r="K1493" s="23"/>
      <c r="L1493" s="23"/>
      <c r="M1493" s="12"/>
      <c r="N1493" s="22" t="str">
        <f t="shared" si="2"/>
        <v>
</v>
      </c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</row>
    <row r="1494">
      <c r="A1494" s="10"/>
      <c r="B1494" s="12"/>
      <c r="C1494" s="12"/>
      <c r="D1494" s="23"/>
      <c r="E1494" s="12"/>
      <c r="F1494" s="12"/>
      <c r="G1494" s="12"/>
      <c r="H1494" s="12"/>
      <c r="I1494" s="23"/>
      <c r="J1494" s="12"/>
      <c r="K1494" s="23"/>
      <c r="L1494" s="23"/>
      <c r="M1494" s="12"/>
      <c r="N1494" s="22" t="str">
        <f t="shared" si="2"/>
        <v>
</v>
      </c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</row>
    <row r="1495">
      <c r="A1495" s="10"/>
      <c r="B1495" s="12"/>
      <c r="C1495" s="12"/>
      <c r="D1495" s="23"/>
      <c r="E1495" s="12"/>
      <c r="F1495" s="12"/>
      <c r="G1495" s="12"/>
      <c r="H1495" s="12"/>
      <c r="I1495" s="23"/>
      <c r="J1495" s="12"/>
      <c r="K1495" s="23"/>
      <c r="L1495" s="24"/>
      <c r="M1495" s="12"/>
      <c r="N1495" s="22" t="str">
        <f t="shared" si="2"/>
        <v>
</v>
      </c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</row>
    <row r="1496">
      <c r="A1496" s="10"/>
      <c r="B1496" s="12"/>
      <c r="C1496" s="12"/>
      <c r="D1496" s="23"/>
      <c r="E1496" s="12"/>
      <c r="F1496" s="12"/>
      <c r="G1496" s="12"/>
      <c r="H1496" s="12"/>
      <c r="I1496" s="23"/>
      <c r="J1496" s="12"/>
      <c r="K1496" s="23"/>
      <c r="L1496" s="24"/>
      <c r="M1496" s="12"/>
      <c r="N1496" s="22" t="str">
        <f t="shared" si="2"/>
        <v>
</v>
      </c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</row>
    <row r="1497">
      <c r="A1497" s="10"/>
      <c r="B1497" s="12"/>
      <c r="C1497" s="12"/>
      <c r="D1497" s="23"/>
      <c r="E1497" s="22"/>
      <c r="F1497" s="12"/>
      <c r="G1497" s="12"/>
      <c r="H1497" s="12"/>
      <c r="I1497" s="23"/>
      <c r="J1497" s="12"/>
      <c r="K1497" s="23"/>
      <c r="L1497" s="24"/>
      <c r="M1497" s="12"/>
      <c r="N1497" s="22" t="str">
        <f t="shared" si="2"/>
        <v>
</v>
      </c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</row>
    <row r="1498">
      <c r="A1498" s="10"/>
      <c r="B1498" s="12"/>
      <c r="C1498" s="12"/>
      <c r="D1498" s="23"/>
      <c r="E1498" s="12"/>
      <c r="F1498" s="12"/>
      <c r="G1498" s="12"/>
      <c r="H1498" s="12"/>
      <c r="I1498" s="23"/>
      <c r="J1498" s="12"/>
      <c r="K1498" s="23"/>
      <c r="L1498" s="23"/>
      <c r="M1498" s="12"/>
      <c r="N1498" s="22" t="str">
        <f t="shared" si="2"/>
        <v>
</v>
      </c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</row>
    <row r="1499">
      <c r="A1499" s="10"/>
      <c r="B1499" s="12"/>
      <c r="C1499" s="12"/>
      <c r="D1499" s="23"/>
      <c r="E1499" s="12"/>
      <c r="F1499" s="12"/>
      <c r="G1499" s="12"/>
      <c r="H1499" s="12"/>
      <c r="I1499" s="23"/>
      <c r="J1499" s="12"/>
      <c r="K1499" s="23"/>
      <c r="L1499" s="23"/>
      <c r="M1499" s="12"/>
      <c r="N1499" s="22" t="str">
        <f t="shared" si="2"/>
        <v>
</v>
      </c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</row>
    <row r="1500">
      <c r="A1500" s="10"/>
      <c r="B1500" s="12"/>
      <c r="C1500" s="12"/>
      <c r="D1500" s="23"/>
      <c r="E1500" s="12"/>
      <c r="F1500" s="12"/>
      <c r="G1500" s="12"/>
      <c r="H1500" s="12"/>
      <c r="I1500" s="23"/>
      <c r="J1500" s="12"/>
      <c r="K1500" s="23"/>
      <c r="L1500" s="23"/>
      <c r="M1500" s="12"/>
      <c r="N1500" s="22" t="str">
        <f t="shared" si="2"/>
        <v>
</v>
      </c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</row>
    <row r="1501">
      <c r="A1501" s="10"/>
      <c r="B1501" s="12"/>
      <c r="C1501" s="12"/>
      <c r="D1501" s="23"/>
      <c r="E1501" s="12"/>
      <c r="F1501" s="12"/>
      <c r="G1501" s="12"/>
      <c r="H1501" s="12"/>
      <c r="I1501" s="23"/>
      <c r="J1501" s="12"/>
      <c r="K1501" s="23"/>
      <c r="L1501" s="24"/>
      <c r="M1501" s="12"/>
      <c r="N1501" s="22" t="str">
        <f t="shared" si="2"/>
        <v>
</v>
      </c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</row>
    <row r="1502">
      <c r="A1502" s="10"/>
      <c r="B1502" s="12"/>
      <c r="C1502" s="12"/>
      <c r="D1502" s="23"/>
      <c r="E1502" s="12"/>
      <c r="F1502" s="12"/>
      <c r="G1502" s="12"/>
      <c r="H1502" s="12"/>
      <c r="I1502" s="23"/>
      <c r="J1502" s="12"/>
      <c r="K1502" s="23"/>
      <c r="L1502" s="24"/>
      <c r="M1502" s="12"/>
      <c r="N1502" s="22" t="str">
        <f t="shared" si="2"/>
        <v>
</v>
      </c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</row>
    <row r="1503">
      <c r="A1503" s="10"/>
      <c r="B1503" s="12"/>
      <c r="C1503" s="12"/>
      <c r="D1503" s="23"/>
      <c r="E1503" s="12"/>
      <c r="F1503" s="12"/>
      <c r="G1503" s="12"/>
      <c r="H1503" s="12"/>
      <c r="I1503" s="23"/>
      <c r="J1503" s="12"/>
      <c r="K1503" s="23"/>
      <c r="L1503" s="23"/>
      <c r="M1503" s="12"/>
      <c r="N1503" s="22" t="str">
        <f t="shared" si="2"/>
        <v>
</v>
      </c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</row>
    <row r="1504">
      <c r="A1504" s="10"/>
      <c r="B1504" s="12"/>
      <c r="C1504" s="12"/>
      <c r="D1504" s="23"/>
      <c r="E1504" s="22"/>
      <c r="F1504" s="12"/>
      <c r="G1504" s="12"/>
      <c r="H1504" s="12"/>
      <c r="I1504" s="23"/>
      <c r="J1504" s="12"/>
      <c r="K1504" s="23"/>
      <c r="L1504" s="24"/>
      <c r="M1504" s="12"/>
      <c r="N1504" s="22" t="str">
        <f t="shared" si="2"/>
        <v>
</v>
      </c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</row>
    <row r="1505">
      <c r="A1505" s="10"/>
      <c r="B1505" s="12"/>
      <c r="C1505" s="12"/>
      <c r="D1505" s="23"/>
      <c r="E1505" s="22"/>
      <c r="F1505" s="12"/>
      <c r="G1505" s="12"/>
      <c r="H1505" s="12"/>
      <c r="I1505" s="23"/>
      <c r="J1505" s="12"/>
      <c r="K1505" s="23"/>
      <c r="L1505" s="23"/>
      <c r="M1505" s="12"/>
      <c r="N1505" s="22" t="str">
        <f t="shared" si="2"/>
        <v>
</v>
      </c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</row>
    <row r="1506">
      <c r="A1506" s="10"/>
      <c r="B1506" s="12"/>
      <c r="C1506" s="12"/>
      <c r="D1506" s="23"/>
      <c r="E1506" s="22"/>
      <c r="F1506" s="12"/>
      <c r="G1506" s="12"/>
      <c r="H1506" s="12"/>
      <c r="I1506" s="23"/>
      <c r="J1506" s="12"/>
      <c r="K1506" s="23"/>
      <c r="L1506" s="23"/>
      <c r="M1506" s="12"/>
      <c r="N1506" s="22" t="str">
        <f t="shared" si="2"/>
        <v>
</v>
      </c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</row>
    <row r="1507">
      <c r="A1507" s="10"/>
      <c r="B1507" s="12"/>
      <c r="C1507" s="12"/>
      <c r="D1507" s="23"/>
      <c r="E1507" s="22"/>
      <c r="F1507" s="12"/>
      <c r="G1507" s="12"/>
      <c r="H1507" s="12"/>
      <c r="I1507" s="22"/>
      <c r="J1507" s="12"/>
      <c r="K1507" s="12"/>
      <c r="L1507" s="12"/>
      <c r="M1507" s="12"/>
      <c r="N1507" s="22" t="str">
        <f t="shared" si="2"/>
        <v>
</v>
      </c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</row>
    <row r="1508">
      <c r="A1508" s="10"/>
      <c r="B1508" s="12"/>
      <c r="C1508" s="12"/>
      <c r="D1508" s="23"/>
      <c r="E1508" s="22"/>
      <c r="F1508" s="12"/>
      <c r="G1508" s="12"/>
      <c r="H1508" s="12"/>
      <c r="I1508" s="23"/>
      <c r="J1508" s="12"/>
      <c r="K1508" s="23"/>
      <c r="L1508" s="24"/>
      <c r="M1508" s="12"/>
      <c r="N1508" s="22" t="str">
        <f t="shared" si="2"/>
        <v>
</v>
      </c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</row>
    <row r="1509">
      <c r="A1509" s="10"/>
      <c r="B1509" s="12"/>
      <c r="C1509" s="12"/>
      <c r="D1509" s="23"/>
      <c r="E1509" s="22"/>
      <c r="F1509" s="12"/>
      <c r="G1509" s="12"/>
      <c r="H1509" s="12"/>
      <c r="I1509" s="23"/>
      <c r="J1509" s="12"/>
      <c r="K1509" s="23"/>
      <c r="L1509" s="23"/>
      <c r="M1509" s="12"/>
      <c r="N1509" s="22" t="str">
        <f t="shared" si="2"/>
        <v>
</v>
      </c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</row>
    <row r="1510">
      <c r="A1510" s="10"/>
      <c r="B1510" s="12"/>
      <c r="C1510" s="12"/>
      <c r="D1510" s="23"/>
      <c r="E1510" s="22"/>
      <c r="F1510" s="12"/>
      <c r="G1510" s="12"/>
      <c r="H1510" s="12"/>
      <c r="I1510" s="23"/>
      <c r="J1510" s="12"/>
      <c r="K1510" s="23"/>
      <c r="L1510" s="23"/>
      <c r="M1510" s="12"/>
      <c r="N1510" s="22" t="str">
        <f t="shared" si="2"/>
        <v>
</v>
      </c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</row>
    <row r="1511">
      <c r="A1511" s="10"/>
      <c r="B1511" s="12"/>
      <c r="C1511" s="12"/>
      <c r="D1511" s="105"/>
      <c r="E1511" s="44"/>
      <c r="F1511" s="12"/>
      <c r="G1511" s="12"/>
      <c r="H1511" s="12"/>
      <c r="I1511" s="23"/>
      <c r="J1511" s="12"/>
      <c r="K1511" s="23"/>
      <c r="L1511" s="23"/>
      <c r="M1511" s="12"/>
      <c r="N1511" s="22" t="str">
        <f t="shared" si="2"/>
        <v>
</v>
      </c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</row>
    <row r="1512">
      <c r="A1512" s="10"/>
      <c r="B1512" s="12"/>
      <c r="C1512" s="12"/>
      <c r="D1512" s="23"/>
      <c r="E1512" s="12"/>
      <c r="F1512" s="12"/>
      <c r="G1512" s="12"/>
      <c r="H1512" s="12"/>
      <c r="I1512" s="23"/>
      <c r="J1512" s="12"/>
      <c r="K1512" s="23"/>
      <c r="L1512" s="23"/>
      <c r="M1512" s="39"/>
      <c r="N1512" s="22" t="str">
        <f t="shared" si="2"/>
        <v>
</v>
      </c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</row>
    <row r="1513">
      <c r="A1513" s="10"/>
      <c r="B1513" s="12"/>
      <c r="C1513" s="12"/>
      <c r="D1513" s="23"/>
      <c r="E1513" s="12"/>
      <c r="F1513" s="12"/>
      <c r="G1513" s="12"/>
      <c r="H1513" s="12"/>
      <c r="I1513" s="23"/>
      <c r="J1513" s="12"/>
      <c r="K1513" s="23"/>
      <c r="L1513" s="23"/>
      <c r="M1513" s="39"/>
      <c r="N1513" s="22" t="str">
        <f t="shared" si="2"/>
        <v>
</v>
      </c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</row>
    <row r="1514">
      <c r="A1514" s="10"/>
      <c r="B1514" s="12"/>
      <c r="C1514" s="12"/>
      <c r="D1514" s="23"/>
      <c r="E1514" s="12"/>
      <c r="F1514" s="12"/>
      <c r="G1514" s="12"/>
      <c r="H1514" s="12"/>
      <c r="I1514" s="23"/>
      <c r="J1514" s="12"/>
      <c r="K1514" s="23"/>
      <c r="L1514" s="23"/>
      <c r="M1514" s="39"/>
      <c r="N1514" s="22" t="str">
        <f t="shared" si="2"/>
        <v>
</v>
      </c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</row>
    <row r="1515">
      <c r="A1515" s="10"/>
      <c r="B1515" s="12"/>
      <c r="C1515" s="12"/>
      <c r="D1515" s="23"/>
      <c r="E1515" s="12"/>
      <c r="F1515" s="12"/>
      <c r="G1515" s="12"/>
      <c r="H1515" s="12"/>
      <c r="I1515" s="23"/>
      <c r="J1515" s="12"/>
      <c r="K1515" s="23"/>
      <c r="L1515" s="23"/>
      <c r="M1515" s="39"/>
      <c r="N1515" s="22" t="str">
        <f t="shared" si="2"/>
        <v>
</v>
      </c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</row>
    <row r="1516">
      <c r="A1516" s="10"/>
      <c r="B1516" s="12"/>
      <c r="C1516" s="12"/>
      <c r="D1516" s="23"/>
      <c r="E1516" s="12"/>
      <c r="F1516" s="12"/>
      <c r="G1516" s="12"/>
      <c r="H1516" s="12"/>
      <c r="I1516" s="23"/>
      <c r="J1516" s="12"/>
      <c r="K1516" s="23"/>
      <c r="L1516" s="23"/>
      <c r="M1516" s="39"/>
      <c r="N1516" s="22" t="str">
        <f t="shared" si="2"/>
        <v>
</v>
      </c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</row>
    <row r="1517">
      <c r="A1517" s="10"/>
      <c r="B1517" s="12"/>
      <c r="C1517" s="12"/>
      <c r="D1517" s="105"/>
      <c r="E1517" s="42"/>
      <c r="F1517" s="12"/>
      <c r="G1517" s="12"/>
      <c r="H1517" s="12"/>
      <c r="I1517" s="12"/>
      <c r="J1517" s="12"/>
      <c r="K1517" s="12"/>
      <c r="L1517" s="23"/>
      <c r="M1517" s="39"/>
      <c r="N1517" s="22" t="str">
        <f t="shared" si="2"/>
        <v>
</v>
      </c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</row>
    <row r="1518">
      <c r="A1518" s="10"/>
      <c r="B1518" s="12"/>
      <c r="C1518" s="12"/>
      <c r="D1518" s="23"/>
      <c r="E1518" s="12"/>
      <c r="F1518" s="49"/>
      <c r="G1518" s="12"/>
      <c r="H1518" s="12"/>
      <c r="I1518" s="23"/>
      <c r="J1518" s="12"/>
      <c r="K1518" s="23"/>
      <c r="L1518" s="23"/>
      <c r="M1518" s="39"/>
      <c r="N1518" s="22" t="str">
        <f t="shared" si="2"/>
        <v>
</v>
      </c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</row>
    <row r="1519">
      <c r="A1519" s="10"/>
      <c r="B1519" s="12"/>
      <c r="C1519" s="12"/>
      <c r="D1519" s="23"/>
      <c r="E1519" s="12"/>
      <c r="F1519" s="12"/>
      <c r="G1519" s="12"/>
      <c r="H1519" s="12"/>
      <c r="I1519" s="23"/>
      <c r="J1519" s="12"/>
      <c r="K1519" s="23"/>
      <c r="L1519" s="23"/>
      <c r="M1519" s="39"/>
      <c r="N1519" s="22" t="str">
        <f t="shared" si="2"/>
        <v>
</v>
      </c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</row>
    <row r="1520">
      <c r="A1520" s="10"/>
      <c r="B1520" s="12"/>
      <c r="C1520" s="12"/>
      <c r="D1520" s="23"/>
      <c r="E1520" s="12"/>
      <c r="F1520" s="12"/>
      <c r="G1520" s="12"/>
      <c r="H1520" s="12"/>
      <c r="I1520" s="23"/>
      <c r="J1520" s="12"/>
      <c r="K1520" s="23"/>
      <c r="L1520" s="23"/>
      <c r="M1520" s="39"/>
      <c r="N1520" s="22" t="str">
        <f t="shared" si="2"/>
        <v>
</v>
      </c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</row>
    <row r="1521">
      <c r="A1521" s="10"/>
      <c r="B1521" s="12"/>
      <c r="C1521" s="12"/>
      <c r="D1521" s="95"/>
      <c r="E1521" s="12"/>
      <c r="F1521" s="49"/>
      <c r="G1521" s="12"/>
      <c r="H1521" s="12"/>
      <c r="I1521" s="23"/>
      <c r="J1521" s="12"/>
      <c r="K1521" s="23"/>
      <c r="L1521" s="23"/>
      <c r="M1521" s="39"/>
      <c r="N1521" s="22" t="str">
        <f t="shared" si="2"/>
        <v>
</v>
      </c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</row>
    <row r="1522">
      <c r="A1522" s="10"/>
      <c r="B1522" s="12"/>
      <c r="C1522" s="12"/>
      <c r="D1522" s="106"/>
      <c r="E1522" s="42"/>
      <c r="F1522" s="49"/>
      <c r="G1522" s="12"/>
      <c r="H1522" s="12"/>
      <c r="I1522" s="23"/>
      <c r="J1522" s="12"/>
      <c r="K1522" s="23"/>
      <c r="L1522" s="23"/>
      <c r="M1522" s="39"/>
      <c r="N1522" s="22" t="str">
        <f t="shared" si="2"/>
        <v>
</v>
      </c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</row>
    <row r="1523">
      <c r="A1523" s="10"/>
      <c r="B1523" s="12"/>
      <c r="C1523" s="12"/>
      <c r="D1523" s="23"/>
      <c r="E1523" s="12"/>
      <c r="F1523" s="49"/>
      <c r="G1523" s="12"/>
      <c r="H1523" s="12"/>
      <c r="I1523" s="23"/>
      <c r="J1523" s="12"/>
      <c r="K1523" s="23"/>
      <c r="L1523" s="23"/>
      <c r="M1523" s="12"/>
      <c r="N1523" s="22" t="str">
        <f t="shared" si="2"/>
        <v>
</v>
      </c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</row>
    <row r="1524">
      <c r="A1524" s="10"/>
      <c r="B1524" s="12"/>
      <c r="C1524" s="12"/>
      <c r="D1524" s="23"/>
      <c r="E1524" s="12"/>
      <c r="F1524" s="12"/>
      <c r="G1524" s="12"/>
      <c r="H1524" s="12"/>
      <c r="I1524" s="23"/>
      <c r="J1524" s="12"/>
      <c r="K1524" s="23"/>
      <c r="L1524" s="23"/>
      <c r="M1524" s="12"/>
      <c r="N1524" s="22" t="str">
        <f t="shared" si="2"/>
        <v>
</v>
      </c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</row>
    <row r="1525">
      <c r="A1525" s="10"/>
      <c r="B1525" s="12"/>
      <c r="C1525" s="12"/>
      <c r="D1525" s="23"/>
      <c r="E1525" s="12"/>
      <c r="F1525" s="12"/>
      <c r="G1525" s="12"/>
      <c r="H1525" s="12"/>
      <c r="I1525" s="23"/>
      <c r="J1525" s="12"/>
      <c r="K1525" s="23"/>
      <c r="L1525" s="23"/>
      <c r="M1525" s="12"/>
      <c r="N1525" s="22" t="str">
        <f t="shared" si="2"/>
        <v>
</v>
      </c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</row>
    <row r="1526">
      <c r="A1526" s="10"/>
      <c r="B1526" s="12"/>
      <c r="C1526" s="12"/>
      <c r="D1526" s="23"/>
      <c r="E1526" s="12"/>
      <c r="F1526" s="12"/>
      <c r="G1526" s="12"/>
      <c r="H1526" s="12"/>
      <c r="I1526" s="23"/>
      <c r="J1526" s="12"/>
      <c r="K1526" s="23"/>
      <c r="L1526" s="23"/>
      <c r="M1526" s="12"/>
      <c r="N1526" s="22" t="str">
        <f t="shared" si="2"/>
        <v>
</v>
      </c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</row>
    <row r="1527">
      <c r="A1527" s="10"/>
      <c r="B1527" s="12"/>
      <c r="C1527" s="12"/>
      <c r="D1527" s="23"/>
      <c r="E1527" s="12"/>
      <c r="F1527" s="12"/>
      <c r="G1527" s="12"/>
      <c r="H1527" s="12"/>
      <c r="I1527" s="23"/>
      <c r="J1527" s="12"/>
      <c r="K1527" s="23"/>
      <c r="L1527" s="23"/>
      <c r="M1527" s="12"/>
      <c r="N1527" s="22" t="str">
        <f t="shared" si="2"/>
        <v>
</v>
      </c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</row>
    <row r="1528">
      <c r="A1528" s="10"/>
      <c r="B1528" s="12"/>
      <c r="C1528" s="12"/>
      <c r="D1528" s="23"/>
      <c r="E1528" s="12"/>
      <c r="F1528" s="12"/>
      <c r="G1528" s="12"/>
      <c r="H1528" s="12"/>
      <c r="I1528" s="23"/>
      <c r="J1528" s="12"/>
      <c r="K1528" s="23"/>
      <c r="L1528" s="23"/>
      <c r="M1528" s="12"/>
      <c r="N1528" s="22" t="str">
        <f t="shared" si="2"/>
        <v>
</v>
      </c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</row>
    <row r="1529">
      <c r="A1529" s="10"/>
      <c r="B1529" s="12"/>
      <c r="C1529" s="12"/>
      <c r="D1529" s="23"/>
      <c r="E1529" s="12"/>
      <c r="F1529" s="12"/>
      <c r="G1529" s="12"/>
      <c r="H1529" s="12"/>
      <c r="I1529" s="23"/>
      <c r="J1529" s="12"/>
      <c r="K1529" s="23"/>
      <c r="L1529" s="23"/>
      <c r="M1529" s="12"/>
      <c r="N1529" s="22" t="str">
        <f t="shared" si="2"/>
        <v>
</v>
      </c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</row>
    <row r="1530">
      <c r="A1530" s="10"/>
      <c r="B1530" s="12"/>
      <c r="C1530" s="12"/>
      <c r="D1530" s="105"/>
      <c r="E1530" s="107"/>
      <c r="F1530" s="12"/>
      <c r="G1530" s="12"/>
      <c r="H1530" s="12"/>
      <c r="I1530" s="23"/>
      <c r="J1530" s="12"/>
      <c r="K1530" s="23"/>
      <c r="L1530" s="23"/>
      <c r="M1530" s="12"/>
      <c r="N1530" s="22" t="str">
        <f t="shared" si="2"/>
        <v>
</v>
      </c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</row>
    <row r="1531">
      <c r="A1531" s="10"/>
      <c r="B1531" s="12"/>
      <c r="C1531" s="12"/>
      <c r="D1531" s="23"/>
      <c r="E1531" s="12"/>
      <c r="F1531" s="12"/>
      <c r="G1531" s="12"/>
      <c r="H1531" s="12"/>
      <c r="I1531" s="23"/>
      <c r="J1531" s="12"/>
      <c r="K1531" s="23"/>
      <c r="L1531" s="23"/>
      <c r="M1531" s="12"/>
      <c r="N1531" s="22" t="str">
        <f t="shared" si="2"/>
        <v>
</v>
      </c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</row>
    <row r="1532">
      <c r="A1532" s="10"/>
      <c r="B1532" s="12"/>
      <c r="C1532" s="12"/>
      <c r="D1532" s="105"/>
      <c r="E1532" s="42"/>
      <c r="F1532" s="12"/>
      <c r="G1532" s="12"/>
      <c r="H1532" s="12"/>
      <c r="I1532" s="23"/>
      <c r="J1532" s="12"/>
      <c r="K1532" s="23"/>
      <c r="L1532" s="23"/>
      <c r="M1532" s="12"/>
      <c r="N1532" s="22" t="str">
        <f t="shared" si="2"/>
        <v>
</v>
      </c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</row>
    <row r="1533">
      <c r="A1533" s="10"/>
      <c r="B1533" s="12"/>
      <c r="C1533" s="12"/>
      <c r="D1533" s="23"/>
      <c r="E1533" s="12"/>
      <c r="F1533" s="12"/>
      <c r="G1533" s="12"/>
      <c r="H1533" s="12"/>
      <c r="I1533" s="23"/>
      <c r="J1533" s="12"/>
      <c r="K1533" s="23"/>
      <c r="L1533" s="23"/>
      <c r="M1533" s="12"/>
      <c r="N1533" s="22" t="str">
        <f t="shared" si="2"/>
        <v>
</v>
      </c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</row>
    <row r="1534">
      <c r="A1534" s="10"/>
      <c r="B1534" s="12"/>
      <c r="C1534" s="12"/>
      <c r="D1534" s="36"/>
      <c r="E1534" s="12"/>
      <c r="F1534" s="12"/>
      <c r="G1534" s="12"/>
      <c r="H1534" s="12"/>
      <c r="I1534" s="23"/>
      <c r="J1534" s="12"/>
      <c r="K1534" s="23"/>
      <c r="L1534" s="23"/>
      <c r="M1534" s="12"/>
      <c r="N1534" s="22" t="str">
        <f t="shared" si="2"/>
        <v>
</v>
      </c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</row>
    <row r="1535">
      <c r="A1535" s="10"/>
      <c r="B1535" s="12"/>
      <c r="C1535" s="12"/>
      <c r="D1535" s="23"/>
      <c r="E1535" s="12"/>
      <c r="F1535" s="12"/>
      <c r="G1535" s="12"/>
      <c r="H1535" s="12"/>
      <c r="I1535" s="23"/>
      <c r="J1535" s="12"/>
      <c r="K1535" s="23"/>
      <c r="L1535" s="23"/>
      <c r="M1535" s="12"/>
      <c r="N1535" s="22" t="str">
        <f t="shared" si="2"/>
        <v>
</v>
      </c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</row>
    <row r="1536">
      <c r="A1536" s="10"/>
      <c r="B1536" s="12"/>
      <c r="C1536" s="12"/>
      <c r="D1536" s="36"/>
      <c r="E1536" s="12"/>
      <c r="F1536" s="12"/>
      <c r="G1536" s="12"/>
      <c r="H1536" s="12"/>
      <c r="I1536" s="23"/>
      <c r="J1536" s="12"/>
      <c r="K1536" s="23"/>
      <c r="L1536" s="23"/>
      <c r="M1536" s="12"/>
      <c r="N1536" s="22" t="str">
        <f t="shared" si="2"/>
        <v>
</v>
      </c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</row>
    <row r="1537">
      <c r="A1537" s="10"/>
      <c r="B1537" s="12"/>
      <c r="C1537" s="12"/>
      <c r="D1537" s="23"/>
      <c r="E1537" s="12"/>
      <c r="F1537" s="12"/>
      <c r="G1537" s="12"/>
      <c r="H1537" s="12"/>
      <c r="I1537" s="23"/>
      <c r="J1537" s="12"/>
      <c r="K1537" s="23"/>
      <c r="L1537" s="23"/>
      <c r="M1537" s="12"/>
      <c r="N1537" s="22" t="str">
        <f t="shared" si="2"/>
        <v>
</v>
      </c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</row>
    <row r="1538">
      <c r="A1538" s="10"/>
      <c r="B1538" s="12"/>
      <c r="C1538" s="12"/>
      <c r="D1538" s="23"/>
      <c r="E1538" s="12"/>
      <c r="F1538" s="12"/>
      <c r="G1538" s="12"/>
      <c r="H1538" s="12"/>
      <c r="I1538" s="23"/>
      <c r="J1538" s="12"/>
      <c r="K1538" s="23"/>
      <c r="L1538" s="23"/>
      <c r="M1538" s="12"/>
      <c r="N1538" s="22" t="str">
        <f t="shared" si="2"/>
        <v>
</v>
      </c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</row>
    <row r="1539">
      <c r="A1539" s="10"/>
      <c r="B1539" s="12"/>
      <c r="C1539" s="12"/>
      <c r="D1539" s="23"/>
      <c r="E1539" s="12"/>
      <c r="F1539" s="12"/>
      <c r="G1539" s="12"/>
      <c r="H1539" s="12"/>
      <c r="I1539" s="23"/>
      <c r="J1539" s="12"/>
      <c r="K1539" s="23"/>
      <c r="L1539" s="23"/>
      <c r="M1539" s="12"/>
      <c r="N1539" s="22" t="str">
        <f t="shared" si="2"/>
        <v>
</v>
      </c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</row>
    <row r="1540">
      <c r="A1540" s="10"/>
      <c r="B1540" s="12"/>
      <c r="C1540" s="12"/>
      <c r="D1540" s="23"/>
      <c r="E1540" s="12"/>
      <c r="F1540" s="12"/>
      <c r="G1540" s="12"/>
      <c r="H1540" s="12"/>
      <c r="I1540" s="23"/>
      <c r="J1540" s="12"/>
      <c r="K1540" s="23"/>
      <c r="L1540" s="23"/>
      <c r="M1540" s="12"/>
      <c r="N1540" s="22" t="str">
        <f t="shared" si="2"/>
        <v>
</v>
      </c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</row>
    <row r="1541">
      <c r="A1541" s="10"/>
      <c r="B1541" s="12"/>
      <c r="C1541" s="12"/>
      <c r="D1541" s="23"/>
      <c r="E1541" s="12"/>
      <c r="F1541" s="12"/>
      <c r="G1541" s="12"/>
      <c r="H1541" s="12"/>
      <c r="I1541" s="23"/>
      <c r="J1541" s="12"/>
      <c r="K1541" s="23"/>
      <c r="L1541" s="23"/>
      <c r="M1541" s="12"/>
      <c r="N1541" s="22" t="str">
        <f t="shared" si="2"/>
        <v>
</v>
      </c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</row>
    <row r="1542">
      <c r="A1542" s="10"/>
      <c r="B1542" s="12"/>
      <c r="C1542" s="12"/>
      <c r="D1542" s="23"/>
      <c r="E1542" s="12"/>
      <c r="F1542" s="12"/>
      <c r="G1542" s="12"/>
      <c r="H1542" s="12"/>
      <c r="I1542" s="23"/>
      <c r="J1542" s="12"/>
      <c r="K1542" s="23"/>
      <c r="L1542" s="23"/>
      <c r="M1542" s="12"/>
      <c r="N1542" s="22" t="str">
        <f t="shared" si="2"/>
        <v>
</v>
      </c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</row>
    <row r="1543">
      <c r="A1543" s="10"/>
      <c r="B1543" s="12"/>
      <c r="C1543" s="12"/>
      <c r="D1543" s="23"/>
      <c r="E1543" s="12"/>
      <c r="F1543" s="12"/>
      <c r="G1543" s="12"/>
      <c r="H1543" s="12"/>
      <c r="I1543" s="23"/>
      <c r="J1543" s="12"/>
      <c r="K1543" s="23"/>
      <c r="L1543" s="23"/>
      <c r="M1543" s="12"/>
      <c r="N1543" s="22" t="str">
        <f t="shared" si="2"/>
        <v>
</v>
      </c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</row>
    <row r="1544">
      <c r="A1544" s="10"/>
      <c r="B1544" s="12"/>
      <c r="C1544" s="12"/>
      <c r="D1544" s="23"/>
      <c r="E1544" s="12"/>
      <c r="F1544" s="12"/>
      <c r="G1544" s="12"/>
      <c r="H1544" s="12"/>
      <c r="I1544" s="23"/>
      <c r="J1544" s="12"/>
      <c r="K1544" s="23"/>
      <c r="L1544" s="23"/>
      <c r="M1544" s="12"/>
      <c r="N1544" s="22" t="str">
        <f t="shared" si="2"/>
        <v>
</v>
      </c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</row>
    <row r="1545">
      <c r="A1545" s="10"/>
      <c r="B1545" s="12"/>
      <c r="C1545" s="12"/>
      <c r="D1545" s="23"/>
      <c r="E1545" s="12"/>
      <c r="F1545" s="12"/>
      <c r="G1545" s="12"/>
      <c r="H1545" s="12"/>
      <c r="I1545" s="23"/>
      <c r="J1545" s="12"/>
      <c r="K1545" s="23"/>
      <c r="L1545" s="23"/>
      <c r="M1545" s="12"/>
      <c r="N1545" s="22" t="str">
        <f t="shared" si="2"/>
        <v>
</v>
      </c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</row>
    <row r="1546">
      <c r="A1546" s="10"/>
      <c r="B1546" s="12"/>
      <c r="C1546" s="12"/>
      <c r="D1546" s="23"/>
      <c r="E1546" s="12"/>
      <c r="F1546" s="12"/>
      <c r="G1546" s="12"/>
      <c r="H1546" s="12"/>
      <c r="I1546" s="23"/>
      <c r="J1546" s="12"/>
      <c r="K1546" s="23"/>
      <c r="L1546" s="23"/>
      <c r="M1546" s="12"/>
      <c r="N1546" s="22" t="str">
        <f t="shared" si="2"/>
        <v>
</v>
      </c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</row>
    <row r="1547">
      <c r="A1547" s="10"/>
      <c r="B1547" s="12"/>
      <c r="C1547" s="12"/>
      <c r="D1547" s="23"/>
      <c r="E1547" s="12"/>
      <c r="F1547" s="12"/>
      <c r="G1547" s="12"/>
      <c r="H1547" s="12"/>
      <c r="I1547" s="23"/>
      <c r="J1547" s="12"/>
      <c r="K1547" s="23"/>
      <c r="L1547" s="23"/>
      <c r="M1547" s="12"/>
      <c r="N1547" s="22" t="str">
        <f t="shared" si="2"/>
        <v>
</v>
      </c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</row>
    <row r="1548">
      <c r="A1548" s="10"/>
      <c r="B1548" s="12"/>
      <c r="C1548" s="12"/>
      <c r="D1548" s="23"/>
      <c r="E1548" s="12"/>
      <c r="F1548" s="12"/>
      <c r="G1548" s="12"/>
      <c r="H1548" s="12"/>
      <c r="I1548" s="23"/>
      <c r="J1548" s="12"/>
      <c r="K1548" s="23"/>
      <c r="L1548" s="23"/>
      <c r="M1548" s="12"/>
      <c r="N1548" s="22" t="str">
        <f t="shared" si="2"/>
        <v>
</v>
      </c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</row>
    <row r="1549">
      <c r="A1549" s="10"/>
      <c r="B1549" s="12"/>
      <c r="C1549" s="12"/>
      <c r="D1549" s="23"/>
      <c r="E1549" s="12"/>
      <c r="F1549" s="12"/>
      <c r="G1549" s="12"/>
      <c r="H1549" s="12"/>
      <c r="I1549" s="23"/>
      <c r="J1549" s="12"/>
      <c r="K1549" s="23"/>
      <c r="L1549" s="23"/>
      <c r="M1549" s="12"/>
      <c r="N1549" s="22" t="str">
        <f t="shared" si="2"/>
        <v>
</v>
      </c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</row>
    <row r="1550">
      <c r="A1550" s="10"/>
      <c r="B1550" s="12"/>
      <c r="C1550" s="12"/>
      <c r="D1550" s="23"/>
      <c r="E1550" s="12"/>
      <c r="F1550" s="12"/>
      <c r="G1550" s="12"/>
      <c r="H1550" s="12"/>
      <c r="I1550" s="23"/>
      <c r="J1550" s="12"/>
      <c r="K1550" s="23"/>
      <c r="L1550" s="23"/>
      <c r="M1550" s="12"/>
      <c r="N1550" s="22" t="str">
        <f t="shared" si="2"/>
        <v>
</v>
      </c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</row>
    <row r="1551">
      <c r="A1551" s="10"/>
      <c r="B1551" s="12"/>
      <c r="C1551" s="12"/>
      <c r="D1551" s="23"/>
      <c r="E1551" s="12"/>
      <c r="F1551" s="12"/>
      <c r="G1551" s="12"/>
      <c r="H1551" s="12"/>
      <c r="I1551" s="23"/>
      <c r="J1551" s="12"/>
      <c r="K1551" s="23"/>
      <c r="L1551" s="23"/>
      <c r="M1551" s="12"/>
      <c r="N1551" s="22" t="str">
        <f t="shared" si="2"/>
        <v>
</v>
      </c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</row>
    <row r="1552">
      <c r="A1552" s="10"/>
      <c r="B1552" s="12"/>
      <c r="C1552" s="12"/>
      <c r="D1552" s="23"/>
      <c r="E1552" s="12"/>
      <c r="F1552" s="12"/>
      <c r="G1552" s="12"/>
      <c r="H1552" s="12"/>
      <c r="I1552" s="23"/>
      <c r="J1552" s="12"/>
      <c r="K1552" s="23"/>
      <c r="L1552" s="23"/>
      <c r="M1552" s="12"/>
      <c r="N1552" s="22" t="str">
        <f t="shared" si="2"/>
        <v>
</v>
      </c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</row>
    <row r="1553">
      <c r="A1553" s="10"/>
      <c r="B1553" s="12"/>
      <c r="C1553" s="12"/>
      <c r="D1553" s="23"/>
      <c r="E1553" s="12"/>
      <c r="F1553" s="12"/>
      <c r="G1553" s="12"/>
      <c r="H1553" s="12"/>
      <c r="I1553" s="23"/>
      <c r="J1553" s="12"/>
      <c r="K1553" s="23"/>
      <c r="L1553" s="23"/>
      <c r="M1553" s="12"/>
      <c r="N1553" s="22" t="str">
        <f t="shared" si="2"/>
        <v>
</v>
      </c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</row>
    <row r="1554">
      <c r="A1554" s="10"/>
      <c r="B1554" s="12"/>
      <c r="C1554" s="12"/>
      <c r="D1554" s="23"/>
      <c r="E1554" s="12"/>
      <c r="F1554" s="12"/>
      <c r="G1554" s="12"/>
      <c r="H1554" s="12"/>
      <c r="I1554" s="23"/>
      <c r="J1554" s="12"/>
      <c r="K1554" s="23"/>
      <c r="L1554" s="23"/>
      <c r="M1554" s="12"/>
      <c r="N1554" s="22" t="str">
        <f t="shared" si="2"/>
        <v>
</v>
      </c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</row>
    <row r="1555">
      <c r="A1555" s="10"/>
      <c r="B1555" s="89"/>
      <c r="C1555" s="108"/>
      <c r="D1555" s="83"/>
      <c r="E1555" s="98"/>
      <c r="F1555" s="89"/>
      <c r="G1555" s="89"/>
      <c r="H1555" s="89"/>
      <c r="I1555" s="89"/>
      <c r="J1555" s="91"/>
      <c r="K1555" s="89"/>
      <c r="L1555" s="89"/>
      <c r="M1555" s="109"/>
      <c r="N1555" s="22" t="str">
        <f t="shared" si="2"/>
        <v>
</v>
      </c>
      <c r="O1555" s="110"/>
      <c r="P1555" s="110"/>
      <c r="Q1555" s="110"/>
      <c r="R1555" s="110"/>
      <c r="S1555" s="110"/>
      <c r="T1555" s="110"/>
      <c r="U1555" s="110"/>
      <c r="V1555" s="110"/>
      <c r="W1555" s="110"/>
      <c r="X1555" s="26"/>
    </row>
    <row r="1556">
      <c r="A1556" s="10"/>
      <c r="B1556" s="12"/>
      <c r="C1556" s="12"/>
      <c r="D1556" s="23"/>
      <c r="E1556" s="12"/>
      <c r="F1556" s="12"/>
      <c r="G1556" s="12"/>
      <c r="H1556" s="12"/>
      <c r="I1556" s="23"/>
      <c r="J1556" s="12"/>
      <c r="K1556" s="23"/>
      <c r="L1556" s="23"/>
      <c r="M1556" s="12"/>
      <c r="N1556" s="22" t="str">
        <f t="shared" si="2"/>
        <v>
</v>
      </c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</row>
    <row r="1557">
      <c r="A1557" s="10"/>
      <c r="B1557" s="12"/>
      <c r="C1557" s="12"/>
      <c r="D1557" s="23"/>
      <c r="E1557" s="12"/>
      <c r="F1557" s="12"/>
      <c r="G1557" s="12"/>
      <c r="H1557" s="12"/>
      <c r="I1557" s="23"/>
      <c r="J1557" s="12"/>
      <c r="K1557" s="23"/>
      <c r="L1557" s="23"/>
      <c r="M1557" s="39"/>
      <c r="N1557" s="22" t="str">
        <f t="shared" si="2"/>
        <v>
</v>
      </c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</row>
    <row r="1558">
      <c r="A1558" s="10"/>
      <c r="B1558" s="12"/>
      <c r="C1558" s="12"/>
      <c r="D1558" s="23"/>
      <c r="E1558" s="12"/>
      <c r="F1558" s="12"/>
      <c r="G1558" s="12"/>
      <c r="H1558" s="12"/>
      <c r="I1558" s="23"/>
      <c r="J1558" s="12"/>
      <c r="K1558" s="23"/>
      <c r="L1558" s="23"/>
      <c r="M1558" s="12"/>
      <c r="N1558" s="22" t="str">
        <f t="shared" si="2"/>
        <v>
</v>
      </c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</row>
    <row r="1559">
      <c r="A1559" s="10"/>
      <c r="B1559" s="12"/>
      <c r="C1559" s="12"/>
      <c r="D1559" s="23"/>
      <c r="E1559" s="12"/>
      <c r="F1559" s="12"/>
      <c r="G1559" s="12"/>
      <c r="H1559" s="12"/>
      <c r="I1559" s="23"/>
      <c r="J1559" s="12"/>
      <c r="K1559" s="23"/>
      <c r="L1559" s="23"/>
      <c r="M1559" s="12"/>
      <c r="N1559" s="22" t="str">
        <f t="shared" si="2"/>
        <v>
</v>
      </c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</row>
    <row r="1560">
      <c r="A1560" s="10"/>
      <c r="B1560" s="12"/>
      <c r="C1560" s="12"/>
      <c r="D1560" s="23"/>
      <c r="E1560" s="12"/>
      <c r="F1560" s="12"/>
      <c r="G1560" s="12"/>
      <c r="H1560" s="12"/>
      <c r="I1560" s="23"/>
      <c r="J1560" s="12"/>
      <c r="K1560" s="23"/>
      <c r="L1560" s="23"/>
      <c r="M1560" s="12"/>
      <c r="N1560" s="22" t="str">
        <f t="shared" si="2"/>
        <v>
</v>
      </c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</row>
    <row r="1561">
      <c r="A1561" s="10"/>
      <c r="B1561" s="12"/>
      <c r="C1561" s="12"/>
      <c r="D1561" s="23"/>
      <c r="E1561" s="12"/>
      <c r="F1561" s="12"/>
      <c r="G1561" s="12"/>
      <c r="H1561" s="12"/>
      <c r="I1561" s="23"/>
      <c r="J1561" s="12"/>
      <c r="K1561" s="23"/>
      <c r="L1561" s="23"/>
      <c r="M1561" s="12"/>
      <c r="N1561" s="22" t="str">
        <f t="shared" si="2"/>
        <v>
</v>
      </c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</row>
    <row r="1562">
      <c r="A1562" s="10"/>
      <c r="B1562" s="12"/>
      <c r="C1562" s="12"/>
      <c r="D1562" s="23"/>
      <c r="E1562" s="12"/>
      <c r="F1562" s="12"/>
      <c r="G1562" s="39"/>
      <c r="H1562" s="12"/>
      <c r="I1562" s="23"/>
      <c r="J1562" s="12"/>
      <c r="K1562" s="23"/>
      <c r="L1562" s="23"/>
      <c r="M1562" s="12"/>
      <c r="N1562" s="22" t="str">
        <f t="shared" si="2"/>
        <v>
</v>
      </c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</row>
    <row r="1563">
      <c r="A1563" s="10"/>
      <c r="B1563" s="12"/>
      <c r="C1563" s="12"/>
      <c r="D1563" s="23"/>
      <c r="E1563" s="12"/>
      <c r="F1563" s="12"/>
      <c r="G1563" s="12"/>
      <c r="H1563" s="12"/>
      <c r="I1563" s="23"/>
      <c r="J1563" s="12"/>
      <c r="K1563" s="23"/>
      <c r="L1563" s="23"/>
      <c r="M1563" s="12"/>
      <c r="N1563" s="22" t="str">
        <f t="shared" si="2"/>
        <v>
</v>
      </c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</row>
    <row r="1564">
      <c r="A1564" s="10"/>
      <c r="B1564" s="12"/>
      <c r="C1564" s="12"/>
      <c r="D1564" s="23"/>
      <c r="E1564" s="12"/>
      <c r="F1564" s="12"/>
      <c r="G1564" s="12"/>
      <c r="H1564" s="12"/>
      <c r="I1564" s="23"/>
      <c r="J1564" s="12"/>
      <c r="K1564" s="23"/>
      <c r="L1564" s="23"/>
      <c r="M1564" s="12"/>
      <c r="N1564" s="22" t="str">
        <f t="shared" si="2"/>
        <v>
</v>
      </c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</row>
    <row r="1565">
      <c r="A1565" s="10"/>
      <c r="B1565" s="12"/>
      <c r="C1565" s="12"/>
      <c r="D1565" s="23"/>
      <c r="E1565" s="12"/>
      <c r="F1565" s="12"/>
      <c r="G1565" s="12"/>
      <c r="H1565" s="12"/>
      <c r="I1565" s="23"/>
      <c r="J1565" s="12"/>
      <c r="K1565" s="23"/>
      <c r="L1565" s="23"/>
      <c r="M1565" s="39"/>
      <c r="N1565" s="22" t="str">
        <f t="shared" si="2"/>
        <v>
</v>
      </c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</row>
    <row r="1566">
      <c r="A1566" s="10"/>
      <c r="B1566" s="12"/>
      <c r="C1566" s="12"/>
      <c r="D1566" s="23"/>
      <c r="E1566" s="12"/>
      <c r="F1566" s="12"/>
      <c r="G1566" s="12"/>
      <c r="H1566" s="12"/>
      <c r="I1566" s="23"/>
      <c r="J1566" s="12"/>
      <c r="K1566" s="23"/>
      <c r="L1566" s="23"/>
      <c r="M1566" s="12"/>
      <c r="N1566" s="22" t="str">
        <f t="shared" si="2"/>
        <v>
</v>
      </c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</row>
    <row r="1567">
      <c r="A1567" s="10"/>
      <c r="B1567" s="12"/>
      <c r="C1567" s="12"/>
      <c r="D1567" s="23"/>
      <c r="E1567" s="12"/>
      <c r="F1567" s="12"/>
      <c r="G1567" s="12"/>
      <c r="H1567" s="12"/>
      <c r="I1567" s="23"/>
      <c r="J1567" s="12"/>
      <c r="K1567" s="23"/>
      <c r="L1567" s="23"/>
      <c r="M1567" s="12"/>
      <c r="N1567" s="22" t="str">
        <f t="shared" si="2"/>
        <v>
</v>
      </c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</row>
    <row r="1568">
      <c r="A1568" s="10"/>
      <c r="B1568" s="12"/>
      <c r="C1568" s="12"/>
      <c r="D1568" s="23"/>
      <c r="E1568" s="12"/>
      <c r="F1568" s="12"/>
      <c r="G1568" s="12"/>
      <c r="H1568" s="12"/>
      <c r="I1568" s="23"/>
      <c r="J1568" s="12"/>
      <c r="K1568" s="23"/>
      <c r="L1568" s="23"/>
      <c r="M1568" s="12"/>
      <c r="N1568" s="22" t="str">
        <f t="shared" si="2"/>
        <v>
</v>
      </c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</row>
    <row r="1569">
      <c r="A1569" s="10"/>
      <c r="B1569" s="12"/>
      <c r="C1569" s="12"/>
      <c r="D1569" s="23"/>
      <c r="E1569" s="12"/>
      <c r="F1569" s="12"/>
      <c r="G1569" s="12"/>
      <c r="H1569" s="12"/>
      <c r="I1569" s="23"/>
      <c r="J1569" s="12"/>
      <c r="K1569" s="23"/>
      <c r="L1569" s="23"/>
      <c r="M1569" s="12"/>
      <c r="N1569" s="22" t="str">
        <f t="shared" si="2"/>
        <v>
</v>
      </c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</row>
    <row r="1570">
      <c r="A1570" s="10"/>
      <c r="B1570" s="12"/>
      <c r="C1570" s="12"/>
      <c r="D1570" s="23"/>
      <c r="E1570" s="12"/>
      <c r="F1570" s="12"/>
      <c r="G1570" s="12"/>
      <c r="H1570" s="12"/>
      <c r="I1570" s="23"/>
      <c r="J1570" s="12"/>
      <c r="K1570" s="23"/>
      <c r="L1570" s="23"/>
      <c r="M1570" s="39"/>
      <c r="N1570" s="22" t="str">
        <f t="shared" si="2"/>
        <v>
</v>
      </c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</row>
    <row r="1571">
      <c r="A1571" s="10"/>
      <c r="B1571" s="12"/>
      <c r="C1571" s="12"/>
      <c r="D1571" s="23"/>
      <c r="E1571" s="12"/>
      <c r="F1571" s="12"/>
      <c r="G1571" s="12"/>
      <c r="H1571" s="12"/>
      <c r="I1571" s="23"/>
      <c r="J1571" s="12"/>
      <c r="K1571" s="23"/>
      <c r="L1571" s="23"/>
      <c r="M1571" s="12"/>
      <c r="N1571" s="22" t="str">
        <f t="shared" si="2"/>
        <v>
</v>
      </c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</row>
    <row r="1572">
      <c r="A1572" s="10"/>
      <c r="B1572" s="12"/>
      <c r="C1572" s="12"/>
      <c r="D1572" s="23"/>
      <c r="E1572" s="12"/>
      <c r="F1572" s="12"/>
      <c r="G1572" s="12"/>
      <c r="H1572" s="12"/>
      <c r="I1572" s="23"/>
      <c r="J1572" s="12"/>
      <c r="K1572" s="23"/>
      <c r="L1572" s="23"/>
      <c r="M1572" s="12"/>
      <c r="N1572" s="22" t="str">
        <f t="shared" si="2"/>
        <v>
</v>
      </c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</row>
    <row r="1573">
      <c r="A1573" s="10"/>
      <c r="B1573" s="12"/>
      <c r="C1573" s="12"/>
      <c r="D1573" s="23"/>
      <c r="E1573" s="12"/>
      <c r="F1573" s="12"/>
      <c r="G1573" s="12"/>
      <c r="H1573" s="12"/>
      <c r="I1573" s="23"/>
      <c r="J1573" s="12"/>
      <c r="K1573" s="23"/>
      <c r="L1573" s="23"/>
      <c r="M1573" s="12"/>
      <c r="N1573" s="22" t="str">
        <f t="shared" si="2"/>
        <v>
</v>
      </c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</row>
    <row r="1574">
      <c r="A1574" s="10"/>
      <c r="B1574" s="12"/>
      <c r="C1574" s="12"/>
      <c r="D1574" s="23"/>
      <c r="E1574" s="12"/>
      <c r="F1574" s="12"/>
      <c r="G1574" s="12"/>
      <c r="H1574" s="12"/>
      <c r="I1574" s="23"/>
      <c r="J1574" s="12"/>
      <c r="K1574" s="23"/>
      <c r="L1574" s="23"/>
      <c r="M1574" s="12"/>
      <c r="N1574" s="22" t="str">
        <f t="shared" si="2"/>
        <v>
</v>
      </c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</row>
    <row r="1575">
      <c r="A1575" s="12"/>
      <c r="B1575" s="12"/>
      <c r="C1575" s="12"/>
      <c r="D1575" s="23"/>
      <c r="E1575" s="12"/>
      <c r="F1575" s="12"/>
      <c r="G1575" s="12"/>
      <c r="H1575" s="12"/>
      <c r="I1575" s="23"/>
      <c r="J1575" s="12"/>
      <c r="K1575" s="23"/>
      <c r="L1575" s="23"/>
      <c r="M1575" s="12"/>
      <c r="N1575" s="22" t="str">
        <f t="shared" si="2"/>
        <v>
</v>
      </c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</row>
    <row r="1576">
      <c r="A1576" s="12"/>
      <c r="B1576" s="12"/>
      <c r="C1576" s="12"/>
      <c r="D1576" s="23"/>
      <c r="E1576" s="12"/>
      <c r="F1576" s="12"/>
      <c r="G1576" s="12"/>
      <c r="H1576" s="12"/>
      <c r="I1576" s="23"/>
      <c r="J1576" s="12"/>
      <c r="K1576" s="23"/>
      <c r="L1576" s="23"/>
      <c r="M1576" s="12"/>
      <c r="N1576" s="22" t="str">
        <f t="shared" si="2"/>
        <v>
</v>
      </c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</row>
    <row r="1577">
      <c r="A1577" s="12"/>
      <c r="B1577" s="12"/>
      <c r="C1577" s="12"/>
      <c r="D1577" s="23"/>
      <c r="E1577" s="12"/>
      <c r="F1577" s="12"/>
      <c r="G1577" s="12"/>
      <c r="H1577" s="12"/>
      <c r="I1577" s="23"/>
      <c r="J1577" s="12"/>
      <c r="K1577" s="23"/>
      <c r="L1577" s="23"/>
      <c r="M1577" s="12"/>
      <c r="N1577" s="22" t="str">
        <f t="shared" si="2"/>
        <v>
</v>
      </c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</row>
    <row r="1578">
      <c r="A1578" s="12"/>
      <c r="B1578" s="12"/>
      <c r="C1578" s="12"/>
      <c r="D1578" s="47"/>
      <c r="E1578" s="12"/>
      <c r="F1578" s="12"/>
      <c r="G1578" s="12"/>
      <c r="H1578" s="12"/>
      <c r="I1578" s="23"/>
      <c r="J1578" s="12"/>
      <c r="K1578" s="23"/>
      <c r="L1578" s="23"/>
      <c r="M1578" s="12"/>
      <c r="N1578" s="22" t="str">
        <f t="shared" si="2"/>
        <v>
</v>
      </c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</row>
    <row r="1579">
      <c r="A1579" s="12"/>
      <c r="B1579" s="12"/>
      <c r="C1579" s="12"/>
      <c r="D1579" s="23"/>
      <c r="E1579" s="12"/>
      <c r="F1579" s="12"/>
      <c r="G1579" s="12"/>
      <c r="H1579" s="12"/>
      <c r="I1579" s="23"/>
      <c r="J1579" s="12"/>
      <c r="K1579" s="23"/>
      <c r="L1579" s="23"/>
      <c r="M1579" s="12"/>
      <c r="N1579" s="22" t="str">
        <f t="shared" si="2"/>
        <v>
</v>
      </c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</row>
    <row r="1580">
      <c r="A1580" s="12"/>
      <c r="B1580" s="12"/>
      <c r="C1580" s="12"/>
      <c r="D1580" s="23"/>
      <c r="E1580" s="12"/>
      <c r="F1580" s="12"/>
      <c r="G1580" s="12"/>
      <c r="H1580" s="12"/>
      <c r="I1580" s="23"/>
      <c r="J1580" s="12"/>
      <c r="K1580" s="23"/>
      <c r="L1580" s="23"/>
      <c r="M1580" s="12"/>
      <c r="N1580" s="22" t="str">
        <f t="shared" si="2"/>
        <v>
</v>
      </c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</row>
    <row r="1581">
      <c r="A1581" s="12"/>
      <c r="B1581" s="12"/>
      <c r="C1581" s="12"/>
      <c r="D1581" s="23"/>
      <c r="E1581" s="12"/>
      <c r="F1581" s="12"/>
      <c r="G1581" s="12"/>
      <c r="H1581" s="12"/>
      <c r="I1581" s="23"/>
      <c r="J1581" s="12"/>
      <c r="K1581" s="23"/>
      <c r="L1581" s="23"/>
      <c r="M1581" s="12"/>
      <c r="N1581" s="22" t="str">
        <f t="shared" si="2"/>
        <v>
</v>
      </c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</row>
    <row r="1582">
      <c r="A1582" s="12"/>
      <c r="B1582" s="12"/>
      <c r="C1582" s="12"/>
      <c r="D1582" s="23"/>
      <c r="E1582" s="12"/>
      <c r="F1582" s="12"/>
      <c r="G1582" s="12"/>
      <c r="H1582" s="12"/>
      <c r="I1582" s="23"/>
      <c r="J1582" s="12"/>
      <c r="K1582" s="23"/>
      <c r="L1582" s="23"/>
      <c r="M1582" s="12"/>
      <c r="N1582" s="22" t="str">
        <f t="shared" si="2"/>
        <v>
</v>
      </c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</row>
    <row r="1583">
      <c r="A1583" s="12"/>
      <c r="B1583" s="12"/>
      <c r="C1583" s="12"/>
      <c r="D1583" s="23"/>
      <c r="E1583" s="12"/>
      <c r="F1583" s="12"/>
      <c r="G1583" s="12"/>
      <c r="H1583" s="12"/>
      <c r="I1583" s="23"/>
      <c r="J1583" s="12"/>
      <c r="K1583" s="23"/>
      <c r="L1583" s="23"/>
      <c r="M1583" s="12"/>
      <c r="N1583" s="22" t="str">
        <f t="shared" si="2"/>
        <v>
</v>
      </c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</row>
    <row r="1584">
      <c r="A1584" s="12"/>
      <c r="B1584" s="12"/>
      <c r="C1584" s="12"/>
      <c r="D1584" s="23"/>
      <c r="E1584" s="12"/>
      <c r="F1584" s="12"/>
      <c r="G1584" s="12"/>
      <c r="H1584" s="12"/>
      <c r="I1584" s="23"/>
      <c r="J1584" s="12"/>
      <c r="K1584" s="23"/>
      <c r="L1584" s="23"/>
      <c r="M1584" s="12"/>
      <c r="N1584" s="22" t="str">
        <f t="shared" si="2"/>
        <v>
</v>
      </c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</row>
    <row r="1585">
      <c r="A1585" s="12"/>
      <c r="B1585" s="12"/>
      <c r="C1585" s="12"/>
      <c r="D1585" s="23"/>
      <c r="E1585" s="12"/>
      <c r="F1585" s="12"/>
      <c r="G1585" s="12"/>
      <c r="H1585" s="12"/>
      <c r="I1585" s="23"/>
      <c r="J1585" s="12"/>
      <c r="K1585" s="23"/>
      <c r="L1585" s="23"/>
      <c r="M1585" s="12"/>
      <c r="N1585" s="22" t="str">
        <f t="shared" si="2"/>
        <v>
</v>
      </c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</row>
    <row r="1586">
      <c r="A1586" s="12"/>
      <c r="B1586" s="12"/>
      <c r="C1586" s="12"/>
      <c r="D1586" s="23"/>
      <c r="E1586" s="12"/>
      <c r="F1586" s="12"/>
      <c r="G1586" s="12"/>
      <c r="H1586" s="12"/>
      <c r="I1586" s="23"/>
      <c r="J1586" s="12"/>
      <c r="K1586" s="23"/>
      <c r="L1586" s="23"/>
      <c r="M1586" s="12"/>
      <c r="N1586" s="22" t="str">
        <f t="shared" si="2"/>
        <v>
</v>
      </c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</row>
    <row r="1587">
      <c r="A1587" s="12"/>
      <c r="B1587" s="12"/>
      <c r="C1587" s="12"/>
      <c r="D1587" s="47"/>
      <c r="E1587" s="12"/>
      <c r="F1587" s="12"/>
      <c r="G1587" s="12"/>
      <c r="H1587" s="12"/>
      <c r="I1587" s="23"/>
      <c r="J1587" s="12"/>
      <c r="K1587" s="23"/>
      <c r="L1587" s="23"/>
      <c r="M1587" s="12"/>
      <c r="N1587" s="22" t="str">
        <f t="shared" si="2"/>
        <v>
</v>
      </c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</row>
    <row r="1588">
      <c r="A1588" s="12"/>
      <c r="B1588" s="12"/>
      <c r="C1588" s="12"/>
      <c r="D1588" s="23"/>
      <c r="E1588" s="12"/>
      <c r="F1588" s="12"/>
      <c r="G1588" s="12"/>
      <c r="H1588" s="12"/>
      <c r="I1588" s="23"/>
      <c r="J1588" s="12"/>
      <c r="K1588" s="23"/>
      <c r="L1588" s="23"/>
      <c r="M1588" s="12"/>
      <c r="N1588" s="22" t="str">
        <f t="shared" si="2"/>
        <v>
</v>
      </c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</row>
    <row r="1589">
      <c r="A1589" s="12"/>
      <c r="B1589" s="12"/>
      <c r="C1589" s="12"/>
      <c r="D1589" s="23"/>
      <c r="E1589" s="12"/>
      <c r="F1589" s="12"/>
      <c r="G1589" s="12"/>
      <c r="H1589" s="12"/>
      <c r="I1589" s="23"/>
      <c r="J1589" s="12"/>
      <c r="K1589" s="23"/>
      <c r="L1589" s="23"/>
      <c r="M1589" s="12"/>
      <c r="N1589" s="22" t="str">
        <f t="shared" si="2"/>
        <v>
</v>
      </c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</row>
    <row r="1590">
      <c r="A1590" s="12"/>
      <c r="B1590" s="12"/>
      <c r="C1590" s="12"/>
      <c r="D1590" s="23"/>
      <c r="E1590" s="12"/>
      <c r="F1590" s="12"/>
      <c r="G1590" s="12"/>
      <c r="H1590" s="12"/>
      <c r="I1590" s="23"/>
      <c r="J1590" s="12"/>
      <c r="K1590" s="23"/>
      <c r="L1590" s="23"/>
      <c r="M1590" s="12"/>
      <c r="N1590" s="22" t="str">
        <f t="shared" si="2"/>
        <v>
</v>
      </c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</row>
    <row r="1591">
      <c r="A1591" s="12"/>
      <c r="B1591" s="12"/>
      <c r="C1591" s="12"/>
      <c r="D1591" s="23"/>
      <c r="E1591" s="12"/>
      <c r="F1591" s="12"/>
      <c r="G1591" s="12"/>
      <c r="H1591" s="12"/>
      <c r="I1591" s="23"/>
      <c r="J1591" s="12"/>
      <c r="K1591" s="23"/>
      <c r="L1591" s="23"/>
      <c r="M1591" s="12"/>
      <c r="N1591" s="22" t="str">
        <f t="shared" si="2"/>
        <v>
</v>
      </c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</row>
    <row r="1592">
      <c r="A1592" s="12"/>
      <c r="B1592" s="12"/>
      <c r="C1592" s="12"/>
      <c r="D1592" s="23"/>
      <c r="E1592" s="12"/>
      <c r="F1592" s="12"/>
      <c r="G1592" s="12"/>
      <c r="H1592" s="12"/>
      <c r="I1592" s="23"/>
      <c r="J1592" s="12"/>
      <c r="K1592" s="23"/>
      <c r="L1592" s="23"/>
      <c r="M1592" s="12"/>
      <c r="N1592" s="22" t="str">
        <f t="shared" si="2"/>
        <v>
</v>
      </c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</row>
    <row r="1593">
      <c r="A1593" s="12"/>
      <c r="B1593" s="12"/>
      <c r="C1593" s="12"/>
      <c r="D1593" s="23"/>
      <c r="E1593" s="12"/>
      <c r="F1593" s="12"/>
      <c r="G1593" s="12"/>
      <c r="H1593" s="12"/>
      <c r="I1593" s="23"/>
      <c r="J1593" s="12"/>
      <c r="K1593" s="23"/>
      <c r="L1593" s="23"/>
      <c r="M1593" s="12"/>
      <c r="N1593" s="22" t="str">
        <f t="shared" si="2"/>
        <v>
</v>
      </c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</row>
    <row r="1594">
      <c r="A1594" s="12"/>
      <c r="B1594" s="12"/>
      <c r="C1594" s="12"/>
      <c r="D1594" s="23"/>
      <c r="E1594" s="12"/>
      <c r="F1594" s="12"/>
      <c r="G1594" s="12"/>
      <c r="H1594" s="12"/>
      <c r="I1594" s="23"/>
      <c r="J1594" s="12"/>
      <c r="K1594" s="23"/>
      <c r="L1594" s="23"/>
      <c r="M1594" s="12"/>
      <c r="N1594" s="22" t="str">
        <f t="shared" si="2"/>
        <v>
</v>
      </c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</row>
    <row r="1595">
      <c r="A1595" s="12"/>
      <c r="B1595" s="89"/>
      <c r="C1595" s="108"/>
      <c r="D1595" s="79"/>
      <c r="E1595" s="89"/>
      <c r="F1595" s="89"/>
      <c r="G1595" s="89"/>
      <c r="H1595" s="89"/>
      <c r="I1595" s="89"/>
      <c r="J1595" s="91"/>
      <c r="K1595" s="89"/>
      <c r="L1595" s="89"/>
      <c r="M1595" s="89"/>
      <c r="N1595" s="22" t="str">
        <f t="shared" si="2"/>
        <v>
</v>
      </c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</row>
    <row r="1596">
      <c r="A1596" s="12"/>
      <c r="B1596" s="111"/>
      <c r="C1596" s="112"/>
      <c r="D1596" s="79"/>
      <c r="E1596" s="89"/>
      <c r="F1596" s="89"/>
      <c r="G1596" s="104"/>
      <c r="H1596" s="89"/>
      <c r="I1596" s="89"/>
      <c r="J1596" s="91"/>
      <c r="K1596" s="89"/>
      <c r="L1596" s="89"/>
      <c r="M1596" s="50"/>
      <c r="N1596" s="22" t="str">
        <f t="shared" si="2"/>
        <v>
</v>
      </c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</row>
    <row r="1597">
      <c r="A1597" s="12"/>
      <c r="B1597" s="89"/>
      <c r="C1597" s="108"/>
      <c r="D1597" s="79"/>
      <c r="E1597" s="89"/>
      <c r="F1597" s="89"/>
      <c r="G1597" s="89"/>
      <c r="H1597" s="89"/>
      <c r="I1597" s="89"/>
      <c r="J1597" s="91"/>
      <c r="K1597" s="89"/>
      <c r="L1597" s="89"/>
      <c r="M1597" s="50"/>
      <c r="N1597" s="22" t="str">
        <f t="shared" si="2"/>
        <v>
</v>
      </c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</row>
    <row r="1598">
      <c r="A1598" s="12"/>
      <c r="B1598" s="89"/>
      <c r="C1598" s="113"/>
      <c r="D1598" s="79"/>
      <c r="E1598" s="89"/>
      <c r="F1598" s="89"/>
      <c r="G1598" s="104"/>
      <c r="H1598" s="89"/>
      <c r="I1598" s="89"/>
      <c r="J1598" s="91"/>
      <c r="K1598" s="89"/>
      <c r="L1598" s="89"/>
      <c r="M1598" s="83"/>
      <c r="N1598" s="50" t="str">
        <f t="shared" si="2"/>
        <v>
</v>
      </c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</row>
    <row r="1599">
      <c r="A1599" s="12"/>
      <c r="B1599" s="89"/>
      <c r="C1599" s="114"/>
      <c r="D1599" s="79"/>
      <c r="E1599" s="89"/>
      <c r="F1599" s="89"/>
      <c r="G1599" s="104"/>
      <c r="H1599" s="89"/>
      <c r="I1599" s="89"/>
      <c r="J1599" s="91"/>
      <c r="K1599" s="89"/>
      <c r="L1599" s="89"/>
      <c r="M1599" s="83"/>
      <c r="N1599" s="22" t="str">
        <f t="shared" si="2"/>
        <v>
</v>
      </c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</row>
    <row r="1600">
      <c r="A1600" s="12"/>
      <c r="B1600" s="89"/>
      <c r="C1600" s="102"/>
      <c r="D1600" s="89"/>
      <c r="E1600" s="89"/>
      <c r="F1600" s="89"/>
      <c r="G1600" s="104"/>
      <c r="H1600" s="89"/>
      <c r="I1600" s="89"/>
      <c r="J1600" s="91"/>
      <c r="K1600" s="89"/>
      <c r="L1600" s="89"/>
      <c r="M1600" s="83"/>
      <c r="N1600" s="22" t="str">
        <f t="shared" si="2"/>
        <v>
</v>
      </c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</row>
    <row r="1601">
      <c r="A1601" s="12"/>
      <c r="B1601" s="12"/>
      <c r="C1601" s="12"/>
      <c r="D1601" s="23"/>
      <c r="E1601" s="12"/>
      <c r="F1601" s="12"/>
      <c r="G1601" s="12"/>
      <c r="H1601" s="12"/>
      <c r="I1601" s="23"/>
      <c r="J1601" s="12"/>
      <c r="K1601" s="23"/>
      <c r="L1601" s="23"/>
      <c r="M1601" s="12"/>
      <c r="N1601" s="22" t="str">
        <f t="shared" si="2"/>
        <v>
</v>
      </c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</row>
    <row r="1602">
      <c r="A1602" s="12"/>
      <c r="B1602" s="12"/>
      <c r="C1602" s="12"/>
      <c r="D1602" s="23"/>
      <c r="E1602" s="12"/>
      <c r="F1602" s="12"/>
      <c r="G1602" s="12"/>
      <c r="H1602" s="12"/>
      <c r="I1602" s="23"/>
      <c r="J1602" s="12"/>
      <c r="K1602" s="23"/>
      <c r="L1602" s="23"/>
      <c r="M1602" s="12"/>
      <c r="N1602" s="22" t="str">
        <f t="shared" si="2"/>
        <v>
</v>
      </c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</row>
    <row r="1603">
      <c r="A1603" s="12"/>
      <c r="B1603" s="12"/>
      <c r="C1603" s="12"/>
      <c r="D1603" s="23"/>
      <c r="E1603" s="12"/>
      <c r="F1603" s="12"/>
      <c r="G1603" s="12"/>
      <c r="H1603" s="12"/>
      <c r="I1603" s="23"/>
      <c r="J1603" s="12"/>
      <c r="K1603" s="23"/>
      <c r="L1603" s="23"/>
      <c r="M1603" s="12"/>
      <c r="N1603" s="22" t="str">
        <f t="shared" si="2"/>
        <v>
</v>
      </c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</row>
    <row r="1604">
      <c r="A1604" s="12"/>
      <c r="B1604" s="12"/>
      <c r="C1604" s="12"/>
      <c r="D1604" s="23"/>
      <c r="E1604" s="12"/>
      <c r="F1604" s="12"/>
      <c r="G1604" s="12"/>
      <c r="H1604" s="12"/>
      <c r="I1604" s="23"/>
      <c r="J1604" s="12"/>
      <c r="K1604" s="23"/>
      <c r="L1604" s="23"/>
      <c r="M1604" s="12"/>
      <c r="N1604" s="22" t="str">
        <f t="shared" si="2"/>
        <v>
</v>
      </c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</row>
    <row r="1605">
      <c r="A1605" s="12"/>
      <c r="B1605" s="12"/>
      <c r="C1605" s="12"/>
      <c r="D1605" s="23"/>
      <c r="E1605" s="12"/>
      <c r="F1605" s="12"/>
      <c r="G1605" s="12"/>
      <c r="H1605" s="12"/>
      <c r="I1605" s="23"/>
      <c r="J1605" s="12"/>
      <c r="K1605" s="23"/>
      <c r="L1605" s="23"/>
      <c r="M1605" s="12"/>
      <c r="N1605" s="22" t="str">
        <f t="shared" si="2"/>
        <v>
</v>
      </c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</row>
    <row r="1606">
      <c r="A1606" s="12"/>
      <c r="B1606" s="12"/>
      <c r="C1606" s="12"/>
      <c r="D1606" s="23"/>
      <c r="E1606" s="12"/>
      <c r="F1606" s="12"/>
      <c r="G1606" s="12"/>
      <c r="H1606" s="12"/>
      <c r="I1606" s="23"/>
      <c r="J1606" s="12"/>
      <c r="K1606" s="23"/>
      <c r="L1606" s="23"/>
      <c r="M1606" s="12"/>
      <c r="N1606" s="22" t="str">
        <f t="shared" si="2"/>
        <v>
</v>
      </c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</row>
    <row r="1607">
      <c r="A1607" s="12"/>
      <c r="B1607" s="12"/>
      <c r="C1607" s="12"/>
      <c r="D1607" s="23"/>
      <c r="E1607" s="12"/>
      <c r="F1607" s="12"/>
      <c r="G1607" s="12"/>
      <c r="H1607" s="12"/>
      <c r="I1607" s="23"/>
      <c r="J1607" s="12"/>
      <c r="K1607" s="23"/>
      <c r="L1607" s="23"/>
      <c r="M1607" s="12"/>
      <c r="N1607" s="22" t="str">
        <f t="shared" si="2"/>
        <v>
</v>
      </c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</row>
    <row r="1608">
      <c r="A1608" s="12"/>
      <c r="B1608" s="12"/>
      <c r="C1608" s="12"/>
      <c r="D1608" s="23"/>
      <c r="E1608" s="12"/>
      <c r="F1608" s="12"/>
      <c r="G1608" s="12"/>
      <c r="H1608" s="12"/>
      <c r="I1608" s="23"/>
      <c r="J1608" s="12"/>
      <c r="K1608" s="23"/>
      <c r="L1608" s="23"/>
      <c r="M1608" s="12"/>
      <c r="N1608" s="22" t="str">
        <f t="shared" si="2"/>
        <v>
</v>
      </c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</row>
    <row r="1609">
      <c r="A1609" s="12"/>
      <c r="B1609" s="12"/>
      <c r="C1609" s="12"/>
      <c r="D1609" s="47"/>
      <c r="E1609" s="12"/>
      <c r="F1609" s="12"/>
      <c r="G1609" s="12"/>
      <c r="H1609" s="12"/>
      <c r="I1609" s="23"/>
      <c r="J1609" s="12"/>
      <c r="K1609" s="23"/>
      <c r="L1609" s="23"/>
      <c r="M1609" s="12"/>
      <c r="N1609" s="22" t="str">
        <f t="shared" si="2"/>
        <v>
</v>
      </c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</row>
    <row r="1610">
      <c r="A1610" s="12"/>
      <c r="B1610" s="12"/>
      <c r="C1610" s="12"/>
      <c r="D1610" s="47"/>
      <c r="E1610" s="12"/>
      <c r="F1610" s="12"/>
      <c r="G1610" s="12"/>
      <c r="H1610" s="12"/>
      <c r="I1610" s="23"/>
      <c r="J1610" s="12"/>
      <c r="K1610" s="23"/>
      <c r="L1610" s="23"/>
      <c r="M1610" s="12"/>
      <c r="N1610" s="22" t="str">
        <f t="shared" si="2"/>
        <v>
</v>
      </c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</row>
    <row r="1611">
      <c r="A1611" s="12"/>
      <c r="B1611" s="12"/>
      <c r="C1611" s="12"/>
      <c r="D1611" s="47"/>
      <c r="E1611" s="12"/>
      <c r="F1611" s="12"/>
      <c r="G1611" s="12"/>
      <c r="H1611" s="12"/>
      <c r="I1611" s="23"/>
      <c r="J1611" s="12"/>
      <c r="K1611" s="23"/>
      <c r="L1611" s="23"/>
      <c r="M1611" s="12"/>
      <c r="N1611" s="22" t="str">
        <f t="shared" si="2"/>
        <v>
</v>
      </c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</row>
    <row r="1612">
      <c r="A1612" s="12"/>
      <c r="B1612" s="12"/>
      <c r="C1612" s="12"/>
      <c r="D1612" s="47"/>
      <c r="E1612" s="12"/>
      <c r="F1612" s="12"/>
      <c r="G1612" s="12"/>
      <c r="H1612" s="12"/>
      <c r="I1612" s="23"/>
      <c r="J1612" s="12"/>
      <c r="K1612" s="23"/>
      <c r="L1612" s="23"/>
      <c r="M1612" s="12"/>
      <c r="N1612" s="22" t="str">
        <f t="shared" si="2"/>
        <v>
</v>
      </c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</row>
    <row r="1613">
      <c r="A1613" s="12"/>
      <c r="B1613" s="12"/>
      <c r="C1613" s="12"/>
      <c r="D1613" s="47"/>
      <c r="E1613" s="12"/>
      <c r="F1613" s="12"/>
      <c r="G1613" s="12"/>
      <c r="H1613" s="12"/>
      <c r="I1613" s="23"/>
      <c r="J1613" s="12"/>
      <c r="K1613" s="23"/>
      <c r="L1613" s="23"/>
      <c r="M1613" s="12"/>
      <c r="N1613" s="22" t="str">
        <f t="shared" si="2"/>
        <v>
</v>
      </c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</row>
    <row r="1614">
      <c r="A1614" s="12"/>
      <c r="B1614" s="12"/>
      <c r="C1614" s="12"/>
      <c r="D1614" s="23"/>
      <c r="E1614" s="12"/>
      <c r="F1614" s="12"/>
      <c r="G1614" s="12"/>
      <c r="H1614" s="12"/>
      <c r="I1614" s="23"/>
      <c r="J1614" s="12"/>
      <c r="K1614" s="23"/>
      <c r="L1614" s="23"/>
      <c r="M1614" s="12"/>
      <c r="N1614" s="22" t="str">
        <f t="shared" si="2"/>
        <v>
</v>
      </c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</row>
    <row r="1615">
      <c r="A1615" s="12"/>
      <c r="B1615" s="12"/>
      <c r="C1615" s="12"/>
      <c r="D1615" s="47"/>
      <c r="E1615" s="12"/>
      <c r="F1615" s="12"/>
      <c r="G1615" s="12"/>
      <c r="H1615" s="12"/>
      <c r="I1615" s="23"/>
      <c r="J1615" s="12"/>
      <c r="K1615" s="23"/>
      <c r="L1615" s="23"/>
      <c r="M1615" s="12"/>
      <c r="N1615" s="22" t="str">
        <f t="shared" si="2"/>
        <v>
</v>
      </c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</row>
    <row r="1616">
      <c r="A1616" s="42"/>
      <c r="B1616" s="42"/>
      <c r="C1616" s="42"/>
      <c r="D1616" s="105"/>
      <c r="E1616" s="42"/>
      <c r="F1616" s="42"/>
      <c r="G1616" s="42"/>
      <c r="H1616" s="42"/>
      <c r="I1616" s="105"/>
      <c r="J1616" s="42"/>
      <c r="K1616" s="105"/>
      <c r="L1616" s="105"/>
      <c r="M1616" s="42"/>
      <c r="N1616" s="44" t="str">
        <f t="shared" si="2"/>
        <v>
</v>
      </c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</row>
    <row r="1617">
      <c r="A1617" s="12"/>
      <c r="B1617" s="12"/>
      <c r="C1617" s="12"/>
      <c r="D1617" s="23"/>
      <c r="E1617" s="12"/>
      <c r="F1617" s="12"/>
      <c r="G1617" s="12"/>
      <c r="H1617" s="12"/>
      <c r="I1617" s="23"/>
      <c r="J1617" s="12"/>
      <c r="K1617" s="23"/>
      <c r="L1617" s="23"/>
      <c r="M1617" s="12"/>
      <c r="N1617" s="22" t="str">
        <f t="shared" si="2"/>
        <v>
</v>
      </c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</row>
    <row r="1618">
      <c r="A1618" s="12"/>
      <c r="B1618" s="12"/>
      <c r="C1618" s="12"/>
      <c r="D1618" s="23"/>
      <c r="E1618" s="12"/>
      <c r="F1618" s="12"/>
      <c r="G1618" s="12"/>
      <c r="H1618" s="12"/>
      <c r="I1618" s="23"/>
      <c r="J1618" s="12"/>
      <c r="K1618" s="23"/>
      <c r="L1618" s="23"/>
      <c r="M1618" s="12"/>
      <c r="N1618" s="22" t="str">
        <f t="shared" si="2"/>
        <v>
</v>
      </c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</row>
    <row r="1619">
      <c r="A1619" s="42"/>
      <c r="B1619" s="42"/>
      <c r="C1619" s="42"/>
      <c r="D1619" s="105"/>
      <c r="E1619" s="42"/>
      <c r="F1619" s="42"/>
      <c r="G1619" s="42"/>
      <c r="H1619" s="42"/>
      <c r="I1619" s="105"/>
      <c r="J1619" s="42"/>
      <c r="K1619" s="105"/>
      <c r="L1619" s="105"/>
      <c r="M1619" s="42"/>
      <c r="N1619" s="44" t="str">
        <f t="shared" si="2"/>
        <v>
</v>
      </c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</row>
    <row r="1620">
      <c r="A1620" s="12"/>
      <c r="B1620" s="12"/>
      <c r="C1620" s="12"/>
      <c r="D1620" s="23"/>
      <c r="E1620" s="12"/>
      <c r="F1620" s="12"/>
      <c r="G1620" s="12"/>
      <c r="H1620" s="12"/>
      <c r="I1620" s="23"/>
      <c r="J1620" s="12"/>
      <c r="K1620" s="23"/>
      <c r="L1620" s="23"/>
      <c r="M1620" s="12"/>
      <c r="N1620" s="22" t="str">
        <f t="shared" si="2"/>
        <v>
</v>
      </c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</row>
    <row r="1621">
      <c r="A1621" s="87"/>
      <c r="B1621" s="73"/>
      <c r="C1621" s="73"/>
      <c r="D1621" s="115"/>
      <c r="E1621" s="73"/>
      <c r="F1621" s="73"/>
      <c r="G1621" s="73"/>
      <c r="H1621" s="73"/>
      <c r="I1621" s="95"/>
      <c r="J1621" s="73"/>
      <c r="K1621" s="95"/>
      <c r="L1621" s="95"/>
      <c r="M1621" s="87"/>
      <c r="N1621" s="44" t="str">
        <f t="shared" si="2"/>
        <v>
</v>
      </c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</row>
    <row r="1622">
      <c r="A1622" s="12"/>
      <c r="B1622" s="73"/>
      <c r="C1622" s="73"/>
      <c r="D1622" s="116"/>
      <c r="E1622" s="73"/>
      <c r="F1622" s="73"/>
      <c r="G1622" s="73"/>
      <c r="H1622" s="73"/>
      <c r="I1622" s="95"/>
      <c r="J1622" s="73"/>
      <c r="K1622" s="95"/>
      <c r="L1622" s="95"/>
      <c r="M1622" s="12"/>
      <c r="N1622" s="44" t="str">
        <f t="shared" si="2"/>
        <v>
</v>
      </c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</row>
    <row r="1623">
      <c r="A1623" s="87"/>
      <c r="B1623" s="73"/>
      <c r="C1623" s="73"/>
      <c r="D1623" s="116"/>
      <c r="E1623" s="73"/>
      <c r="F1623" s="73"/>
      <c r="G1623" s="73"/>
      <c r="H1623" s="73"/>
      <c r="I1623" s="95"/>
      <c r="J1623" s="73"/>
      <c r="K1623" s="95"/>
      <c r="L1623" s="95"/>
      <c r="M1623" s="12"/>
      <c r="N1623" s="44" t="str">
        <f t="shared" si="2"/>
        <v>
</v>
      </c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</row>
    <row r="1624">
      <c r="A1624" s="12"/>
      <c r="B1624" s="73"/>
      <c r="C1624" s="73"/>
      <c r="D1624" s="116"/>
      <c r="E1624" s="73"/>
      <c r="F1624" s="73"/>
      <c r="G1624" s="73"/>
      <c r="H1624" s="73"/>
      <c r="I1624" s="95"/>
      <c r="J1624" s="73"/>
      <c r="K1624" s="95"/>
      <c r="L1624" s="95"/>
      <c r="M1624" s="12"/>
      <c r="N1624" s="117" t="str">
        <f t="shared" si="2"/>
        <v>
</v>
      </c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</row>
    <row r="1625">
      <c r="A1625" s="87"/>
      <c r="B1625" s="73"/>
      <c r="C1625" s="73"/>
      <c r="D1625" s="116"/>
      <c r="E1625" s="73"/>
      <c r="F1625" s="73"/>
      <c r="G1625" s="73"/>
      <c r="H1625" s="73"/>
      <c r="I1625" s="95"/>
      <c r="J1625" s="73"/>
      <c r="K1625" s="95"/>
      <c r="L1625" s="95"/>
      <c r="M1625" s="12"/>
      <c r="N1625" s="44" t="str">
        <f t="shared" si="2"/>
        <v>
</v>
      </c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</row>
    <row r="1626">
      <c r="A1626" s="12"/>
      <c r="B1626" s="73"/>
      <c r="C1626" s="73"/>
      <c r="D1626" s="116"/>
      <c r="E1626" s="73"/>
      <c r="F1626" s="73"/>
      <c r="G1626" s="73"/>
      <c r="H1626" s="73"/>
      <c r="I1626" s="95"/>
      <c r="J1626" s="73"/>
      <c r="K1626" s="95"/>
      <c r="L1626" s="95"/>
      <c r="M1626" s="12"/>
      <c r="N1626" s="44" t="str">
        <f t="shared" si="2"/>
        <v>
</v>
      </c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</row>
    <row r="1627">
      <c r="A1627" s="87"/>
      <c r="B1627" s="73"/>
      <c r="C1627" s="73"/>
      <c r="D1627" s="116"/>
      <c r="E1627" s="73"/>
      <c r="F1627" s="73"/>
      <c r="G1627" s="73"/>
      <c r="H1627" s="73"/>
      <c r="I1627" s="95"/>
      <c r="J1627" s="73"/>
      <c r="K1627" s="95"/>
      <c r="L1627" s="95"/>
      <c r="M1627" s="12"/>
      <c r="N1627" s="44" t="str">
        <f t="shared" si="2"/>
        <v>
</v>
      </c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</row>
    <row r="1628">
      <c r="A1628" s="12"/>
      <c r="B1628" s="73"/>
      <c r="C1628" s="73"/>
      <c r="D1628" s="116"/>
      <c r="E1628" s="73"/>
      <c r="F1628" s="73"/>
      <c r="G1628" s="73"/>
      <c r="H1628" s="73"/>
      <c r="I1628" s="95"/>
      <c r="J1628" s="73"/>
      <c r="K1628" s="95"/>
      <c r="L1628" s="95"/>
      <c r="M1628" s="12"/>
      <c r="N1628" s="44" t="str">
        <f t="shared" si="2"/>
        <v>
</v>
      </c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</row>
    <row r="1629">
      <c r="A1629" s="87"/>
      <c r="B1629" s="73"/>
      <c r="C1629" s="73"/>
      <c r="D1629" s="116"/>
      <c r="E1629" s="73"/>
      <c r="F1629" s="73"/>
      <c r="G1629" s="73"/>
      <c r="H1629" s="73"/>
      <c r="I1629" s="95"/>
      <c r="J1629" s="73"/>
      <c r="K1629" s="95"/>
      <c r="L1629" s="95"/>
      <c r="M1629" s="12"/>
      <c r="N1629" s="44" t="str">
        <f t="shared" si="2"/>
        <v>
</v>
      </c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</row>
    <row r="1630">
      <c r="A1630" s="12"/>
      <c r="B1630" s="73"/>
      <c r="C1630" s="73"/>
      <c r="D1630" s="116"/>
      <c r="E1630" s="73"/>
      <c r="F1630" s="73"/>
      <c r="G1630" s="73"/>
      <c r="H1630" s="73"/>
      <c r="I1630" s="95"/>
      <c r="J1630" s="73"/>
      <c r="K1630" s="95"/>
      <c r="L1630" s="95"/>
      <c r="M1630" s="12"/>
      <c r="N1630" s="44" t="str">
        <f t="shared" si="2"/>
        <v>
</v>
      </c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</row>
    <row r="1631">
      <c r="A1631" s="87"/>
      <c r="B1631" s="73"/>
      <c r="C1631" s="73"/>
      <c r="D1631" s="116"/>
      <c r="E1631" s="73"/>
      <c r="F1631" s="73"/>
      <c r="G1631" s="73"/>
      <c r="H1631" s="73"/>
      <c r="I1631" s="95"/>
      <c r="J1631" s="73"/>
      <c r="K1631" s="95"/>
      <c r="L1631" s="95"/>
      <c r="M1631" s="12"/>
      <c r="N1631" s="44" t="str">
        <f t="shared" si="2"/>
        <v>
</v>
      </c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</row>
    <row r="1632">
      <c r="A1632" s="12"/>
      <c r="B1632" s="73"/>
      <c r="C1632" s="73"/>
      <c r="D1632" s="116"/>
      <c r="E1632" s="73"/>
      <c r="F1632" s="73"/>
      <c r="G1632" s="73"/>
      <c r="H1632" s="73"/>
      <c r="I1632" s="95"/>
      <c r="J1632" s="73"/>
      <c r="K1632" s="95"/>
      <c r="L1632" s="95"/>
      <c r="M1632" s="12"/>
      <c r="N1632" s="44" t="str">
        <f t="shared" si="2"/>
        <v>
</v>
      </c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</row>
    <row r="1633">
      <c r="A1633" s="87"/>
      <c r="B1633" s="73"/>
      <c r="C1633" s="73"/>
      <c r="D1633" s="116"/>
      <c r="E1633" s="73"/>
      <c r="F1633" s="73"/>
      <c r="G1633" s="73"/>
      <c r="H1633" s="73"/>
      <c r="I1633" s="95"/>
      <c r="J1633" s="73"/>
      <c r="K1633" s="95"/>
      <c r="L1633" s="95"/>
      <c r="M1633" s="12"/>
      <c r="N1633" s="44" t="str">
        <f t="shared" si="2"/>
        <v>
</v>
      </c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</row>
    <row r="1634">
      <c r="A1634" s="12"/>
      <c r="B1634" s="73"/>
      <c r="C1634" s="73"/>
      <c r="D1634" s="116"/>
      <c r="E1634" s="73"/>
      <c r="F1634" s="73"/>
      <c r="G1634" s="73"/>
      <c r="H1634" s="73"/>
      <c r="I1634" s="95"/>
      <c r="J1634" s="73"/>
      <c r="K1634" s="95"/>
      <c r="L1634" s="95"/>
      <c r="M1634" s="12"/>
      <c r="N1634" s="44" t="str">
        <f t="shared" si="2"/>
        <v>
</v>
      </c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</row>
    <row r="1635">
      <c r="A1635" s="87"/>
      <c r="B1635" s="73"/>
      <c r="C1635" s="73"/>
      <c r="D1635" s="116"/>
      <c r="E1635" s="73"/>
      <c r="F1635" s="73"/>
      <c r="G1635" s="73"/>
      <c r="H1635" s="73"/>
      <c r="I1635" s="95"/>
      <c r="J1635" s="73"/>
      <c r="K1635" s="95"/>
      <c r="L1635" s="95"/>
      <c r="M1635" s="12"/>
      <c r="N1635" s="44" t="str">
        <f t="shared" si="2"/>
        <v>
</v>
      </c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</row>
    <row r="1636">
      <c r="A1636" s="12"/>
      <c r="B1636" s="73"/>
      <c r="C1636" s="73"/>
      <c r="D1636" s="116"/>
      <c r="E1636" s="73"/>
      <c r="F1636" s="73"/>
      <c r="G1636" s="73"/>
      <c r="H1636" s="73"/>
      <c r="I1636" s="95"/>
      <c r="J1636" s="73"/>
      <c r="K1636" s="95"/>
      <c r="L1636" s="95"/>
      <c r="M1636" s="12"/>
      <c r="N1636" s="44" t="str">
        <f t="shared" si="2"/>
        <v>
</v>
      </c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</row>
    <row r="1637">
      <c r="A1637" s="87"/>
      <c r="B1637" s="73"/>
      <c r="C1637" s="73"/>
      <c r="D1637" s="116"/>
      <c r="E1637" s="73"/>
      <c r="F1637" s="73"/>
      <c r="G1637" s="73"/>
      <c r="H1637" s="73"/>
      <c r="I1637" s="95"/>
      <c r="J1637" s="73"/>
      <c r="K1637" s="95"/>
      <c r="L1637" s="95"/>
      <c r="M1637" s="12"/>
      <c r="N1637" s="44" t="str">
        <f t="shared" si="2"/>
        <v>
</v>
      </c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</row>
    <row r="1638">
      <c r="A1638" s="12"/>
      <c r="B1638" s="73"/>
      <c r="C1638" s="73"/>
      <c r="D1638" s="116"/>
      <c r="E1638" s="73"/>
      <c r="F1638" s="73"/>
      <c r="G1638" s="73"/>
      <c r="H1638" s="73"/>
      <c r="I1638" s="95"/>
      <c r="J1638" s="73"/>
      <c r="K1638" s="95"/>
      <c r="L1638" s="95"/>
      <c r="M1638" s="12"/>
      <c r="N1638" s="44" t="str">
        <f t="shared" si="2"/>
        <v>
</v>
      </c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</row>
    <row r="1639">
      <c r="A1639" s="87"/>
      <c r="B1639" s="73"/>
      <c r="C1639" s="73"/>
      <c r="D1639" s="116"/>
      <c r="E1639" s="73"/>
      <c r="F1639" s="73"/>
      <c r="G1639" s="73"/>
      <c r="H1639" s="73"/>
      <c r="I1639" s="95"/>
      <c r="J1639" s="73"/>
      <c r="K1639" s="95"/>
      <c r="L1639" s="95"/>
      <c r="M1639" s="12"/>
      <c r="N1639" s="44" t="str">
        <f t="shared" si="2"/>
        <v>
</v>
      </c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</row>
    <row r="1640">
      <c r="A1640" s="12"/>
      <c r="B1640" s="73"/>
      <c r="C1640" s="73"/>
      <c r="D1640" s="116"/>
      <c r="E1640" s="73"/>
      <c r="F1640" s="73"/>
      <c r="G1640" s="73"/>
      <c r="H1640" s="73"/>
      <c r="I1640" s="95"/>
      <c r="J1640" s="73"/>
      <c r="K1640" s="95"/>
      <c r="L1640" s="95"/>
      <c r="M1640" s="12"/>
      <c r="N1640" s="44" t="str">
        <f t="shared" si="2"/>
        <v>
</v>
      </c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</row>
    <row r="1641">
      <c r="A1641" s="87"/>
      <c r="B1641" s="73"/>
      <c r="C1641" s="73"/>
      <c r="D1641" s="116"/>
      <c r="E1641" s="73"/>
      <c r="F1641" s="73"/>
      <c r="G1641" s="73"/>
      <c r="H1641" s="73"/>
      <c r="I1641" s="95"/>
      <c r="J1641" s="73"/>
      <c r="K1641" s="95"/>
      <c r="L1641" s="95"/>
      <c r="M1641" s="12"/>
      <c r="N1641" s="44" t="str">
        <f t="shared" si="2"/>
        <v>
</v>
      </c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</row>
    <row r="1642">
      <c r="A1642" s="12"/>
      <c r="B1642" s="73"/>
      <c r="C1642" s="73"/>
      <c r="D1642" s="116"/>
      <c r="E1642" s="73"/>
      <c r="F1642" s="73"/>
      <c r="G1642" s="73"/>
      <c r="H1642" s="73"/>
      <c r="I1642" s="95"/>
      <c r="J1642" s="73"/>
      <c r="K1642" s="95"/>
      <c r="L1642" s="95"/>
      <c r="M1642" s="12"/>
      <c r="N1642" s="44" t="str">
        <f t="shared" si="2"/>
        <v>
</v>
      </c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</row>
    <row r="1643">
      <c r="A1643" s="87"/>
      <c r="B1643" s="73"/>
      <c r="C1643" s="73"/>
      <c r="D1643" s="116"/>
      <c r="E1643" s="73"/>
      <c r="F1643" s="73"/>
      <c r="G1643" s="73"/>
      <c r="H1643" s="73"/>
      <c r="I1643" s="95"/>
      <c r="J1643" s="73"/>
      <c r="K1643" s="95"/>
      <c r="L1643" s="95"/>
      <c r="M1643" s="12"/>
      <c r="N1643" s="44" t="str">
        <f t="shared" si="2"/>
        <v>
</v>
      </c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</row>
    <row r="1644">
      <c r="A1644" s="12"/>
      <c r="B1644" s="73"/>
      <c r="C1644" s="73"/>
      <c r="D1644" s="116"/>
      <c r="E1644" s="73"/>
      <c r="F1644" s="73"/>
      <c r="G1644" s="73"/>
      <c r="H1644" s="73"/>
      <c r="I1644" s="95"/>
      <c r="J1644" s="73"/>
      <c r="K1644" s="95"/>
      <c r="L1644" s="95"/>
      <c r="M1644" s="12"/>
      <c r="N1644" s="44" t="str">
        <f t="shared" si="2"/>
        <v>
</v>
      </c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</row>
    <row r="1645">
      <c r="A1645" s="87"/>
      <c r="B1645" s="73"/>
      <c r="C1645" s="73"/>
      <c r="D1645" s="116"/>
      <c r="E1645" s="73"/>
      <c r="F1645" s="73"/>
      <c r="G1645" s="73"/>
      <c r="H1645" s="73"/>
      <c r="I1645" s="95"/>
      <c r="J1645" s="73"/>
      <c r="K1645" s="95"/>
      <c r="L1645" s="95"/>
      <c r="M1645" s="12"/>
      <c r="N1645" s="44" t="str">
        <f t="shared" si="2"/>
        <v>
</v>
      </c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</row>
    <row r="1646">
      <c r="A1646" s="12"/>
      <c r="B1646" s="73"/>
      <c r="C1646" s="73"/>
      <c r="D1646" s="116"/>
      <c r="E1646" s="73"/>
      <c r="F1646" s="73"/>
      <c r="G1646" s="73"/>
      <c r="H1646" s="73"/>
      <c r="I1646" s="95"/>
      <c r="J1646" s="73"/>
      <c r="K1646" s="95"/>
      <c r="L1646" s="95"/>
      <c r="M1646" s="12"/>
      <c r="N1646" s="44" t="str">
        <f t="shared" si="2"/>
        <v>
</v>
      </c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</row>
    <row r="1647">
      <c r="A1647" s="87"/>
      <c r="B1647" s="73"/>
      <c r="C1647" s="73"/>
      <c r="D1647" s="116"/>
      <c r="E1647" s="73"/>
      <c r="F1647" s="73"/>
      <c r="G1647" s="73"/>
      <c r="H1647" s="73"/>
      <c r="I1647" s="95"/>
      <c r="J1647" s="73"/>
      <c r="K1647" s="95"/>
      <c r="L1647" s="95"/>
      <c r="M1647" s="12"/>
      <c r="N1647" s="44" t="str">
        <f t="shared" si="2"/>
        <v>
</v>
      </c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</row>
    <row r="1648">
      <c r="A1648" s="12"/>
      <c r="B1648" s="73"/>
      <c r="C1648" s="73"/>
      <c r="D1648" s="116"/>
      <c r="E1648" s="73"/>
      <c r="F1648" s="73"/>
      <c r="G1648" s="73"/>
      <c r="H1648" s="73"/>
      <c r="I1648" s="95"/>
      <c r="J1648" s="73"/>
      <c r="K1648" s="95"/>
      <c r="L1648" s="95"/>
      <c r="M1648" s="12"/>
      <c r="N1648" s="44" t="str">
        <f t="shared" si="2"/>
        <v>
</v>
      </c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</row>
    <row r="1649">
      <c r="A1649" s="87"/>
      <c r="B1649" s="73"/>
      <c r="C1649" s="73"/>
      <c r="D1649" s="116"/>
      <c r="E1649" s="73"/>
      <c r="F1649" s="73"/>
      <c r="G1649" s="73"/>
      <c r="H1649" s="73"/>
      <c r="I1649" s="95"/>
      <c r="J1649" s="73"/>
      <c r="K1649" s="95"/>
      <c r="L1649" s="95"/>
      <c r="M1649" s="12"/>
      <c r="N1649" s="44" t="str">
        <f t="shared" si="2"/>
        <v>
</v>
      </c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</row>
    <row r="1650">
      <c r="A1650" s="12"/>
      <c r="B1650" s="73"/>
      <c r="C1650" s="73"/>
      <c r="D1650" s="116"/>
      <c r="E1650" s="73"/>
      <c r="F1650" s="73"/>
      <c r="G1650" s="73"/>
      <c r="H1650" s="73"/>
      <c r="I1650" s="95"/>
      <c r="J1650" s="73"/>
      <c r="K1650" s="95"/>
      <c r="L1650" s="95"/>
      <c r="M1650" s="12"/>
      <c r="N1650" s="44" t="str">
        <f t="shared" si="2"/>
        <v>
</v>
      </c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</row>
    <row r="1651">
      <c r="A1651" s="87"/>
      <c r="B1651" s="73"/>
      <c r="C1651" s="73"/>
      <c r="D1651" s="116"/>
      <c r="E1651" s="73"/>
      <c r="F1651" s="73"/>
      <c r="G1651" s="73"/>
      <c r="H1651" s="73"/>
      <c r="I1651" s="95"/>
      <c r="J1651" s="73"/>
      <c r="K1651" s="95"/>
      <c r="L1651" s="95"/>
      <c r="M1651" s="12"/>
      <c r="N1651" s="44" t="str">
        <f t="shared" si="2"/>
        <v>
</v>
      </c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</row>
    <row r="1652">
      <c r="A1652" s="12"/>
      <c r="B1652" s="73"/>
      <c r="C1652" s="73"/>
      <c r="D1652" s="116"/>
      <c r="E1652" s="73"/>
      <c r="F1652" s="73"/>
      <c r="G1652" s="73"/>
      <c r="H1652" s="73"/>
      <c r="I1652" s="95"/>
      <c r="J1652" s="73"/>
      <c r="K1652" s="95"/>
      <c r="L1652" s="95"/>
      <c r="M1652" s="12"/>
      <c r="N1652" s="44" t="str">
        <f t="shared" si="2"/>
        <v>
</v>
      </c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</row>
    <row r="1653">
      <c r="A1653" s="87"/>
      <c r="B1653" s="73"/>
      <c r="C1653" s="73"/>
      <c r="D1653" s="116"/>
      <c r="E1653" s="73"/>
      <c r="F1653" s="73"/>
      <c r="G1653" s="73"/>
      <c r="H1653" s="73"/>
      <c r="I1653" s="95"/>
      <c r="J1653" s="73"/>
      <c r="K1653" s="95"/>
      <c r="L1653" s="95"/>
      <c r="M1653" s="12"/>
      <c r="N1653" s="44" t="str">
        <f t="shared" si="2"/>
        <v>
</v>
      </c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</row>
    <row r="1654">
      <c r="A1654" s="12"/>
      <c r="B1654" s="73"/>
      <c r="C1654" s="73"/>
      <c r="D1654" s="116"/>
      <c r="E1654" s="73"/>
      <c r="F1654" s="73"/>
      <c r="G1654" s="73"/>
      <c r="H1654" s="73"/>
      <c r="I1654" s="95"/>
      <c r="J1654" s="73"/>
      <c r="K1654" s="95"/>
      <c r="L1654" s="95"/>
      <c r="M1654" s="12"/>
      <c r="N1654" s="44" t="str">
        <f t="shared" si="2"/>
        <v>
</v>
      </c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</row>
    <row r="1655">
      <c r="A1655" s="87"/>
      <c r="B1655" s="73"/>
      <c r="C1655" s="73"/>
      <c r="D1655" s="116"/>
      <c r="E1655" s="73"/>
      <c r="F1655" s="73"/>
      <c r="G1655" s="73"/>
      <c r="H1655" s="73"/>
      <c r="I1655" s="95"/>
      <c r="J1655" s="73"/>
      <c r="K1655" s="95"/>
      <c r="L1655" s="95"/>
      <c r="M1655" s="12"/>
      <c r="N1655" s="44" t="str">
        <f t="shared" si="2"/>
        <v>
</v>
      </c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</row>
    <row r="1656">
      <c r="A1656" s="12"/>
      <c r="B1656" s="73"/>
      <c r="C1656" s="73"/>
      <c r="D1656" s="116"/>
      <c r="E1656" s="73"/>
      <c r="F1656" s="73"/>
      <c r="G1656" s="73"/>
      <c r="H1656" s="73"/>
      <c r="I1656" s="95"/>
      <c r="J1656" s="73"/>
      <c r="K1656" s="95"/>
      <c r="L1656" s="95"/>
      <c r="M1656" s="12"/>
      <c r="N1656" s="44" t="str">
        <f t="shared" si="2"/>
        <v>
</v>
      </c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</row>
    <row r="1657">
      <c r="A1657" s="87"/>
      <c r="B1657" s="73"/>
      <c r="C1657" s="73"/>
      <c r="D1657" s="116"/>
      <c r="E1657" s="73"/>
      <c r="F1657" s="73"/>
      <c r="G1657" s="73"/>
      <c r="H1657" s="73"/>
      <c r="I1657" s="95"/>
      <c r="J1657" s="73"/>
      <c r="K1657" s="95"/>
      <c r="L1657" s="95"/>
      <c r="M1657" s="12"/>
      <c r="N1657" s="44" t="str">
        <f t="shared" si="2"/>
        <v>
</v>
      </c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</row>
    <row r="1658">
      <c r="A1658" s="12"/>
      <c r="B1658" s="73"/>
      <c r="C1658" s="73"/>
      <c r="D1658" s="116"/>
      <c r="E1658" s="73"/>
      <c r="F1658" s="73"/>
      <c r="G1658" s="73"/>
      <c r="H1658" s="73"/>
      <c r="I1658" s="95"/>
      <c r="J1658" s="73"/>
      <c r="K1658" s="95"/>
      <c r="L1658" s="95"/>
      <c r="M1658" s="12"/>
      <c r="N1658" s="44" t="str">
        <f t="shared" si="2"/>
        <v>
</v>
      </c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</row>
    <row r="1659">
      <c r="A1659" s="87"/>
      <c r="B1659" s="73"/>
      <c r="C1659" s="73"/>
      <c r="D1659" s="116"/>
      <c r="E1659" s="73"/>
      <c r="F1659" s="73"/>
      <c r="G1659" s="73"/>
      <c r="H1659" s="73"/>
      <c r="I1659" s="95"/>
      <c r="J1659" s="73"/>
      <c r="K1659" s="95"/>
      <c r="L1659" s="95"/>
      <c r="M1659" s="12"/>
      <c r="N1659" s="44" t="str">
        <f t="shared" si="2"/>
        <v>
</v>
      </c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</row>
    <row r="1660">
      <c r="A1660" s="12"/>
      <c r="B1660" s="73"/>
      <c r="C1660" s="73"/>
      <c r="D1660" s="116"/>
      <c r="E1660" s="73"/>
      <c r="F1660" s="73"/>
      <c r="G1660" s="73"/>
      <c r="H1660" s="73"/>
      <c r="I1660" s="95"/>
      <c r="J1660" s="73"/>
      <c r="K1660" s="95"/>
      <c r="L1660" s="95"/>
      <c r="M1660" s="12"/>
      <c r="N1660" s="44" t="str">
        <f t="shared" si="2"/>
        <v>
</v>
      </c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</row>
    <row r="1661">
      <c r="A1661" s="87"/>
      <c r="B1661" s="73"/>
      <c r="C1661" s="73"/>
      <c r="D1661" s="116"/>
      <c r="E1661" s="73"/>
      <c r="F1661" s="73"/>
      <c r="G1661" s="73"/>
      <c r="H1661" s="73"/>
      <c r="I1661" s="95"/>
      <c r="J1661" s="73"/>
      <c r="K1661" s="95"/>
      <c r="L1661" s="95"/>
      <c r="M1661" s="12"/>
      <c r="N1661" s="44" t="str">
        <f t="shared" si="2"/>
        <v>
</v>
      </c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</row>
    <row r="1662">
      <c r="A1662" s="12"/>
      <c r="B1662" s="73"/>
      <c r="C1662" s="73"/>
      <c r="D1662" s="116"/>
      <c r="E1662" s="73"/>
      <c r="F1662" s="73"/>
      <c r="G1662" s="73"/>
      <c r="H1662" s="73"/>
      <c r="I1662" s="95"/>
      <c r="J1662" s="73"/>
      <c r="K1662" s="95"/>
      <c r="L1662" s="95"/>
      <c r="M1662" s="12"/>
      <c r="N1662" s="44" t="str">
        <f t="shared" si="2"/>
        <v>
</v>
      </c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</row>
    <row r="1663">
      <c r="A1663" s="87"/>
      <c r="B1663" s="73"/>
      <c r="C1663" s="73"/>
      <c r="D1663" s="116"/>
      <c r="E1663" s="73"/>
      <c r="F1663" s="73"/>
      <c r="G1663" s="73"/>
      <c r="H1663" s="73"/>
      <c r="I1663" s="95"/>
      <c r="J1663" s="73"/>
      <c r="K1663" s="95"/>
      <c r="L1663" s="95"/>
      <c r="M1663" s="12"/>
      <c r="N1663" s="44" t="str">
        <f t="shared" si="2"/>
        <v>
</v>
      </c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</row>
    <row r="1664">
      <c r="A1664" s="12"/>
      <c r="B1664" s="73"/>
      <c r="C1664" s="73"/>
      <c r="D1664" s="116"/>
      <c r="E1664" s="73"/>
      <c r="F1664" s="73"/>
      <c r="G1664" s="73"/>
      <c r="H1664" s="73"/>
      <c r="I1664" s="95"/>
      <c r="J1664" s="73"/>
      <c r="K1664" s="95"/>
      <c r="L1664" s="95"/>
      <c r="M1664" s="12"/>
      <c r="N1664" s="44" t="str">
        <f t="shared" si="2"/>
        <v>
</v>
      </c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</row>
    <row r="1665">
      <c r="A1665" s="87"/>
      <c r="B1665" s="73"/>
      <c r="C1665" s="73"/>
      <c r="D1665" s="116"/>
      <c r="E1665" s="73"/>
      <c r="F1665" s="73"/>
      <c r="G1665" s="73"/>
      <c r="H1665" s="73"/>
      <c r="I1665" s="95"/>
      <c r="J1665" s="73"/>
      <c r="K1665" s="95"/>
      <c r="L1665" s="95"/>
      <c r="M1665" s="12"/>
      <c r="N1665" s="44" t="str">
        <f t="shared" si="2"/>
        <v>
</v>
      </c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</row>
    <row r="1666">
      <c r="A1666" s="12"/>
      <c r="B1666" s="73"/>
      <c r="C1666" s="73"/>
      <c r="D1666" s="116"/>
      <c r="E1666" s="73"/>
      <c r="F1666" s="73"/>
      <c r="G1666" s="73"/>
      <c r="H1666" s="73"/>
      <c r="I1666" s="95"/>
      <c r="J1666" s="73"/>
      <c r="K1666" s="95"/>
      <c r="L1666" s="95"/>
      <c r="M1666" s="12"/>
      <c r="N1666" s="44" t="str">
        <f t="shared" si="2"/>
        <v>
</v>
      </c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</row>
    <row r="1667">
      <c r="A1667" s="87"/>
      <c r="B1667" s="73"/>
      <c r="C1667" s="73"/>
      <c r="D1667" s="116"/>
      <c r="E1667" s="73"/>
      <c r="F1667" s="73"/>
      <c r="G1667" s="73"/>
      <c r="H1667" s="73"/>
      <c r="I1667" s="95"/>
      <c r="J1667" s="73"/>
      <c r="K1667" s="95"/>
      <c r="L1667" s="95"/>
      <c r="M1667" s="12"/>
      <c r="N1667" s="44" t="str">
        <f t="shared" si="2"/>
        <v>
</v>
      </c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</row>
    <row r="1668">
      <c r="A1668" s="12"/>
      <c r="B1668" s="73"/>
      <c r="C1668" s="73"/>
      <c r="D1668" s="116"/>
      <c r="E1668" s="73"/>
      <c r="F1668" s="73"/>
      <c r="G1668" s="73"/>
      <c r="H1668" s="73"/>
      <c r="I1668" s="95"/>
      <c r="J1668" s="73"/>
      <c r="K1668" s="95"/>
      <c r="L1668" s="95"/>
      <c r="M1668" s="12"/>
      <c r="N1668" s="44" t="str">
        <f t="shared" si="2"/>
        <v>
</v>
      </c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</row>
    <row r="1669">
      <c r="A1669" s="87"/>
      <c r="B1669" s="73"/>
      <c r="C1669" s="73"/>
      <c r="D1669" s="116"/>
      <c r="E1669" s="73"/>
      <c r="F1669" s="73"/>
      <c r="G1669" s="73"/>
      <c r="H1669" s="73"/>
      <c r="I1669" s="95"/>
      <c r="J1669" s="73"/>
      <c r="K1669" s="95"/>
      <c r="L1669" s="95"/>
      <c r="M1669" s="12"/>
      <c r="N1669" s="44" t="str">
        <f t="shared" si="2"/>
        <v>
</v>
      </c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</row>
    <row r="1670">
      <c r="A1670" s="12"/>
      <c r="B1670" s="73"/>
      <c r="C1670" s="73"/>
      <c r="D1670" s="116"/>
      <c r="E1670" s="73"/>
      <c r="F1670" s="73"/>
      <c r="G1670" s="73"/>
      <c r="H1670" s="73"/>
      <c r="I1670" s="95"/>
      <c r="J1670" s="73"/>
      <c r="K1670" s="95"/>
      <c r="L1670" s="95"/>
      <c r="M1670" s="12"/>
      <c r="N1670" s="44" t="str">
        <f t="shared" si="2"/>
        <v>
</v>
      </c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</row>
    <row r="1671">
      <c r="A1671" s="87"/>
      <c r="B1671" s="73"/>
      <c r="C1671" s="73"/>
      <c r="D1671" s="95"/>
      <c r="E1671" s="73"/>
      <c r="F1671" s="73"/>
      <c r="G1671" s="73"/>
      <c r="H1671" s="73"/>
      <c r="I1671" s="95"/>
      <c r="J1671" s="73"/>
      <c r="K1671" s="95"/>
      <c r="L1671" s="95"/>
      <c r="M1671" s="12"/>
      <c r="N1671" s="44" t="str">
        <f t="shared" si="2"/>
        <v>
</v>
      </c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</row>
    <row r="1672">
      <c r="A1672" s="12"/>
      <c r="B1672" s="73"/>
      <c r="C1672" s="73"/>
      <c r="D1672" s="95"/>
      <c r="E1672" s="73"/>
      <c r="F1672" s="73"/>
      <c r="G1672" s="73"/>
      <c r="H1672" s="73"/>
      <c r="I1672" s="95"/>
      <c r="J1672" s="73"/>
      <c r="K1672" s="95"/>
      <c r="L1672" s="95"/>
      <c r="M1672" s="12"/>
      <c r="N1672" s="44" t="str">
        <f t="shared" si="2"/>
        <v>
</v>
      </c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</row>
    <row r="1673">
      <c r="A1673" s="87"/>
      <c r="B1673" s="73"/>
      <c r="C1673" s="73"/>
      <c r="D1673" s="95"/>
      <c r="E1673" s="73"/>
      <c r="F1673" s="73"/>
      <c r="G1673" s="73"/>
      <c r="H1673" s="73"/>
      <c r="I1673" s="95"/>
      <c r="J1673" s="73"/>
      <c r="K1673" s="95"/>
      <c r="L1673" s="95"/>
      <c r="M1673" s="12"/>
      <c r="N1673" s="44" t="str">
        <f t="shared" si="2"/>
        <v>
</v>
      </c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</row>
    <row r="1674">
      <c r="A1674" s="12"/>
      <c r="B1674" s="73"/>
      <c r="C1674" s="73"/>
      <c r="D1674" s="95"/>
      <c r="E1674" s="73"/>
      <c r="F1674" s="73"/>
      <c r="G1674" s="73"/>
      <c r="H1674" s="73"/>
      <c r="I1674" s="95"/>
      <c r="J1674" s="73"/>
      <c r="K1674" s="95"/>
      <c r="L1674" s="95"/>
      <c r="M1674" s="12"/>
      <c r="N1674" s="44" t="str">
        <f t="shared" si="2"/>
        <v>
</v>
      </c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</row>
    <row r="1675">
      <c r="A1675" s="87"/>
      <c r="B1675" s="73"/>
      <c r="C1675" s="73"/>
      <c r="D1675" s="95"/>
      <c r="E1675" s="73"/>
      <c r="F1675" s="73"/>
      <c r="G1675" s="73"/>
      <c r="H1675" s="73"/>
      <c r="I1675" s="95"/>
      <c r="J1675" s="73"/>
      <c r="K1675" s="95"/>
      <c r="L1675" s="95"/>
      <c r="M1675" s="12"/>
      <c r="N1675" s="44" t="str">
        <f t="shared" si="2"/>
        <v>
</v>
      </c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</row>
    <row r="1676">
      <c r="A1676" s="12"/>
      <c r="B1676" s="73"/>
      <c r="C1676" s="73"/>
      <c r="D1676" s="95"/>
      <c r="E1676" s="73"/>
      <c r="F1676" s="73"/>
      <c r="G1676" s="73"/>
      <c r="H1676" s="73"/>
      <c r="I1676" s="95"/>
      <c r="J1676" s="73"/>
      <c r="K1676" s="95"/>
      <c r="L1676" s="95"/>
      <c r="M1676" s="12"/>
      <c r="N1676" s="44" t="str">
        <f t="shared" si="2"/>
        <v>
</v>
      </c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</row>
    <row r="1677">
      <c r="A1677" s="87"/>
      <c r="B1677" s="73"/>
      <c r="C1677" s="73"/>
      <c r="D1677" s="95"/>
      <c r="E1677" s="73"/>
      <c r="F1677" s="73"/>
      <c r="G1677" s="73"/>
      <c r="H1677" s="73"/>
      <c r="I1677" s="95"/>
      <c r="J1677" s="73"/>
      <c r="K1677" s="95"/>
      <c r="L1677" s="95"/>
      <c r="M1677" s="12"/>
      <c r="N1677" s="44" t="str">
        <f t="shared" si="2"/>
        <v>
</v>
      </c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</row>
    <row r="1678">
      <c r="A1678" s="12"/>
      <c r="B1678" s="73"/>
      <c r="C1678" s="73"/>
      <c r="D1678" s="95"/>
      <c r="E1678" s="73"/>
      <c r="F1678" s="73"/>
      <c r="G1678" s="73"/>
      <c r="H1678" s="73"/>
      <c r="I1678" s="95"/>
      <c r="J1678" s="73"/>
      <c r="K1678" s="95"/>
      <c r="L1678" s="95"/>
      <c r="M1678" s="12"/>
      <c r="N1678" s="44" t="str">
        <f t="shared" si="2"/>
        <v>
</v>
      </c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</row>
    <row r="1679">
      <c r="A1679" s="87"/>
      <c r="B1679" s="73"/>
      <c r="C1679" s="73"/>
      <c r="D1679" s="95"/>
      <c r="E1679" s="73"/>
      <c r="F1679" s="73"/>
      <c r="G1679" s="73"/>
      <c r="H1679" s="73"/>
      <c r="I1679" s="95"/>
      <c r="J1679" s="73"/>
      <c r="K1679" s="95"/>
      <c r="L1679" s="95"/>
      <c r="M1679" s="12"/>
      <c r="N1679" s="44" t="str">
        <f t="shared" si="2"/>
        <v>
</v>
      </c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</row>
    <row r="1680">
      <c r="A1680" s="12"/>
      <c r="B1680" s="73"/>
      <c r="C1680" s="73"/>
      <c r="D1680" s="95"/>
      <c r="E1680" s="73"/>
      <c r="F1680" s="73"/>
      <c r="G1680" s="73"/>
      <c r="H1680" s="73"/>
      <c r="I1680" s="95"/>
      <c r="J1680" s="73"/>
      <c r="K1680" s="95"/>
      <c r="L1680" s="95"/>
      <c r="M1680" s="12"/>
      <c r="N1680" s="44" t="str">
        <f t="shared" si="2"/>
        <v>
</v>
      </c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</row>
    <row r="1681">
      <c r="A1681" s="87"/>
      <c r="B1681" s="73"/>
      <c r="C1681" s="73"/>
      <c r="D1681" s="95"/>
      <c r="E1681" s="73"/>
      <c r="F1681" s="73"/>
      <c r="G1681" s="73"/>
      <c r="H1681" s="73"/>
      <c r="I1681" s="95"/>
      <c r="J1681" s="73"/>
      <c r="K1681" s="95"/>
      <c r="L1681" s="95"/>
      <c r="M1681" s="12"/>
      <c r="N1681" s="44" t="str">
        <f t="shared" si="2"/>
        <v>
</v>
      </c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</row>
    <row r="1682">
      <c r="A1682" s="12"/>
      <c r="B1682" s="73"/>
      <c r="C1682" s="73"/>
      <c r="D1682" s="95"/>
      <c r="E1682" s="73"/>
      <c r="F1682" s="73"/>
      <c r="G1682" s="73"/>
      <c r="H1682" s="73"/>
      <c r="I1682" s="95"/>
      <c r="J1682" s="73"/>
      <c r="K1682" s="95"/>
      <c r="L1682" s="95"/>
      <c r="M1682" s="12"/>
      <c r="N1682" s="44" t="str">
        <f t="shared" si="2"/>
        <v>
</v>
      </c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</row>
    <row r="1683">
      <c r="A1683" s="87"/>
      <c r="B1683" s="73"/>
      <c r="C1683" s="73"/>
      <c r="D1683" s="95"/>
      <c r="E1683" s="73"/>
      <c r="F1683" s="73"/>
      <c r="G1683" s="73"/>
      <c r="H1683" s="73"/>
      <c r="I1683" s="95"/>
      <c r="J1683" s="73"/>
      <c r="K1683" s="95"/>
      <c r="L1683" s="95"/>
      <c r="M1683" s="12"/>
      <c r="N1683" s="44" t="str">
        <f t="shared" si="2"/>
        <v>
</v>
      </c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</row>
    <row r="1684">
      <c r="A1684" s="12"/>
      <c r="B1684" s="73"/>
      <c r="C1684" s="73"/>
      <c r="D1684" s="95"/>
      <c r="E1684" s="73"/>
      <c r="F1684" s="73"/>
      <c r="G1684" s="73"/>
      <c r="H1684" s="73"/>
      <c r="I1684" s="95"/>
      <c r="J1684" s="73"/>
      <c r="K1684" s="95"/>
      <c r="L1684" s="95"/>
      <c r="M1684" s="12"/>
      <c r="N1684" s="44" t="str">
        <f t="shared" si="2"/>
        <v>
</v>
      </c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</row>
    <row r="1685">
      <c r="A1685" s="87"/>
      <c r="B1685" s="73"/>
      <c r="C1685" s="73"/>
      <c r="D1685" s="95"/>
      <c r="E1685" s="73"/>
      <c r="F1685" s="73"/>
      <c r="G1685" s="73"/>
      <c r="H1685" s="73"/>
      <c r="I1685" s="95"/>
      <c r="J1685" s="73"/>
      <c r="K1685" s="95"/>
      <c r="L1685" s="95"/>
      <c r="M1685" s="12"/>
      <c r="N1685" s="44" t="str">
        <f t="shared" si="2"/>
        <v>
</v>
      </c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</row>
    <row r="1686">
      <c r="A1686" s="12"/>
      <c r="B1686" s="73"/>
      <c r="C1686" s="73"/>
      <c r="D1686" s="116"/>
      <c r="E1686" s="73"/>
      <c r="F1686" s="73"/>
      <c r="G1686" s="73"/>
      <c r="H1686" s="73"/>
      <c r="I1686" s="95"/>
      <c r="J1686" s="73"/>
      <c r="K1686" s="95"/>
      <c r="L1686" s="95"/>
      <c r="M1686" s="12"/>
      <c r="N1686" s="44" t="str">
        <f t="shared" si="2"/>
        <v>
</v>
      </c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</row>
    <row r="1687">
      <c r="A1687" s="87"/>
      <c r="B1687" s="73"/>
      <c r="C1687" s="73"/>
      <c r="D1687" s="95"/>
      <c r="E1687" s="73"/>
      <c r="F1687" s="73"/>
      <c r="G1687" s="73"/>
      <c r="H1687" s="73"/>
      <c r="I1687" s="95"/>
      <c r="J1687" s="73"/>
      <c r="K1687" s="95"/>
      <c r="L1687" s="95"/>
      <c r="M1687" s="12"/>
      <c r="N1687" s="44" t="str">
        <f t="shared" si="2"/>
        <v>
</v>
      </c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</row>
    <row r="1688">
      <c r="A1688" s="12"/>
      <c r="B1688" s="73"/>
      <c r="C1688" s="73"/>
      <c r="D1688" s="95"/>
      <c r="E1688" s="73"/>
      <c r="F1688" s="73"/>
      <c r="G1688" s="73"/>
      <c r="H1688" s="73"/>
      <c r="I1688" s="95"/>
      <c r="J1688" s="73"/>
      <c r="K1688" s="95"/>
      <c r="L1688" s="95"/>
      <c r="M1688" s="12"/>
      <c r="N1688" s="44" t="str">
        <f t="shared" si="2"/>
        <v>
</v>
      </c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</row>
    <row r="1689">
      <c r="A1689" s="87"/>
      <c r="B1689" s="73"/>
      <c r="C1689" s="73"/>
      <c r="D1689" s="95"/>
      <c r="E1689" s="73"/>
      <c r="F1689" s="73"/>
      <c r="G1689" s="73"/>
      <c r="H1689" s="73"/>
      <c r="I1689" s="95"/>
      <c r="J1689" s="73"/>
      <c r="K1689" s="95"/>
      <c r="L1689" s="95"/>
      <c r="M1689" s="12"/>
      <c r="N1689" s="44" t="str">
        <f t="shared" si="2"/>
        <v>
</v>
      </c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</row>
    <row r="1690">
      <c r="A1690" s="12"/>
      <c r="B1690" s="73"/>
      <c r="C1690" s="73"/>
      <c r="D1690" s="95"/>
      <c r="E1690" s="73"/>
      <c r="F1690" s="73"/>
      <c r="G1690" s="73"/>
      <c r="H1690" s="73"/>
      <c r="I1690" s="95"/>
      <c r="J1690" s="73"/>
      <c r="K1690" s="95"/>
      <c r="L1690" s="95"/>
      <c r="M1690" s="12"/>
      <c r="N1690" s="44" t="str">
        <f t="shared" si="2"/>
        <v>
</v>
      </c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</row>
    <row r="1691">
      <c r="A1691" s="87"/>
      <c r="B1691" s="73"/>
      <c r="C1691" s="73"/>
      <c r="D1691" s="95"/>
      <c r="E1691" s="73"/>
      <c r="F1691" s="73"/>
      <c r="G1691" s="73"/>
      <c r="H1691" s="73"/>
      <c r="I1691" s="95"/>
      <c r="J1691" s="73"/>
      <c r="K1691" s="95"/>
      <c r="L1691" s="95"/>
      <c r="M1691" s="12"/>
      <c r="N1691" s="44" t="str">
        <f t="shared" si="2"/>
        <v>
</v>
      </c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</row>
    <row r="1692">
      <c r="A1692" s="12"/>
      <c r="B1692" s="73"/>
      <c r="C1692" s="73"/>
      <c r="D1692" s="95"/>
      <c r="E1692" s="73"/>
      <c r="F1692" s="73"/>
      <c r="G1692" s="73"/>
      <c r="H1692" s="73"/>
      <c r="I1692" s="95"/>
      <c r="J1692" s="73"/>
      <c r="K1692" s="95"/>
      <c r="L1692" s="95"/>
      <c r="M1692" s="12"/>
      <c r="N1692" s="44" t="str">
        <f t="shared" si="2"/>
        <v>
</v>
      </c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</row>
    <row r="1693">
      <c r="A1693" s="87"/>
      <c r="B1693" s="73"/>
      <c r="C1693" s="73"/>
      <c r="D1693" s="95"/>
      <c r="E1693" s="73"/>
      <c r="F1693" s="73"/>
      <c r="G1693" s="73"/>
      <c r="H1693" s="73"/>
      <c r="I1693" s="95"/>
      <c r="J1693" s="73"/>
      <c r="K1693" s="95"/>
      <c r="L1693" s="95"/>
      <c r="M1693" s="12"/>
      <c r="N1693" s="44" t="str">
        <f t="shared" si="2"/>
        <v>
</v>
      </c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</row>
    <row r="1694">
      <c r="A1694" s="12"/>
      <c r="B1694" s="73"/>
      <c r="C1694" s="73"/>
      <c r="D1694" s="95"/>
      <c r="E1694" s="73"/>
      <c r="F1694" s="73"/>
      <c r="G1694" s="73"/>
      <c r="H1694" s="73"/>
      <c r="I1694" s="95"/>
      <c r="J1694" s="73"/>
      <c r="K1694" s="95"/>
      <c r="L1694" s="95"/>
      <c r="M1694" s="12"/>
      <c r="N1694" s="44" t="str">
        <f t="shared" si="2"/>
        <v>
</v>
      </c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</row>
    <row r="1695">
      <c r="A1695" s="87"/>
      <c r="B1695" s="73"/>
      <c r="C1695" s="73"/>
      <c r="D1695" s="95"/>
      <c r="E1695" s="73"/>
      <c r="F1695" s="73"/>
      <c r="G1695" s="73"/>
      <c r="H1695" s="73"/>
      <c r="I1695" s="95"/>
      <c r="J1695" s="73"/>
      <c r="K1695" s="95"/>
      <c r="L1695" s="95"/>
      <c r="M1695" s="12"/>
      <c r="N1695" s="44" t="str">
        <f t="shared" si="2"/>
        <v>
</v>
      </c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</row>
    <row r="1696">
      <c r="A1696" s="12"/>
      <c r="B1696" s="73"/>
      <c r="C1696" s="73"/>
      <c r="D1696" s="95"/>
      <c r="E1696" s="73"/>
      <c r="F1696" s="73"/>
      <c r="G1696" s="73"/>
      <c r="H1696" s="73"/>
      <c r="I1696" s="95"/>
      <c r="J1696" s="73"/>
      <c r="K1696" s="95"/>
      <c r="L1696" s="95"/>
      <c r="M1696" s="12"/>
      <c r="N1696" s="44" t="str">
        <f t="shared" si="2"/>
        <v>
</v>
      </c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</row>
    <row r="1697">
      <c r="A1697" s="87"/>
      <c r="B1697" s="73"/>
      <c r="C1697" s="73"/>
      <c r="D1697" s="95"/>
      <c r="E1697" s="73"/>
      <c r="F1697" s="73"/>
      <c r="G1697" s="73"/>
      <c r="H1697" s="73"/>
      <c r="I1697" s="95"/>
      <c r="J1697" s="73"/>
      <c r="K1697" s="95"/>
      <c r="L1697" s="95"/>
      <c r="M1697" s="12"/>
      <c r="N1697" s="44" t="str">
        <f t="shared" si="2"/>
        <v>
</v>
      </c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</row>
    <row r="1698">
      <c r="A1698" s="12"/>
      <c r="B1698" s="73"/>
      <c r="C1698" s="73"/>
      <c r="D1698" s="95"/>
      <c r="E1698" s="73"/>
      <c r="F1698" s="73"/>
      <c r="G1698" s="73"/>
      <c r="H1698" s="73"/>
      <c r="I1698" s="95"/>
      <c r="J1698" s="73"/>
      <c r="K1698" s="95"/>
      <c r="L1698" s="95"/>
      <c r="M1698" s="12"/>
      <c r="N1698" s="44" t="str">
        <f t="shared" si="2"/>
        <v>
</v>
      </c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</row>
    <row r="1699">
      <c r="A1699" s="87"/>
      <c r="B1699" s="73"/>
      <c r="C1699" s="73"/>
      <c r="D1699" s="95"/>
      <c r="E1699" s="73"/>
      <c r="F1699" s="73"/>
      <c r="G1699" s="73"/>
      <c r="H1699" s="73"/>
      <c r="I1699" s="95"/>
      <c r="J1699" s="73"/>
      <c r="K1699" s="95"/>
      <c r="L1699" s="95"/>
      <c r="M1699" s="12"/>
      <c r="N1699" s="44" t="str">
        <f t="shared" si="2"/>
        <v>
</v>
      </c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</row>
    <row r="1700">
      <c r="A1700" s="12"/>
      <c r="B1700" s="73"/>
      <c r="C1700" s="73"/>
      <c r="D1700" s="95"/>
      <c r="E1700" s="73"/>
      <c r="F1700" s="73"/>
      <c r="G1700" s="73"/>
      <c r="H1700" s="73"/>
      <c r="I1700" s="95"/>
      <c r="J1700" s="73"/>
      <c r="K1700" s="95"/>
      <c r="L1700" s="95"/>
      <c r="M1700" s="12"/>
      <c r="N1700" s="44" t="str">
        <f t="shared" si="2"/>
        <v>
</v>
      </c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</row>
    <row r="1701">
      <c r="A1701" s="87"/>
      <c r="B1701" s="73"/>
      <c r="C1701" s="73"/>
      <c r="D1701" s="95"/>
      <c r="E1701" s="73"/>
      <c r="F1701" s="73"/>
      <c r="G1701" s="73"/>
      <c r="H1701" s="73"/>
      <c r="I1701" s="95"/>
      <c r="J1701" s="73"/>
      <c r="K1701" s="95"/>
      <c r="L1701" s="95"/>
      <c r="M1701" s="12"/>
      <c r="N1701" s="44" t="str">
        <f t="shared" si="2"/>
        <v>
</v>
      </c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</row>
    <row r="1702">
      <c r="A1702" s="12"/>
      <c r="B1702" s="73"/>
      <c r="C1702" s="73"/>
      <c r="D1702" s="95"/>
      <c r="E1702" s="73"/>
      <c r="F1702" s="73"/>
      <c r="G1702" s="73"/>
      <c r="H1702" s="73"/>
      <c r="I1702" s="95"/>
      <c r="J1702" s="73"/>
      <c r="K1702" s="95"/>
      <c r="L1702" s="95"/>
      <c r="M1702" s="12"/>
      <c r="N1702" s="44" t="str">
        <f t="shared" si="2"/>
        <v>
</v>
      </c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</row>
    <row r="1703">
      <c r="A1703" s="87"/>
      <c r="B1703" s="73"/>
      <c r="C1703" s="73"/>
      <c r="D1703" s="118"/>
      <c r="E1703" s="73"/>
      <c r="F1703" s="73"/>
      <c r="G1703" s="73"/>
      <c r="H1703" s="73"/>
      <c r="I1703" s="95"/>
      <c r="J1703" s="73"/>
      <c r="K1703" s="95"/>
      <c r="L1703" s="95"/>
      <c r="M1703" s="12"/>
      <c r="N1703" s="26" t="str">
        <f t="shared" si="2"/>
        <v>
</v>
      </c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</row>
    <row r="1704">
      <c r="A1704" s="12"/>
      <c r="B1704" s="73"/>
      <c r="C1704" s="73"/>
      <c r="D1704" s="118"/>
      <c r="E1704" s="73"/>
      <c r="F1704" s="73"/>
      <c r="G1704" s="73"/>
      <c r="H1704" s="73"/>
      <c r="I1704" s="95"/>
      <c r="J1704" s="73"/>
      <c r="K1704" s="95"/>
      <c r="L1704" s="95"/>
      <c r="M1704" s="12"/>
      <c r="N1704" s="26" t="str">
        <f t="shared" si="2"/>
        <v>
</v>
      </c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</row>
    <row r="1705">
      <c r="A1705" s="87"/>
      <c r="B1705" s="73"/>
      <c r="C1705" s="73"/>
      <c r="D1705" s="118"/>
      <c r="E1705" s="73"/>
      <c r="F1705" s="73"/>
      <c r="G1705" s="73"/>
      <c r="H1705" s="73"/>
      <c r="I1705" s="95"/>
      <c r="J1705" s="73"/>
      <c r="K1705" s="95"/>
      <c r="L1705" s="95"/>
      <c r="M1705" s="12"/>
      <c r="N1705" s="26" t="str">
        <f t="shared" si="2"/>
        <v>
</v>
      </c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</row>
    <row r="1706">
      <c r="A1706" s="12"/>
      <c r="B1706" s="73"/>
      <c r="C1706" s="73"/>
      <c r="D1706" s="118"/>
      <c r="E1706" s="73"/>
      <c r="F1706" s="73"/>
      <c r="G1706" s="73"/>
      <c r="H1706" s="73"/>
      <c r="I1706" s="95"/>
      <c r="J1706" s="73"/>
      <c r="K1706" s="95"/>
      <c r="L1706" s="95"/>
      <c r="M1706" s="12"/>
      <c r="N1706" s="26" t="str">
        <f t="shared" si="2"/>
        <v>
</v>
      </c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</row>
    <row r="1707">
      <c r="A1707" s="87"/>
      <c r="B1707" s="73"/>
      <c r="C1707" s="73"/>
      <c r="D1707" s="118"/>
      <c r="E1707" s="73"/>
      <c r="F1707" s="73"/>
      <c r="G1707" s="73"/>
      <c r="H1707" s="73"/>
      <c r="I1707" s="95"/>
      <c r="J1707" s="73"/>
      <c r="K1707" s="95"/>
      <c r="L1707" s="95"/>
      <c r="M1707" s="12"/>
      <c r="N1707" s="26" t="str">
        <f t="shared" si="2"/>
        <v>
</v>
      </c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</row>
    <row r="1708">
      <c r="A1708" s="12"/>
      <c r="B1708" s="73"/>
      <c r="C1708" s="73"/>
      <c r="D1708" s="118"/>
      <c r="E1708" s="73"/>
      <c r="F1708" s="73"/>
      <c r="G1708" s="73"/>
      <c r="H1708" s="73"/>
      <c r="I1708" s="95"/>
      <c r="J1708" s="73"/>
      <c r="K1708" s="95"/>
      <c r="L1708" s="95"/>
      <c r="M1708" s="12"/>
      <c r="N1708" s="26" t="str">
        <f t="shared" si="2"/>
        <v>
</v>
      </c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</row>
    <row r="1709">
      <c r="A1709" s="87"/>
      <c r="B1709" s="73"/>
      <c r="C1709" s="73"/>
      <c r="D1709" s="118"/>
      <c r="E1709" s="73"/>
      <c r="F1709" s="73"/>
      <c r="G1709" s="73"/>
      <c r="H1709" s="73"/>
      <c r="I1709" s="95"/>
      <c r="J1709" s="73"/>
      <c r="K1709" s="95"/>
      <c r="L1709" s="95"/>
      <c r="M1709" s="12"/>
      <c r="N1709" s="26" t="str">
        <f t="shared" si="2"/>
        <v>
</v>
      </c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</row>
    <row r="1710">
      <c r="A1710" s="12"/>
      <c r="B1710" s="73"/>
      <c r="C1710" s="73"/>
      <c r="D1710" s="118"/>
      <c r="E1710" s="73"/>
      <c r="F1710" s="73"/>
      <c r="G1710" s="73"/>
      <c r="H1710" s="73"/>
      <c r="I1710" s="95"/>
      <c r="J1710" s="73"/>
      <c r="K1710" s="95"/>
      <c r="L1710" s="95"/>
      <c r="M1710" s="12"/>
      <c r="N1710" s="26" t="str">
        <f t="shared" si="2"/>
        <v>
</v>
      </c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</row>
    <row r="1711">
      <c r="A1711" s="87"/>
      <c r="B1711" s="73"/>
      <c r="C1711" s="73"/>
      <c r="D1711" s="118"/>
      <c r="E1711" s="73"/>
      <c r="F1711" s="73"/>
      <c r="G1711" s="73"/>
      <c r="H1711" s="73"/>
      <c r="I1711" s="95"/>
      <c r="J1711" s="73"/>
      <c r="K1711" s="95"/>
      <c r="L1711" s="95"/>
      <c r="M1711" s="12"/>
      <c r="N1711" s="26" t="str">
        <f t="shared" si="2"/>
        <v>
</v>
      </c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</row>
    <row r="1712">
      <c r="A1712" s="12"/>
      <c r="B1712" s="73"/>
      <c r="C1712" s="73"/>
      <c r="D1712" s="118"/>
      <c r="E1712" s="73"/>
      <c r="F1712" s="73"/>
      <c r="G1712" s="73"/>
      <c r="H1712" s="73"/>
      <c r="I1712" s="95"/>
      <c r="J1712" s="73"/>
      <c r="K1712" s="95"/>
      <c r="L1712" s="95"/>
      <c r="M1712" s="12"/>
      <c r="N1712" s="26" t="str">
        <f t="shared" si="2"/>
        <v>
</v>
      </c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</row>
    <row r="1713">
      <c r="A1713" s="87"/>
      <c r="B1713" s="73"/>
      <c r="C1713" s="73"/>
      <c r="D1713" s="95"/>
      <c r="E1713" s="73"/>
      <c r="F1713" s="73"/>
      <c r="G1713" s="73"/>
      <c r="H1713" s="73"/>
      <c r="I1713" s="95"/>
      <c r="J1713" s="73"/>
      <c r="K1713" s="95"/>
      <c r="L1713" s="95"/>
      <c r="M1713" s="12"/>
      <c r="N1713" s="26" t="str">
        <f t="shared" si="2"/>
        <v>
</v>
      </c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</row>
    <row r="1714">
      <c r="A1714" s="12"/>
      <c r="B1714" s="73"/>
      <c r="C1714" s="73"/>
      <c r="D1714" s="95"/>
      <c r="E1714" s="73"/>
      <c r="F1714" s="73"/>
      <c r="G1714" s="73"/>
      <c r="H1714" s="73"/>
      <c r="I1714" s="95"/>
      <c r="J1714" s="73"/>
      <c r="K1714" s="95"/>
      <c r="L1714" s="95"/>
      <c r="M1714" s="12"/>
      <c r="N1714" s="26" t="str">
        <f t="shared" si="2"/>
        <v>
</v>
      </c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</row>
    <row r="1715">
      <c r="A1715" s="87"/>
      <c r="B1715" s="73"/>
      <c r="C1715" s="73"/>
      <c r="D1715" s="95"/>
      <c r="E1715" s="73"/>
      <c r="F1715" s="73"/>
      <c r="G1715" s="73"/>
      <c r="H1715" s="73"/>
      <c r="I1715" s="95"/>
      <c r="J1715" s="73"/>
      <c r="K1715" s="95"/>
      <c r="L1715" s="95"/>
      <c r="M1715" s="12"/>
      <c r="N1715" s="26" t="str">
        <f t="shared" si="2"/>
        <v>
</v>
      </c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</row>
    <row r="1716">
      <c r="A1716" s="12"/>
      <c r="B1716" s="73"/>
      <c r="C1716" s="73"/>
      <c r="D1716" s="95"/>
      <c r="E1716" s="73"/>
      <c r="F1716" s="73"/>
      <c r="G1716" s="73"/>
      <c r="H1716" s="73"/>
      <c r="I1716" s="95"/>
      <c r="J1716" s="73"/>
      <c r="K1716" s="95"/>
      <c r="L1716" s="95"/>
      <c r="M1716" s="12"/>
      <c r="N1716" s="26" t="str">
        <f t="shared" si="2"/>
        <v>
</v>
      </c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</row>
    <row r="1717">
      <c r="A1717" s="87"/>
      <c r="B1717" s="73"/>
      <c r="C1717" s="73"/>
      <c r="D1717" s="95"/>
      <c r="E1717" s="73"/>
      <c r="F1717" s="73"/>
      <c r="G1717" s="73"/>
      <c r="H1717" s="73"/>
      <c r="I1717" s="95"/>
      <c r="J1717" s="73"/>
      <c r="K1717" s="95"/>
      <c r="L1717" s="95"/>
      <c r="M1717" s="12"/>
      <c r="N1717" s="26" t="str">
        <f t="shared" si="2"/>
        <v>
</v>
      </c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</row>
    <row r="1718">
      <c r="A1718" s="12"/>
      <c r="B1718" s="73"/>
      <c r="C1718" s="73"/>
      <c r="D1718" s="95"/>
      <c r="E1718" s="73"/>
      <c r="F1718" s="73"/>
      <c r="G1718" s="73"/>
      <c r="H1718" s="73"/>
      <c r="I1718" s="95"/>
      <c r="J1718" s="73"/>
      <c r="K1718" s="95"/>
      <c r="L1718" s="95"/>
      <c r="M1718" s="12"/>
      <c r="N1718" s="26" t="str">
        <f t="shared" si="2"/>
        <v>
</v>
      </c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</row>
    <row r="1719">
      <c r="A1719" s="87"/>
      <c r="B1719" s="73"/>
      <c r="C1719" s="73"/>
      <c r="D1719" s="95"/>
      <c r="E1719" s="73"/>
      <c r="F1719" s="73"/>
      <c r="G1719" s="73"/>
      <c r="H1719" s="73"/>
      <c r="I1719" s="95"/>
      <c r="J1719" s="73"/>
      <c r="K1719" s="95"/>
      <c r="L1719" s="95"/>
      <c r="M1719" s="12"/>
      <c r="N1719" s="26" t="str">
        <f t="shared" si="2"/>
        <v>
</v>
      </c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</row>
    <row r="1720">
      <c r="A1720" s="12"/>
      <c r="B1720" s="73"/>
      <c r="C1720" s="73"/>
      <c r="D1720" s="95"/>
      <c r="E1720" s="73"/>
      <c r="F1720" s="73"/>
      <c r="G1720" s="73"/>
      <c r="H1720" s="73"/>
      <c r="I1720" s="95"/>
      <c r="J1720" s="73"/>
      <c r="K1720" s="95"/>
      <c r="L1720" s="95"/>
      <c r="M1720" s="12"/>
      <c r="N1720" s="26" t="str">
        <f t="shared" si="2"/>
        <v>
</v>
      </c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</row>
    <row r="1721">
      <c r="A1721" s="87"/>
      <c r="B1721" s="73"/>
      <c r="C1721" s="73"/>
      <c r="D1721" s="95"/>
      <c r="E1721" s="73"/>
      <c r="F1721" s="73"/>
      <c r="G1721" s="73"/>
      <c r="H1721" s="73"/>
      <c r="I1721" s="95"/>
      <c r="J1721" s="73"/>
      <c r="K1721" s="95"/>
      <c r="L1721" s="95"/>
      <c r="M1721" s="12"/>
      <c r="N1721" s="26" t="str">
        <f t="shared" si="2"/>
        <v>
</v>
      </c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</row>
    <row r="1722">
      <c r="A1722" s="12"/>
      <c r="B1722" s="73"/>
      <c r="C1722" s="73"/>
      <c r="D1722" s="95"/>
      <c r="E1722" s="73"/>
      <c r="F1722" s="73"/>
      <c r="G1722" s="73"/>
      <c r="H1722" s="73"/>
      <c r="I1722" s="95"/>
      <c r="J1722" s="73"/>
      <c r="K1722" s="95"/>
      <c r="L1722" s="95"/>
      <c r="M1722" s="12"/>
      <c r="N1722" s="26" t="str">
        <f t="shared" si="2"/>
        <v>
</v>
      </c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</row>
    <row r="1723">
      <c r="A1723" s="87"/>
      <c r="B1723" s="73"/>
      <c r="C1723" s="73"/>
      <c r="D1723" s="95"/>
      <c r="E1723" s="73"/>
      <c r="F1723" s="73"/>
      <c r="G1723" s="73"/>
      <c r="H1723" s="73"/>
      <c r="I1723" s="95"/>
      <c r="J1723" s="73"/>
      <c r="K1723" s="95"/>
      <c r="L1723" s="95"/>
      <c r="M1723" s="12"/>
      <c r="N1723" s="26" t="str">
        <f t="shared" si="2"/>
        <v>
</v>
      </c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</row>
    <row r="1724">
      <c r="A1724" s="12"/>
      <c r="B1724" s="73"/>
      <c r="C1724" s="73"/>
      <c r="D1724" s="95"/>
      <c r="E1724" s="73"/>
      <c r="F1724" s="73"/>
      <c r="G1724" s="73"/>
      <c r="H1724" s="73"/>
      <c r="I1724" s="95"/>
      <c r="J1724" s="73"/>
      <c r="K1724" s="95"/>
      <c r="L1724" s="95"/>
      <c r="M1724" s="12"/>
      <c r="N1724" s="26" t="str">
        <f t="shared" si="2"/>
        <v>
</v>
      </c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</row>
    <row r="1725">
      <c r="A1725" s="87"/>
      <c r="B1725" s="73"/>
      <c r="C1725" s="73"/>
      <c r="D1725" s="95"/>
      <c r="E1725" s="73"/>
      <c r="F1725" s="73"/>
      <c r="G1725" s="73"/>
      <c r="H1725" s="73"/>
      <c r="I1725" s="95"/>
      <c r="J1725" s="73"/>
      <c r="K1725" s="95"/>
      <c r="L1725" s="95"/>
      <c r="M1725" s="12"/>
      <c r="N1725" s="26" t="str">
        <f t="shared" si="2"/>
        <v>
</v>
      </c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</row>
    <row r="1726">
      <c r="A1726" s="12"/>
      <c r="B1726" s="73"/>
      <c r="C1726" s="73"/>
      <c r="D1726" s="95"/>
      <c r="E1726" s="73"/>
      <c r="F1726" s="73"/>
      <c r="G1726" s="73"/>
      <c r="H1726" s="73"/>
      <c r="I1726" s="95"/>
      <c r="J1726" s="73"/>
      <c r="K1726" s="95"/>
      <c r="L1726" s="95"/>
      <c r="M1726" s="12"/>
      <c r="N1726" s="26" t="str">
        <f t="shared" si="2"/>
        <v>
</v>
      </c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</row>
    <row r="1727">
      <c r="A1727" s="87"/>
      <c r="B1727" s="73"/>
      <c r="C1727" s="73"/>
      <c r="D1727" s="95"/>
      <c r="E1727" s="73"/>
      <c r="F1727" s="73"/>
      <c r="G1727" s="73"/>
      <c r="H1727" s="73"/>
      <c r="I1727" s="95"/>
      <c r="J1727" s="73"/>
      <c r="K1727" s="95"/>
      <c r="L1727" s="95"/>
      <c r="M1727" s="12"/>
      <c r="N1727" s="26" t="str">
        <f t="shared" si="2"/>
        <v>
</v>
      </c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</row>
    <row r="1728">
      <c r="A1728" s="12"/>
      <c r="B1728" s="73"/>
      <c r="C1728" s="73"/>
      <c r="D1728" s="95"/>
      <c r="E1728" s="73"/>
      <c r="F1728" s="73"/>
      <c r="G1728" s="73"/>
      <c r="H1728" s="73"/>
      <c r="I1728" s="95"/>
      <c r="J1728" s="73"/>
      <c r="K1728" s="95"/>
      <c r="L1728" s="95"/>
      <c r="M1728" s="12"/>
      <c r="N1728" s="26" t="str">
        <f t="shared" si="2"/>
        <v>
</v>
      </c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</row>
    <row r="1729">
      <c r="A1729" s="87"/>
      <c r="B1729" s="73"/>
      <c r="C1729" s="73"/>
      <c r="D1729" s="95"/>
      <c r="E1729" s="73"/>
      <c r="F1729" s="73"/>
      <c r="G1729" s="73"/>
      <c r="H1729" s="73"/>
      <c r="I1729" s="95"/>
      <c r="J1729" s="73"/>
      <c r="K1729" s="95"/>
      <c r="L1729" s="95"/>
      <c r="M1729" s="12"/>
      <c r="N1729" s="26" t="str">
        <f t="shared" si="2"/>
        <v>
</v>
      </c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</row>
    <row r="1730">
      <c r="A1730" s="12"/>
      <c r="B1730" s="73"/>
      <c r="C1730" s="73"/>
      <c r="D1730" s="95"/>
      <c r="E1730" s="73"/>
      <c r="F1730" s="73"/>
      <c r="G1730" s="73"/>
      <c r="H1730" s="73"/>
      <c r="I1730" s="95"/>
      <c r="J1730" s="73"/>
      <c r="K1730" s="95"/>
      <c r="L1730" s="95"/>
      <c r="M1730" s="12"/>
      <c r="N1730" s="26" t="str">
        <f t="shared" si="2"/>
        <v>
</v>
      </c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</row>
    <row r="1731">
      <c r="A1731" s="87"/>
      <c r="B1731" s="73"/>
      <c r="C1731" s="73"/>
      <c r="D1731" s="95"/>
      <c r="E1731" s="73"/>
      <c r="F1731" s="73"/>
      <c r="G1731" s="73"/>
      <c r="H1731" s="73"/>
      <c r="I1731" s="95"/>
      <c r="J1731" s="73"/>
      <c r="K1731" s="95"/>
      <c r="L1731" s="95"/>
      <c r="M1731" s="12"/>
      <c r="N1731" s="26" t="str">
        <f t="shared" si="2"/>
        <v>
</v>
      </c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</row>
    <row r="1732">
      <c r="A1732" s="12"/>
      <c r="B1732" s="73"/>
      <c r="C1732" s="73"/>
      <c r="D1732" s="95"/>
      <c r="E1732" s="73"/>
      <c r="F1732" s="73"/>
      <c r="G1732" s="73"/>
      <c r="H1732" s="73"/>
      <c r="I1732" s="95"/>
      <c r="J1732" s="73"/>
      <c r="K1732" s="95"/>
      <c r="L1732" s="95"/>
      <c r="M1732" s="12"/>
      <c r="N1732" s="26" t="str">
        <f t="shared" si="2"/>
        <v>
</v>
      </c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</row>
    <row r="1733">
      <c r="A1733" s="87"/>
      <c r="B1733" s="73"/>
      <c r="C1733" s="73"/>
      <c r="D1733" s="95"/>
      <c r="E1733" s="73"/>
      <c r="F1733" s="73"/>
      <c r="G1733" s="73"/>
      <c r="H1733" s="73"/>
      <c r="I1733" s="95"/>
      <c r="J1733" s="73"/>
      <c r="K1733" s="95"/>
      <c r="L1733" s="95"/>
      <c r="M1733" s="12"/>
      <c r="N1733" s="26" t="str">
        <f t="shared" si="2"/>
        <v>
</v>
      </c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</row>
    <row r="1734">
      <c r="A1734" s="12"/>
      <c r="B1734" s="73"/>
      <c r="C1734" s="73"/>
      <c r="D1734" s="95"/>
      <c r="E1734" s="73"/>
      <c r="F1734" s="73"/>
      <c r="G1734" s="73"/>
      <c r="H1734" s="73"/>
      <c r="I1734" s="95"/>
      <c r="J1734" s="73"/>
      <c r="K1734" s="95"/>
      <c r="L1734" s="95"/>
      <c r="M1734" s="12"/>
      <c r="N1734" s="26" t="str">
        <f t="shared" si="2"/>
        <v>
</v>
      </c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</row>
    <row r="1735">
      <c r="A1735" s="87"/>
      <c r="B1735" s="73"/>
      <c r="C1735" s="73"/>
      <c r="D1735" s="95"/>
      <c r="E1735" s="73"/>
      <c r="F1735" s="73"/>
      <c r="G1735" s="73"/>
      <c r="H1735" s="73"/>
      <c r="I1735" s="95"/>
      <c r="J1735" s="73"/>
      <c r="K1735" s="95"/>
      <c r="L1735" s="95"/>
      <c r="M1735" s="12"/>
      <c r="N1735" s="26" t="str">
        <f t="shared" si="2"/>
        <v>
</v>
      </c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</row>
    <row r="1736">
      <c r="A1736" s="12"/>
      <c r="B1736" s="73"/>
      <c r="C1736" s="73"/>
      <c r="D1736" s="95"/>
      <c r="E1736" s="73"/>
      <c r="F1736" s="73"/>
      <c r="G1736" s="73"/>
      <c r="H1736" s="73"/>
      <c r="I1736" s="95"/>
      <c r="J1736" s="73"/>
      <c r="K1736" s="95"/>
      <c r="L1736" s="95"/>
      <c r="M1736" s="12"/>
      <c r="N1736" s="26" t="str">
        <f t="shared" si="2"/>
        <v>
</v>
      </c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</row>
    <row r="1737">
      <c r="A1737" s="87"/>
      <c r="B1737" s="73"/>
      <c r="C1737" s="73"/>
      <c r="D1737" s="95"/>
      <c r="E1737" s="73"/>
      <c r="F1737" s="73"/>
      <c r="G1737" s="73"/>
      <c r="H1737" s="73"/>
      <c r="I1737" s="95"/>
      <c r="J1737" s="73"/>
      <c r="K1737" s="95"/>
      <c r="L1737" s="95"/>
      <c r="M1737" s="12"/>
      <c r="N1737" s="26" t="str">
        <f t="shared" si="2"/>
        <v>
</v>
      </c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</row>
    <row r="1738">
      <c r="A1738" s="26"/>
      <c r="B1738" s="73"/>
      <c r="C1738" s="73"/>
      <c r="D1738" s="95"/>
      <c r="E1738" s="73"/>
      <c r="F1738" s="73"/>
      <c r="G1738" s="73"/>
      <c r="H1738" s="73"/>
      <c r="I1738" s="95"/>
      <c r="J1738" s="73"/>
      <c r="K1738" s="95"/>
      <c r="L1738" s="95"/>
      <c r="M1738" s="22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</row>
    <row r="1739">
      <c r="A1739" s="26"/>
      <c r="B1739" s="73"/>
      <c r="C1739" s="73"/>
      <c r="D1739" s="95"/>
      <c r="E1739" s="73"/>
      <c r="F1739" s="73"/>
      <c r="G1739" s="73"/>
      <c r="H1739" s="73"/>
      <c r="I1739" s="95"/>
      <c r="J1739" s="73"/>
      <c r="K1739" s="95"/>
      <c r="L1739" s="95"/>
      <c r="M1739" s="22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</row>
    <row r="1740">
      <c r="A1740" s="26"/>
      <c r="B1740" s="73"/>
      <c r="C1740" s="73"/>
      <c r="D1740" s="95"/>
      <c r="E1740" s="73"/>
      <c r="F1740" s="73"/>
      <c r="G1740" s="73"/>
      <c r="H1740" s="73"/>
      <c r="I1740" s="95"/>
      <c r="J1740" s="73"/>
      <c r="K1740" s="95"/>
      <c r="L1740" s="95"/>
      <c r="M1740" s="22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</row>
    <row r="1741">
      <c r="A1741" s="26"/>
      <c r="B1741" s="73"/>
      <c r="C1741" s="73"/>
      <c r="D1741" s="95"/>
      <c r="E1741" s="73"/>
      <c r="F1741" s="73"/>
      <c r="G1741" s="73"/>
      <c r="H1741" s="73"/>
      <c r="I1741" s="95"/>
      <c r="J1741" s="73"/>
      <c r="K1741" s="95"/>
      <c r="L1741" s="95"/>
      <c r="M1741" s="22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</row>
    <row r="1742">
      <c r="A1742" s="26"/>
      <c r="B1742" s="73"/>
      <c r="C1742" s="73"/>
      <c r="D1742" s="95"/>
      <c r="E1742" s="73"/>
      <c r="F1742" s="73"/>
      <c r="G1742" s="73"/>
      <c r="H1742" s="73"/>
      <c r="I1742" s="95"/>
      <c r="J1742" s="73"/>
      <c r="K1742" s="95"/>
      <c r="L1742" s="95"/>
      <c r="M1742" s="22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</row>
    <row r="1743">
      <c r="A1743" s="26"/>
      <c r="B1743" s="73"/>
      <c r="C1743" s="73"/>
      <c r="D1743" s="95"/>
      <c r="E1743" s="73"/>
      <c r="F1743" s="73"/>
      <c r="G1743" s="73"/>
      <c r="H1743" s="73"/>
      <c r="I1743" s="95"/>
      <c r="J1743" s="73"/>
      <c r="K1743" s="95"/>
      <c r="L1743" s="95"/>
      <c r="M1743" s="22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</row>
    <row r="1744">
      <c r="A1744" s="26"/>
      <c r="B1744" s="73"/>
      <c r="C1744" s="73"/>
      <c r="D1744" s="95"/>
      <c r="E1744" s="73"/>
      <c r="F1744" s="73"/>
      <c r="G1744" s="73"/>
      <c r="H1744" s="73"/>
      <c r="I1744" s="95"/>
      <c r="J1744" s="73"/>
      <c r="K1744" s="95"/>
      <c r="L1744" s="95"/>
      <c r="M1744" s="22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</row>
    <row r="1745">
      <c r="A1745" s="26"/>
      <c r="B1745" s="73"/>
      <c r="C1745" s="73"/>
      <c r="D1745" s="95"/>
      <c r="E1745" s="73"/>
      <c r="F1745" s="73"/>
      <c r="G1745" s="73"/>
      <c r="H1745" s="73"/>
      <c r="I1745" s="95"/>
      <c r="J1745" s="73"/>
      <c r="K1745" s="95"/>
      <c r="L1745" s="95"/>
      <c r="M1745" s="22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</row>
    <row r="1746">
      <c r="A1746" s="26"/>
      <c r="B1746" s="73"/>
      <c r="C1746" s="73"/>
      <c r="D1746" s="95"/>
      <c r="E1746" s="73"/>
      <c r="F1746" s="73"/>
      <c r="G1746" s="73"/>
      <c r="H1746" s="73"/>
      <c r="I1746" s="95"/>
      <c r="J1746" s="73"/>
      <c r="K1746" s="95"/>
      <c r="L1746" s="95"/>
      <c r="M1746" s="22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</row>
    <row r="1747">
      <c r="A1747" s="26"/>
      <c r="B1747" s="73"/>
      <c r="C1747" s="73"/>
      <c r="D1747" s="95"/>
      <c r="E1747" s="73"/>
      <c r="F1747" s="73"/>
      <c r="G1747" s="73"/>
      <c r="H1747" s="73"/>
      <c r="I1747" s="95"/>
      <c r="J1747" s="73"/>
      <c r="K1747" s="95"/>
      <c r="L1747" s="95"/>
      <c r="M1747" s="22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</row>
    <row r="1748">
      <c r="A1748" s="26"/>
      <c r="B1748" s="73"/>
      <c r="C1748" s="73"/>
      <c r="D1748" s="95"/>
      <c r="E1748" s="73"/>
      <c r="F1748" s="73"/>
      <c r="G1748" s="73"/>
      <c r="H1748" s="73"/>
      <c r="I1748" s="95"/>
      <c r="J1748" s="73"/>
      <c r="K1748" s="95"/>
      <c r="L1748" s="95"/>
      <c r="M1748" s="22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</row>
    <row r="1749">
      <c r="A1749" s="26"/>
      <c r="B1749" s="73"/>
      <c r="C1749" s="73"/>
      <c r="D1749" s="95"/>
      <c r="E1749" s="73"/>
      <c r="F1749" s="73"/>
      <c r="G1749" s="73"/>
      <c r="H1749" s="73"/>
      <c r="I1749" s="95"/>
      <c r="J1749" s="73"/>
      <c r="K1749" s="95"/>
      <c r="L1749" s="95"/>
      <c r="M1749" s="22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</row>
    <row r="1750">
      <c r="A1750" s="26"/>
      <c r="B1750" s="73"/>
      <c r="C1750" s="73"/>
      <c r="D1750" s="95"/>
      <c r="E1750" s="73"/>
      <c r="F1750" s="73"/>
      <c r="G1750" s="73"/>
      <c r="H1750" s="73"/>
      <c r="I1750" s="95"/>
      <c r="J1750" s="73"/>
      <c r="K1750" s="95"/>
      <c r="L1750" s="95"/>
      <c r="M1750" s="22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</row>
    <row r="1751">
      <c r="A1751" s="26"/>
      <c r="B1751" s="73"/>
      <c r="C1751" s="73"/>
      <c r="D1751" s="95"/>
      <c r="E1751" s="73"/>
      <c r="F1751" s="73"/>
      <c r="G1751" s="73"/>
      <c r="H1751" s="73"/>
      <c r="I1751" s="95"/>
      <c r="J1751" s="73"/>
      <c r="K1751" s="95"/>
      <c r="L1751" s="95"/>
      <c r="M1751" s="22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</row>
    <row r="1752">
      <c r="A1752" s="26"/>
      <c r="B1752" s="73"/>
      <c r="C1752" s="73"/>
      <c r="D1752" s="95"/>
      <c r="E1752" s="73"/>
      <c r="F1752" s="73"/>
      <c r="G1752" s="73"/>
      <c r="H1752" s="73"/>
      <c r="I1752" s="95"/>
      <c r="J1752" s="73"/>
      <c r="K1752" s="95"/>
      <c r="L1752" s="95"/>
      <c r="M1752" s="22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</row>
    <row r="1753">
      <c r="A1753" s="26"/>
      <c r="B1753" s="73"/>
      <c r="C1753" s="73"/>
      <c r="D1753" s="95"/>
      <c r="E1753" s="73"/>
      <c r="F1753" s="73"/>
      <c r="G1753" s="73"/>
      <c r="H1753" s="73"/>
      <c r="I1753" s="95"/>
      <c r="J1753" s="73"/>
      <c r="K1753" s="95"/>
      <c r="L1753" s="95"/>
      <c r="M1753" s="22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</row>
    <row r="1754">
      <c r="A1754" s="26"/>
      <c r="B1754" s="73"/>
      <c r="C1754" s="73"/>
      <c r="D1754" s="95"/>
      <c r="E1754" s="73"/>
      <c r="F1754" s="73"/>
      <c r="G1754" s="73"/>
      <c r="H1754" s="73"/>
      <c r="I1754" s="95"/>
      <c r="J1754" s="73"/>
      <c r="K1754" s="95"/>
      <c r="L1754" s="95"/>
      <c r="M1754" s="22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</row>
    <row r="1755">
      <c r="A1755" s="26"/>
      <c r="B1755" s="73"/>
      <c r="C1755" s="73"/>
      <c r="D1755" s="95"/>
      <c r="E1755" s="73"/>
      <c r="F1755" s="73"/>
      <c r="G1755" s="73"/>
      <c r="H1755" s="73"/>
      <c r="I1755" s="95"/>
      <c r="J1755" s="73"/>
      <c r="K1755" s="95"/>
      <c r="L1755" s="95"/>
      <c r="M1755" s="22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</row>
    <row r="1756">
      <c r="A1756" s="26"/>
      <c r="B1756" s="73"/>
      <c r="C1756" s="73"/>
      <c r="D1756" s="95"/>
      <c r="E1756" s="73"/>
      <c r="F1756" s="73"/>
      <c r="G1756" s="73"/>
      <c r="H1756" s="73"/>
      <c r="I1756" s="95"/>
      <c r="J1756" s="73"/>
      <c r="K1756" s="95"/>
      <c r="L1756" s="95"/>
      <c r="M1756" s="22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</row>
    <row r="1757">
      <c r="A1757" s="26"/>
      <c r="B1757" s="73"/>
      <c r="C1757" s="73"/>
      <c r="D1757" s="95"/>
      <c r="E1757" s="73"/>
      <c r="F1757" s="73"/>
      <c r="G1757" s="73"/>
      <c r="H1757" s="73"/>
      <c r="I1757" s="95"/>
      <c r="J1757" s="73"/>
      <c r="K1757" s="95"/>
      <c r="L1757" s="95"/>
      <c r="M1757" s="22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</row>
    <row r="1758">
      <c r="A1758" s="26"/>
      <c r="B1758" s="73"/>
      <c r="C1758" s="73"/>
      <c r="D1758" s="95"/>
      <c r="E1758" s="73"/>
      <c r="F1758" s="73"/>
      <c r="G1758" s="73"/>
      <c r="H1758" s="73"/>
      <c r="I1758" s="95"/>
      <c r="J1758" s="73"/>
      <c r="K1758" s="95"/>
      <c r="L1758" s="95"/>
      <c r="M1758" s="22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</row>
    <row r="1759">
      <c r="A1759" s="26"/>
      <c r="B1759" s="73"/>
      <c r="C1759" s="73"/>
      <c r="D1759" s="95"/>
      <c r="E1759" s="73"/>
      <c r="F1759" s="73"/>
      <c r="G1759" s="73"/>
      <c r="H1759" s="73"/>
      <c r="I1759" s="95"/>
      <c r="J1759" s="73"/>
      <c r="K1759" s="95"/>
      <c r="L1759" s="95"/>
      <c r="M1759" s="22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</row>
    <row r="1760">
      <c r="A1760" s="26"/>
      <c r="B1760" s="73"/>
      <c r="C1760" s="73"/>
      <c r="D1760" s="95"/>
      <c r="E1760" s="73"/>
      <c r="F1760" s="73"/>
      <c r="G1760" s="73"/>
      <c r="H1760" s="73"/>
      <c r="I1760" s="95"/>
      <c r="J1760" s="73"/>
      <c r="K1760" s="95"/>
      <c r="L1760" s="95"/>
      <c r="M1760" s="22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</row>
    <row r="1761">
      <c r="A1761" s="26"/>
      <c r="B1761" s="73"/>
      <c r="C1761" s="73"/>
      <c r="D1761" s="95"/>
      <c r="E1761" s="73"/>
      <c r="F1761" s="73"/>
      <c r="G1761" s="73"/>
      <c r="H1761" s="73"/>
      <c r="I1761" s="95"/>
      <c r="J1761" s="73"/>
      <c r="K1761" s="95"/>
      <c r="L1761" s="95"/>
      <c r="M1761" s="22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</row>
    <row r="1762">
      <c r="A1762" s="26"/>
      <c r="B1762" s="73"/>
      <c r="C1762" s="73"/>
      <c r="D1762" s="95"/>
      <c r="E1762" s="73"/>
      <c r="F1762" s="73"/>
      <c r="G1762" s="73"/>
      <c r="H1762" s="73"/>
      <c r="I1762" s="95"/>
      <c r="J1762" s="73"/>
      <c r="K1762" s="95"/>
      <c r="L1762" s="95"/>
      <c r="M1762" s="22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</row>
    <row r="1763">
      <c r="A1763" s="26"/>
      <c r="B1763" s="73"/>
      <c r="C1763" s="73"/>
      <c r="D1763" s="95"/>
      <c r="E1763" s="73"/>
      <c r="F1763" s="73"/>
      <c r="G1763" s="73"/>
      <c r="H1763" s="73"/>
      <c r="I1763" s="95"/>
      <c r="J1763" s="73"/>
      <c r="K1763" s="95"/>
      <c r="L1763" s="95"/>
      <c r="M1763" s="22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</row>
    <row r="1764">
      <c r="A1764" s="26"/>
      <c r="B1764" s="73"/>
      <c r="C1764" s="73"/>
      <c r="D1764" s="95"/>
      <c r="E1764" s="73"/>
      <c r="F1764" s="73"/>
      <c r="G1764" s="73"/>
      <c r="H1764" s="73"/>
      <c r="I1764" s="95"/>
      <c r="J1764" s="73"/>
      <c r="K1764" s="95"/>
      <c r="L1764" s="95"/>
      <c r="M1764" s="22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</row>
    <row r="1765">
      <c r="A1765" s="26"/>
      <c r="B1765" s="73"/>
      <c r="C1765" s="73"/>
      <c r="D1765" s="95"/>
      <c r="E1765" s="73"/>
      <c r="F1765" s="73"/>
      <c r="G1765" s="73"/>
      <c r="H1765" s="73"/>
      <c r="I1765" s="95"/>
      <c r="J1765" s="73"/>
      <c r="K1765" s="95"/>
      <c r="L1765" s="95"/>
      <c r="M1765" s="22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</row>
    <row r="1766">
      <c r="A1766" s="26"/>
      <c r="B1766" s="73"/>
      <c r="C1766" s="73"/>
      <c r="D1766" s="95"/>
      <c r="E1766" s="73"/>
      <c r="F1766" s="73"/>
      <c r="G1766" s="73"/>
      <c r="H1766" s="73"/>
      <c r="I1766" s="95"/>
      <c r="J1766" s="73"/>
      <c r="K1766" s="95"/>
      <c r="L1766" s="95"/>
      <c r="M1766" s="22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</row>
    <row r="1767">
      <c r="A1767" s="26"/>
      <c r="B1767" s="73"/>
      <c r="C1767" s="73"/>
      <c r="D1767" s="95"/>
      <c r="E1767" s="73"/>
      <c r="F1767" s="73"/>
      <c r="G1767" s="73"/>
      <c r="H1767" s="73"/>
      <c r="I1767" s="95"/>
      <c r="J1767" s="73"/>
      <c r="K1767" s="95"/>
      <c r="L1767" s="95"/>
      <c r="M1767" s="22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</row>
    <row r="1768">
      <c r="A1768" s="26"/>
      <c r="B1768" s="73"/>
      <c r="C1768" s="73"/>
      <c r="D1768" s="95"/>
      <c r="E1768" s="73"/>
      <c r="F1768" s="73"/>
      <c r="G1768" s="73"/>
      <c r="H1768" s="73"/>
      <c r="I1768" s="95"/>
      <c r="J1768" s="73"/>
      <c r="K1768" s="95"/>
      <c r="L1768" s="95"/>
      <c r="M1768" s="22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</row>
    <row r="1769">
      <c r="A1769" s="26"/>
      <c r="B1769" s="73"/>
      <c r="C1769" s="73"/>
      <c r="D1769" s="95"/>
      <c r="E1769" s="73"/>
      <c r="F1769" s="73"/>
      <c r="G1769" s="73"/>
      <c r="H1769" s="73"/>
      <c r="I1769" s="95"/>
      <c r="J1769" s="73"/>
      <c r="K1769" s="95"/>
      <c r="L1769" s="95"/>
      <c r="M1769" s="22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</row>
    <row r="1770">
      <c r="A1770" s="26"/>
      <c r="B1770" s="73"/>
      <c r="C1770" s="73"/>
      <c r="D1770" s="95"/>
      <c r="E1770" s="73"/>
      <c r="F1770" s="73"/>
      <c r="G1770" s="73"/>
      <c r="H1770" s="73"/>
      <c r="I1770" s="95"/>
      <c r="J1770" s="73"/>
      <c r="K1770" s="95"/>
      <c r="L1770" s="95"/>
      <c r="M1770" s="22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</row>
    <row r="1771">
      <c r="A1771" s="26"/>
      <c r="B1771" s="73"/>
      <c r="C1771" s="73"/>
      <c r="D1771" s="95"/>
      <c r="E1771" s="73"/>
      <c r="F1771" s="73"/>
      <c r="G1771" s="73"/>
      <c r="H1771" s="73"/>
      <c r="I1771" s="95"/>
      <c r="J1771" s="73"/>
      <c r="K1771" s="95"/>
      <c r="L1771" s="95"/>
      <c r="M1771" s="22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</row>
    <row r="1772">
      <c r="A1772" s="26"/>
      <c r="B1772" s="73"/>
      <c r="C1772" s="73"/>
      <c r="D1772" s="95"/>
      <c r="E1772" s="73"/>
      <c r="F1772" s="73"/>
      <c r="G1772" s="73"/>
      <c r="H1772" s="73"/>
      <c r="I1772" s="95"/>
      <c r="J1772" s="73"/>
      <c r="K1772" s="95"/>
      <c r="L1772" s="95"/>
      <c r="M1772" s="22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</row>
    <row r="1773">
      <c r="A1773" s="26"/>
      <c r="B1773" s="73"/>
      <c r="C1773" s="73"/>
      <c r="D1773" s="95"/>
      <c r="E1773" s="73"/>
      <c r="F1773" s="73"/>
      <c r="G1773" s="73"/>
      <c r="H1773" s="73"/>
      <c r="I1773" s="95"/>
      <c r="J1773" s="73"/>
      <c r="K1773" s="95"/>
      <c r="L1773" s="95"/>
      <c r="M1773" s="22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</row>
    <row r="1774">
      <c r="A1774" s="26"/>
      <c r="B1774" s="73"/>
      <c r="C1774" s="73"/>
      <c r="D1774" s="95"/>
      <c r="E1774" s="73"/>
      <c r="F1774" s="73"/>
      <c r="G1774" s="73"/>
      <c r="H1774" s="73"/>
      <c r="I1774" s="95"/>
      <c r="J1774" s="73"/>
      <c r="K1774" s="95"/>
      <c r="L1774" s="95"/>
      <c r="M1774" s="22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</row>
    <row r="1775">
      <c r="A1775" s="26"/>
      <c r="B1775" s="73"/>
      <c r="C1775" s="73"/>
      <c r="D1775" s="95"/>
      <c r="E1775" s="73"/>
      <c r="F1775" s="73"/>
      <c r="G1775" s="73"/>
      <c r="H1775" s="73"/>
      <c r="I1775" s="95"/>
      <c r="J1775" s="73"/>
      <c r="K1775" s="95"/>
      <c r="L1775" s="95"/>
      <c r="M1775" s="22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</row>
    <row r="1776">
      <c r="A1776" s="26"/>
      <c r="B1776" s="73"/>
      <c r="C1776" s="73"/>
      <c r="D1776" s="95"/>
      <c r="E1776" s="73"/>
      <c r="F1776" s="73"/>
      <c r="G1776" s="73"/>
      <c r="H1776" s="73"/>
      <c r="I1776" s="95"/>
      <c r="J1776" s="73"/>
      <c r="K1776" s="95"/>
      <c r="L1776" s="95"/>
      <c r="M1776" s="22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</row>
    <row r="1777">
      <c r="A1777" s="26"/>
      <c r="B1777" s="73"/>
      <c r="C1777" s="73"/>
      <c r="D1777" s="95"/>
      <c r="E1777" s="73"/>
      <c r="F1777" s="73"/>
      <c r="G1777" s="73"/>
      <c r="H1777" s="73"/>
      <c r="I1777" s="95"/>
      <c r="J1777" s="73"/>
      <c r="K1777" s="95"/>
      <c r="L1777" s="95"/>
      <c r="M1777" s="22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</row>
    <row r="1778">
      <c r="A1778" s="26"/>
      <c r="B1778" s="73"/>
      <c r="C1778" s="73"/>
      <c r="D1778" s="95"/>
      <c r="E1778" s="73"/>
      <c r="F1778" s="73"/>
      <c r="G1778" s="73"/>
      <c r="H1778" s="73"/>
      <c r="I1778" s="95"/>
      <c r="J1778" s="73"/>
      <c r="K1778" s="95"/>
      <c r="L1778" s="95"/>
      <c r="M1778" s="22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</row>
    <row r="1779">
      <c r="A1779" s="26"/>
      <c r="B1779" s="73"/>
      <c r="C1779" s="73"/>
      <c r="D1779" s="95"/>
      <c r="E1779" s="73"/>
      <c r="F1779" s="73"/>
      <c r="G1779" s="73"/>
      <c r="H1779" s="73"/>
      <c r="I1779" s="95"/>
      <c r="J1779" s="73"/>
      <c r="K1779" s="95"/>
      <c r="L1779" s="95"/>
      <c r="M1779" s="22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</row>
    <row r="1780">
      <c r="A1780" s="26"/>
      <c r="B1780" s="73"/>
      <c r="C1780" s="73"/>
      <c r="D1780" s="95"/>
      <c r="E1780" s="73"/>
      <c r="F1780" s="73"/>
      <c r="G1780" s="73"/>
      <c r="H1780" s="73"/>
      <c r="I1780" s="95"/>
      <c r="J1780" s="73"/>
      <c r="K1780" s="95"/>
      <c r="L1780" s="95"/>
      <c r="M1780" s="22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</row>
    <row r="1781">
      <c r="A1781" s="26"/>
      <c r="B1781" s="73"/>
      <c r="C1781" s="73"/>
      <c r="D1781" s="95"/>
      <c r="E1781" s="73"/>
      <c r="F1781" s="73"/>
      <c r="G1781" s="73"/>
      <c r="H1781" s="73"/>
      <c r="I1781" s="95"/>
      <c r="J1781" s="73"/>
      <c r="K1781" s="95"/>
      <c r="L1781" s="95"/>
      <c r="M1781" s="22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</row>
    <row r="1782">
      <c r="A1782" s="26"/>
      <c r="B1782" s="73"/>
      <c r="C1782" s="73"/>
      <c r="D1782" s="95"/>
      <c r="E1782" s="73"/>
      <c r="F1782" s="73"/>
      <c r="G1782" s="73"/>
      <c r="H1782" s="73"/>
      <c r="I1782" s="95"/>
      <c r="J1782" s="73"/>
      <c r="K1782" s="95"/>
      <c r="L1782" s="95"/>
      <c r="M1782" s="22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</row>
    <row r="1783">
      <c r="A1783" s="26"/>
      <c r="B1783" s="73"/>
      <c r="C1783" s="73"/>
      <c r="D1783" s="95"/>
      <c r="E1783" s="73"/>
      <c r="F1783" s="73"/>
      <c r="G1783" s="73"/>
      <c r="H1783" s="73"/>
      <c r="I1783" s="95"/>
      <c r="J1783" s="73"/>
      <c r="K1783" s="95"/>
      <c r="L1783" s="95"/>
      <c r="M1783" s="22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</row>
    <row r="1784">
      <c r="A1784" s="26"/>
      <c r="B1784" s="73"/>
      <c r="C1784" s="73"/>
      <c r="D1784" s="95"/>
      <c r="E1784" s="73"/>
      <c r="F1784" s="73"/>
      <c r="G1784" s="73"/>
      <c r="H1784" s="73"/>
      <c r="I1784" s="95"/>
      <c r="J1784" s="73"/>
      <c r="K1784" s="95"/>
      <c r="L1784" s="95"/>
      <c r="M1784" s="22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</row>
    <row r="1785">
      <c r="A1785" s="26"/>
      <c r="B1785" s="73"/>
      <c r="C1785" s="73"/>
      <c r="D1785" s="95"/>
      <c r="E1785" s="73"/>
      <c r="F1785" s="73"/>
      <c r="G1785" s="73"/>
      <c r="H1785" s="73"/>
      <c r="I1785" s="95"/>
      <c r="J1785" s="73"/>
      <c r="K1785" s="95"/>
      <c r="L1785" s="95"/>
      <c r="M1785" s="22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</row>
    <row r="1786">
      <c r="A1786" s="26"/>
      <c r="B1786" s="73"/>
      <c r="C1786" s="73"/>
      <c r="D1786" s="95"/>
      <c r="E1786" s="73"/>
      <c r="F1786" s="73"/>
      <c r="G1786" s="73"/>
      <c r="H1786" s="73"/>
      <c r="I1786" s="95"/>
      <c r="J1786" s="73"/>
      <c r="K1786" s="95"/>
      <c r="L1786" s="95"/>
      <c r="M1786" s="22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</row>
    <row r="1787">
      <c r="A1787" s="26"/>
      <c r="B1787" s="73"/>
      <c r="C1787" s="73"/>
      <c r="D1787" s="95"/>
      <c r="E1787" s="73"/>
      <c r="F1787" s="73"/>
      <c r="G1787" s="73"/>
      <c r="H1787" s="73"/>
      <c r="I1787" s="95"/>
      <c r="J1787" s="73"/>
      <c r="K1787" s="95"/>
      <c r="L1787" s="95"/>
      <c r="M1787" s="22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</row>
    <row r="1788">
      <c r="A1788" s="26"/>
      <c r="B1788" s="73"/>
      <c r="C1788" s="73"/>
      <c r="D1788" s="95"/>
      <c r="E1788" s="73"/>
      <c r="F1788" s="73"/>
      <c r="G1788" s="73"/>
      <c r="H1788" s="73"/>
      <c r="I1788" s="95"/>
      <c r="J1788" s="73"/>
      <c r="K1788" s="95"/>
      <c r="L1788" s="95"/>
      <c r="M1788" s="22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</row>
    <row r="1789">
      <c r="A1789" s="26"/>
      <c r="B1789" s="73"/>
      <c r="C1789" s="73"/>
      <c r="D1789" s="95"/>
      <c r="E1789" s="73"/>
      <c r="F1789" s="73"/>
      <c r="G1789" s="73"/>
      <c r="H1789" s="73"/>
      <c r="I1789" s="95"/>
      <c r="J1789" s="73"/>
      <c r="K1789" s="95"/>
      <c r="L1789" s="95"/>
      <c r="M1789" s="22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</row>
    <row r="1790">
      <c r="A1790" s="26"/>
      <c r="B1790" s="73"/>
      <c r="C1790" s="73"/>
      <c r="D1790" s="95"/>
      <c r="E1790" s="73"/>
      <c r="F1790" s="73"/>
      <c r="G1790" s="73"/>
      <c r="H1790" s="73"/>
      <c r="I1790" s="95"/>
      <c r="J1790" s="73"/>
      <c r="K1790" s="95"/>
      <c r="L1790" s="95"/>
      <c r="M1790" s="22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</row>
    <row r="1791">
      <c r="A1791" s="26"/>
      <c r="B1791" s="73"/>
      <c r="C1791" s="73"/>
      <c r="D1791" s="95"/>
      <c r="E1791" s="73"/>
      <c r="F1791" s="73"/>
      <c r="G1791" s="73"/>
      <c r="H1791" s="73"/>
      <c r="I1791" s="95"/>
      <c r="J1791" s="73"/>
      <c r="K1791" s="95"/>
      <c r="L1791" s="95"/>
      <c r="M1791" s="22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</row>
    <row r="1792">
      <c r="A1792" s="26"/>
      <c r="B1792" s="73"/>
      <c r="C1792" s="73"/>
      <c r="D1792" s="95"/>
      <c r="E1792" s="73"/>
      <c r="F1792" s="73"/>
      <c r="G1792" s="73"/>
      <c r="H1792" s="73"/>
      <c r="I1792" s="95"/>
      <c r="J1792" s="73"/>
      <c r="K1792" s="95"/>
      <c r="L1792" s="95"/>
      <c r="M1792" s="22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</row>
    <row r="1793">
      <c r="A1793" s="26"/>
      <c r="B1793" s="73"/>
      <c r="C1793" s="73"/>
      <c r="D1793" s="95"/>
      <c r="E1793" s="73"/>
      <c r="F1793" s="73"/>
      <c r="G1793" s="73"/>
      <c r="H1793" s="73"/>
      <c r="I1793" s="95"/>
      <c r="J1793" s="73"/>
      <c r="K1793" s="95"/>
      <c r="L1793" s="95"/>
      <c r="M1793" s="22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</row>
    <row r="1794">
      <c r="A1794" s="26"/>
      <c r="B1794" s="73"/>
      <c r="C1794" s="73"/>
      <c r="D1794" s="95"/>
      <c r="E1794" s="73"/>
      <c r="F1794" s="73"/>
      <c r="G1794" s="73"/>
      <c r="H1794" s="73"/>
      <c r="I1794" s="95"/>
      <c r="J1794" s="73"/>
      <c r="K1794" s="95"/>
      <c r="L1794" s="95"/>
      <c r="M1794" s="22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</row>
    <row r="1795">
      <c r="A1795" s="26"/>
      <c r="B1795" s="73"/>
      <c r="C1795" s="73"/>
      <c r="D1795" s="95"/>
      <c r="E1795" s="73"/>
      <c r="F1795" s="73"/>
      <c r="G1795" s="73"/>
      <c r="H1795" s="73"/>
      <c r="I1795" s="95"/>
      <c r="J1795" s="73"/>
      <c r="K1795" s="95"/>
      <c r="L1795" s="95"/>
      <c r="M1795" s="22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</row>
    <row r="1796">
      <c r="A1796" s="26"/>
      <c r="B1796" s="73"/>
      <c r="C1796" s="73"/>
      <c r="D1796" s="95"/>
      <c r="E1796" s="73"/>
      <c r="F1796" s="73"/>
      <c r="G1796" s="73"/>
      <c r="H1796" s="73"/>
      <c r="I1796" s="95"/>
      <c r="J1796" s="73"/>
      <c r="K1796" s="95"/>
      <c r="L1796" s="95"/>
      <c r="M1796" s="22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</row>
    <row r="1797">
      <c r="A1797" s="26"/>
      <c r="B1797" s="73"/>
      <c r="C1797" s="73"/>
      <c r="D1797" s="95"/>
      <c r="E1797" s="73"/>
      <c r="F1797" s="73"/>
      <c r="G1797" s="73"/>
      <c r="H1797" s="73"/>
      <c r="I1797" s="95"/>
      <c r="J1797" s="73"/>
      <c r="K1797" s="95"/>
      <c r="L1797" s="95"/>
      <c r="M1797" s="22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</row>
    <row r="1798">
      <c r="A1798" s="26"/>
      <c r="B1798" s="73"/>
      <c r="C1798" s="73"/>
      <c r="D1798" s="95"/>
      <c r="E1798" s="73"/>
      <c r="F1798" s="73"/>
      <c r="G1798" s="73"/>
      <c r="H1798" s="73"/>
      <c r="I1798" s="95"/>
      <c r="J1798" s="73"/>
      <c r="K1798" s="95"/>
      <c r="L1798" s="95"/>
      <c r="M1798" s="22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</row>
    <row r="1799">
      <c r="A1799" s="26"/>
      <c r="B1799" s="73"/>
      <c r="C1799" s="73"/>
      <c r="D1799" s="95"/>
      <c r="E1799" s="73"/>
      <c r="F1799" s="73"/>
      <c r="G1799" s="73"/>
      <c r="H1799" s="73"/>
      <c r="I1799" s="95"/>
      <c r="J1799" s="73"/>
      <c r="K1799" s="95"/>
      <c r="L1799" s="95"/>
      <c r="M1799" s="22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</row>
    <row r="1800">
      <c r="A1800" s="26"/>
      <c r="B1800" s="73"/>
      <c r="C1800" s="73"/>
      <c r="D1800" s="95"/>
      <c r="E1800" s="73"/>
      <c r="F1800" s="73"/>
      <c r="G1800" s="73"/>
      <c r="H1800" s="73"/>
      <c r="I1800" s="95"/>
      <c r="J1800" s="73"/>
      <c r="K1800" s="95"/>
      <c r="L1800" s="95"/>
      <c r="M1800" s="22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</row>
    <row r="1801">
      <c r="A1801" s="26"/>
      <c r="B1801" s="73"/>
      <c r="C1801" s="73"/>
      <c r="D1801" s="95"/>
      <c r="E1801" s="73"/>
      <c r="F1801" s="73"/>
      <c r="G1801" s="73"/>
      <c r="H1801" s="73"/>
      <c r="I1801" s="95"/>
      <c r="J1801" s="73"/>
      <c r="K1801" s="95"/>
      <c r="L1801" s="95"/>
      <c r="M1801" s="22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</row>
    <row r="1802">
      <c r="A1802" s="26"/>
      <c r="B1802" s="73"/>
      <c r="C1802" s="73"/>
      <c r="D1802" s="95"/>
      <c r="E1802" s="73"/>
      <c r="F1802" s="73"/>
      <c r="G1802" s="73"/>
      <c r="H1802" s="73"/>
      <c r="I1802" s="95"/>
      <c r="J1802" s="73"/>
      <c r="K1802" s="95"/>
      <c r="L1802" s="95"/>
      <c r="M1802" s="22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</row>
    <row r="1803">
      <c r="A1803" s="26"/>
      <c r="B1803" s="73"/>
      <c r="C1803" s="73"/>
      <c r="D1803" s="95"/>
      <c r="E1803" s="73"/>
      <c r="F1803" s="73"/>
      <c r="G1803" s="73"/>
      <c r="H1803" s="73"/>
      <c r="I1803" s="95"/>
      <c r="J1803" s="73"/>
      <c r="K1803" s="95"/>
      <c r="L1803" s="95"/>
      <c r="M1803" s="22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</row>
    <row r="1804">
      <c r="A1804" s="26"/>
      <c r="B1804" s="73"/>
      <c r="C1804" s="73"/>
      <c r="D1804" s="95"/>
      <c r="E1804" s="73"/>
      <c r="F1804" s="73"/>
      <c r="G1804" s="73"/>
      <c r="H1804" s="73"/>
      <c r="I1804" s="95"/>
      <c r="J1804" s="73"/>
      <c r="K1804" s="95"/>
      <c r="L1804" s="95"/>
      <c r="M1804" s="22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</row>
    <row r="1805">
      <c r="A1805" s="26"/>
      <c r="B1805" s="73"/>
      <c r="C1805" s="73"/>
      <c r="D1805" s="95"/>
      <c r="E1805" s="73"/>
      <c r="F1805" s="73"/>
      <c r="G1805" s="73"/>
      <c r="H1805" s="73"/>
      <c r="I1805" s="95"/>
      <c r="J1805" s="73"/>
      <c r="K1805" s="95"/>
      <c r="L1805" s="95"/>
      <c r="M1805" s="22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</row>
    <row r="1806">
      <c r="A1806" s="26"/>
      <c r="B1806" s="73"/>
      <c r="C1806" s="73"/>
      <c r="D1806" s="95"/>
      <c r="E1806" s="73"/>
      <c r="F1806" s="73"/>
      <c r="G1806" s="73"/>
      <c r="H1806" s="73"/>
      <c r="I1806" s="95"/>
      <c r="J1806" s="73"/>
      <c r="K1806" s="95"/>
      <c r="L1806" s="95"/>
      <c r="M1806" s="22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</row>
    <row r="1807">
      <c r="A1807" s="26"/>
      <c r="B1807" s="73"/>
      <c r="C1807" s="73"/>
      <c r="D1807" s="95"/>
      <c r="E1807" s="73"/>
      <c r="F1807" s="73"/>
      <c r="G1807" s="73"/>
      <c r="H1807" s="73"/>
      <c r="I1807" s="95"/>
      <c r="J1807" s="73"/>
      <c r="K1807" s="95"/>
      <c r="L1807" s="95"/>
      <c r="M1807" s="22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</row>
    <row r="1808">
      <c r="A1808" s="26"/>
      <c r="B1808" s="73"/>
      <c r="C1808" s="73"/>
      <c r="D1808" s="95"/>
      <c r="E1808" s="73"/>
      <c r="F1808" s="73"/>
      <c r="G1808" s="73"/>
      <c r="H1808" s="73"/>
      <c r="I1808" s="95"/>
      <c r="J1808" s="73"/>
      <c r="K1808" s="95"/>
      <c r="L1808" s="95"/>
      <c r="M1808" s="22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</row>
    <row r="1809">
      <c r="A1809" s="26"/>
      <c r="B1809" s="73"/>
      <c r="C1809" s="73"/>
      <c r="D1809" s="95"/>
      <c r="E1809" s="73"/>
      <c r="F1809" s="73"/>
      <c r="G1809" s="73"/>
      <c r="H1809" s="73"/>
      <c r="I1809" s="95"/>
      <c r="J1809" s="73"/>
      <c r="K1809" s="95"/>
      <c r="L1809" s="95"/>
      <c r="M1809" s="22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</row>
    <row r="1810">
      <c r="A1810" s="26"/>
      <c r="B1810" s="73"/>
      <c r="C1810" s="73"/>
      <c r="D1810" s="95"/>
      <c r="E1810" s="73"/>
      <c r="F1810" s="73"/>
      <c r="G1810" s="73"/>
      <c r="H1810" s="73"/>
      <c r="I1810" s="95"/>
      <c r="J1810" s="73"/>
      <c r="K1810" s="95"/>
      <c r="L1810" s="95"/>
      <c r="M1810" s="22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</row>
    <row r="1811">
      <c r="A1811" s="26"/>
      <c r="B1811" s="73"/>
      <c r="C1811" s="73"/>
      <c r="D1811" s="95"/>
      <c r="E1811" s="73"/>
      <c r="F1811" s="73"/>
      <c r="G1811" s="73"/>
      <c r="H1811" s="73"/>
      <c r="I1811" s="95"/>
      <c r="J1811" s="73"/>
      <c r="K1811" s="95"/>
      <c r="L1811" s="95"/>
      <c r="M1811" s="22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</row>
    <row r="1812">
      <c r="A1812" s="26"/>
      <c r="B1812" s="73"/>
      <c r="C1812" s="73"/>
      <c r="D1812" s="95"/>
      <c r="E1812" s="73"/>
      <c r="F1812" s="73"/>
      <c r="G1812" s="73"/>
      <c r="H1812" s="73"/>
      <c r="I1812" s="95"/>
      <c r="J1812" s="73"/>
      <c r="K1812" s="95"/>
      <c r="L1812" s="95"/>
      <c r="M1812" s="22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</row>
    <row r="1813">
      <c r="A1813" s="26"/>
      <c r="B1813" s="73"/>
      <c r="C1813" s="73"/>
      <c r="D1813" s="95"/>
      <c r="E1813" s="73"/>
      <c r="F1813" s="73"/>
      <c r="G1813" s="73"/>
      <c r="H1813" s="73"/>
      <c r="I1813" s="95"/>
      <c r="J1813" s="73"/>
      <c r="K1813" s="95"/>
      <c r="L1813" s="95"/>
      <c r="M1813" s="22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</row>
    <row r="1814">
      <c r="A1814" s="26"/>
      <c r="B1814" s="73"/>
      <c r="C1814" s="73"/>
      <c r="D1814" s="95"/>
      <c r="E1814" s="73"/>
      <c r="F1814" s="73"/>
      <c r="G1814" s="73"/>
      <c r="H1814" s="73"/>
      <c r="I1814" s="95"/>
      <c r="J1814" s="73"/>
      <c r="K1814" s="95"/>
      <c r="L1814" s="95"/>
      <c r="M1814" s="22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</row>
    <row r="1815">
      <c r="A1815" s="26"/>
      <c r="B1815" s="73"/>
      <c r="C1815" s="73"/>
      <c r="D1815" s="95"/>
      <c r="E1815" s="73"/>
      <c r="F1815" s="73"/>
      <c r="G1815" s="73"/>
      <c r="H1815" s="73"/>
      <c r="I1815" s="95"/>
      <c r="J1815" s="73"/>
      <c r="K1815" s="95"/>
      <c r="L1815" s="95"/>
      <c r="M1815" s="22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</row>
    <row r="1816">
      <c r="A1816" s="26"/>
      <c r="B1816" s="73"/>
      <c r="C1816" s="73"/>
      <c r="D1816" s="95"/>
      <c r="E1816" s="73"/>
      <c r="F1816" s="73"/>
      <c r="G1816" s="73"/>
      <c r="H1816" s="73"/>
      <c r="I1816" s="95"/>
      <c r="J1816" s="73"/>
      <c r="K1816" s="95"/>
      <c r="L1816" s="95"/>
      <c r="M1816" s="22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</row>
    <row r="1817">
      <c r="A1817" s="26"/>
      <c r="B1817" s="73"/>
      <c r="C1817" s="73"/>
      <c r="D1817" s="95"/>
      <c r="E1817" s="73"/>
      <c r="F1817" s="73"/>
      <c r="G1817" s="73"/>
      <c r="H1817" s="73"/>
      <c r="I1817" s="95"/>
      <c r="J1817" s="73"/>
      <c r="K1817" s="95"/>
      <c r="L1817" s="95"/>
      <c r="M1817" s="22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</row>
    <row r="1818">
      <c r="A1818" s="26"/>
      <c r="B1818" s="73"/>
      <c r="C1818" s="73"/>
      <c r="D1818" s="95"/>
      <c r="E1818" s="73"/>
      <c r="F1818" s="73"/>
      <c r="G1818" s="73"/>
      <c r="H1818" s="73"/>
      <c r="I1818" s="95"/>
      <c r="J1818" s="73"/>
      <c r="K1818" s="95"/>
      <c r="L1818" s="95"/>
      <c r="M1818" s="22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</row>
    <row r="1819">
      <c r="A1819" s="26"/>
      <c r="B1819" s="73"/>
      <c r="C1819" s="73"/>
      <c r="D1819" s="95"/>
      <c r="E1819" s="73"/>
      <c r="F1819" s="73"/>
      <c r="G1819" s="73"/>
      <c r="H1819" s="73"/>
      <c r="I1819" s="95"/>
      <c r="J1819" s="73"/>
      <c r="K1819" s="95"/>
      <c r="L1819" s="95"/>
      <c r="M1819" s="22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</row>
    <row r="1820">
      <c r="A1820" s="26"/>
      <c r="B1820" s="73"/>
      <c r="C1820" s="73"/>
      <c r="D1820" s="95"/>
      <c r="E1820" s="73"/>
      <c r="F1820" s="73"/>
      <c r="G1820" s="73"/>
      <c r="H1820" s="73"/>
      <c r="I1820" s="95"/>
      <c r="J1820" s="73"/>
      <c r="K1820" s="95"/>
      <c r="L1820" s="95"/>
      <c r="M1820" s="22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</row>
    <row r="1821">
      <c r="A1821" s="26"/>
      <c r="B1821" s="73"/>
      <c r="C1821" s="73"/>
      <c r="D1821" s="95"/>
      <c r="E1821" s="73"/>
      <c r="F1821" s="73"/>
      <c r="G1821" s="73"/>
      <c r="H1821" s="73"/>
      <c r="I1821" s="95"/>
      <c r="J1821" s="73"/>
      <c r="K1821" s="95"/>
      <c r="L1821" s="95"/>
      <c r="M1821" s="22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</row>
    <row r="1822">
      <c r="A1822" s="26"/>
      <c r="B1822" s="73"/>
      <c r="C1822" s="73"/>
      <c r="D1822" s="95"/>
      <c r="E1822" s="73"/>
      <c r="F1822" s="73"/>
      <c r="G1822" s="73"/>
      <c r="H1822" s="73"/>
      <c r="I1822" s="95"/>
      <c r="J1822" s="73"/>
      <c r="K1822" s="95"/>
      <c r="L1822" s="95"/>
      <c r="M1822" s="22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</row>
    <row r="1823">
      <c r="A1823" s="26"/>
      <c r="B1823" s="73"/>
      <c r="C1823" s="73"/>
      <c r="D1823" s="95"/>
      <c r="E1823" s="73"/>
      <c r="F1823" s="73"/>
      <c r="G1823" s="73"/>
      <c r="H1823" s="73"/>
      <c r="I1823" s="95"/>
      <c r="J1823" s="73"/>
      <c r="K1823" s="95"/>
      <c r="L1823" s="95"/>
      <c r="M1823" s="22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</row>
    <row r="1824">
      <c r="A1824" s="26"/>
      <c r="B1824" s="73"/>
      <c r="C1824" s="73"/>
      <c r="D1824" s="95"/>
      <c r="E1824" s="73"/>
      <c r="F1824" s="73"/>
      <c r="G1824" s="73"/>
      <c r="H1824" s="73"/>
      <c r="I1824" s="95"/>
      <c r="J1824" s="73"/>
      <c r="K1824" s="95"/>
      <c r="L1824" s="95"/>
      <c r="M1824" s="22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</row>
    <row r="1825">
      <c r="A1825" s="26"/>
      <c r="B1825" s="73"/>
      <c r="C1825" s="73"/>
      <c r="D1825" s="95"/>
      <c r="E1825" s="73"/>
      <c r="F1825" s="73"/>
      <c r="G1825" s="73"/>
      <c r="H1825" s="73"/>
      <c r="I1825" s="95"/>
      <c r="J1825" s="73"/>
      <c r="K1825" s="95"/>
      <c r="L1825" s="95"/>
      <c r="M1825" s="22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</row>
    <row r="1826">
      <c r="A1826" s="26"/>
      <c r="B1826" s="73"/>
      <c r="C1826" s="73"/>
      <c r="D1826" s="95"/>
      <c r="E1826" s="73"/>
      <c r="F1826" s="73"/>
      <c r="G1826" s="73"/>
      <c r="H1826" s="73"/>
      <c r="I1826" s="95"/>
      <c r="J1826" s="73"/>
      <c r="K1826" s="95"/>
      <c r="L1826" s="95"/>
      <c r="M1826" s="22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</row>
    <row r="1827">
      <c r="A1827" s="26"/>
      <c r="B1827" s="73"/>
      <c r="C1827" s="73"/>
      <c r="D1827" s="95"/>
      <c r="E1827" s="73"/>
      <c r="F1827" s="73"/>
      <c r="G1827" s="73"/>
      <c r="H1827" s="73"/>
      <c r="I1827" s="95"/>
      <c r="J1827" s="73"/>
      <c r="K1827" s="95"/>
      <c r="L1827" s="95"/>
      <c r="M1827" s="22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</row>
    <row r="1828">
      <c r="A1828" s="26"/>
      <c r="B1828" s="73"/>
      <c r="C1828" s="73"/>
      <c r="D1828" s="95"/>
      <c r="E1828" s="73"/>
      <c r="F1828" s="73"/>
      <c r="G1828" s="73"/>
      <c r="H1828" s="73"/>
      <c r="I1828" s="95"/>
      <c r="J1828" s="73"/>
      <c r="K1828" s="95"/>
      <c r="L1828" s="95"/>
      <c r="M1828" s="22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</row>
    <row r="1829">
      <c r="A1829" s="26"/>
      <c r="B1829" s="73"/>
      <c r="C1829" s="73"/>
      <c r="D1829" s="95"/>
      <c r="E1829" s="73"/>
      <c r="F1829" s="73"/>
      <c r="G1829" s="73"/>
      <c r="H1829" s="73"/>
      <c r="I1829" s="95"/>
      <c r="J1829" s="73"/>
      <c r="K1829" s="95"/>
      <c r="L1829" s="95"/>
      <c r="M1829" s="22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</row>
    <row r="1830">
      <c r="A1830" s="26"/>
      <c r="B1830" s="73"/>
      <c r="C1830" s="73"/>
      <c r="D1830" s="95"/>
      <c r="E1830" s="73"/>
      <c r="F1830" s="73"/>
      <c r="G1830" s="73"/>
      <c r="H1830" s="73"/>
      <c r="I1830" s="95"/>
      <c r="J1830" s="73"/>
      <c r="K1830" s="95"/>
      <c r="L1830" s="95"/>
      <c r="M1830" s="22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</row>
    <row r="1831">
      <c r="A1831" s="26"/>
      <c r="B1831" s="73"/>
      <c r="C1831" s="73"/>
      <c r="D1831" s="95"/>
      <c r="E1831" s="73"/>
      <c r="F1831" s="73"/>
      <c r="G1831" s="73"/>
      <c r="H1831" s="73"/>
      <c r="I1831" s="95"/>
      <c r="J1831" s="73"/>
      <c r="K1831" s="95"/>
      <c r="L1831" s="95"/>
      <c r="M1831" s="22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</row>
    <row r="1832">
      <c r="A1832" s="26"/>
      <c r="B1832" s="73"/>
      <c r="C1832" s="73"/>
      <c r="D1832" s="95"/>
      <c r="E1832" s="73"/>
      <c r="F1832" s="73"/>
      <c r="G1832" s="73"/>
      <c r="H1832" s="73"/>
      <c r="I1832" s="95"/>
      <c r="J1832" s="73"/>
      <c r="K1832" s="95"/>
      <c r="L1832" s="95"/>
      <c r="M1832" s="22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</row>
    <row r="1833">
      <c r="A1833" s="26"/>
      <c r="B1833" s="73"/>
      <c r="C1833" s="73"/>
      <c r="D1833" s="95"/>
      <c r="E1833" s="73"/>
      <c r="F1833" s="73"/>
      <c r="G1833" s="73"/>
      <c r="H1833" s="73"/>
      <c r="I1833" s="95"/>
      <c r="J1833" s="73"/>
      <c r="K1833" s="95"/>
      <c r="L1833" s="95"/>
      <c r="M1833" s="22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</row>
    <row r="1834">
      <c r="A1834" s="26"/>
      <c r="B1834" s="73"/>
      <c r="C1834" s="73"/>
      <c r="D1834" s="95"/>
      <c r="E1834" s="73"/>
      <c r="F1834" s="73"/>
      <c r="G1834" s="73"/>
      <c r="H1834" s="73"/>
      <c r="I1834" s="95"/>
      <c r="J1834" s="73"/>
      <c r="K1834" s="95"/>
      <c r="L1834" s="95"/>
      <c r="M1834" s="22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</row>
    <row r="1835">
      <c r="A1835" s="26"/>
      <c r="B1835" s="73"/>
      <c r="C1835" s="73"/>
      <c r="D1835" s="95"/>
      <c r="E1835" s="73"/>
      <c r="F1835" s="73"/>
      <c r="G1835" s="73"/>
      <c r="H1835" s="73"/>
      <c r="I1835" s="95"/>
      <c r="J1835" s="73"/>
      <c r="K1835" s="95"/>
      <c r="L1835" s="95"/>
      <c r="M1835" s="22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</row>
    <row r="1836">
      <c r="A1836" s="26"/>
      <c r="B1836" s="73"/>
      <c r="C1836" s="73"/>
      <c r="D1836" s="95"/>
      <c r="E1836" s="73"/>
      <c r="F1836" s="73"/>
      <c r="G1836" s="73"/>
      <c r="H1836" s="73"/>
      <c r="I1836" s="95"/>
      <c r="J1836" s="73"/>
      <c r="K1836" s="95"/>
      <c r="L1836" s="95"/>
      <c r="M1836" s="22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</row>
    <row r="1837">
      <c r="A1837" s="26"/>
      <c r="B1837" s="73"/>
      <c r="C1837" s="73"/>
      <c r="D1837" s="95"/>
      <c r="E1837" s="73"/>
      <c r="F1837" s="73"/>
      <c r="G1837" s="73"/>
      <c r="H1837" s="73"/>
      <c r="I1837" s="95"/>
      <c r="J1837" s="73"/>
      <c r="K1837" s="95"/>
      <c r="L1837" s="95"/>
      <c r="M1837" s="22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</row>
    <row r="1838">
      <c r="A1838" s="26"/>
      <c r="B1838" s="73"/>
      <c r="C1838" s="73"/>
      <c r="D1838" s="95"/>
      <c r="E1838" s="73"/>
      <c r="F1838" s="73"/>
      <c r="G1838" s="73"/>
      <c r="H1838" s="73"/>
      <c r="I1838" s="95"/>
      <c r="J1838" s="73"/>
      <c r="K1838" s="95"/>
      <c r="L1838" s="95"/>
      <c r="M1838" s="22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</row>
    <row r="1839">
      <c r="A1839" s="26"/>
      <c r="B1839" s="73"/>
      <c r="C1839" s="73"/>
      <c r="D1839" s="95"/>
      <c r="E1839" s="73"/>
      <c r="F1839" s="73"/>
      <c r="G1839" s="73"/>
      <c r="H1839" s="73"/>
      <c r="I1839" s="95"/>
      <c r="J1839" s="73"/>
      <c r="K1839" s="95"/>
      <c r="L1839" s="95"/>
      <c r="M1839" s="22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</row>
    <row r="1840">
      <c r="A1840" s="26"/>
      <c r="B1840" s="73"/>
      <c r="C1840" s="73"/>
      <c r="D1840" s="95"/>
      <c r="E1840" s="73"/>
      <c r="F1840" s="73"/>
      <c r="G1840" s="73"/>
      <c r="H1840" s="73"/>
      <c r="I1840" s="95"/>
      <c r="J1840" s="73"/>
      <c r="K1840" s="95"/>
      <c r="L1840" s="95"/>
      <c r="M1840" s="22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</row>
    <row r="1841">
      <c r="A1841" s="26"/>
      <c r="B1841" s="73"/>
      <c r="C1841" s="73"/>
      <c r="D1841" s="95"/>
      <c r="E1841" s="73"/>
      <c r="F1841" s="73"/>
      <c r="G1841" s="73"/>
      <c r="H1841" s="73"/>
      <c r="I1841" s="95"/>
      <c r="J1841" s="73"/>
      <c r="K1841" s="95"/>
      <c r="L1841" s="95"/>
      <c r="M1841" s="22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</row>
    <row r="1842">
      <c r="A1842" s="26"/>
      <c r="B1842" s="73"/>
      <c r="C1842" s="73"/>
      <c r="D1842" s="95"/>
      <c r="E1842" s="73"/>
      <c r="F1842" s="73"/>
      <c r="G1842" s="73"/>
      <c r="H1842" s="73"/>
      <c r="I1842" s="95"/>
      <c r="J1842" s="73"/>
      <c r="K1842" s="95"/>
      <c r="L1842" s="95"/>
      <c r="M1842" s="22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</row>
    <row r="1843">
      <c r="A1843" s="26"/>
      <c r="B1843" s="73"/>
      <c r="C1843" s="73"/>
      <c r="D1843" s="95"/>
      <c r="E1843" s="73"/>
      <c r="F1843" s="73"/>
      <c r="G1843" s="73"/>
      <c r="H1843" s="73"/>
      <c r="I1843" s="95"/>
      <c r="J1843" s="73"/>
      <c r="K1843" s="95"/>
      <c r="L1843" s="95"/>
      <c r="M1843" s="22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</row>
    <row r="1844">
      <c r="A1844" s="26"/>
      <c r="B1844" s="73"/>
      <c r="C1844" s="73"/>
      <c r="D1844" s="95"/>
      <c r="E1844" s="73"/>
      <c r="F1844" s="73"/>
      <c r="G1844" s="73"/>
      <c r="H1844" s="73"/>
      <c r="I1844" s="95"/>
      <c r="J1844" s="73"/>
      <c r="K1844" s="95"/>
      <c r="L1844" s="95"/>
      <c r="M1844" s="22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</row>
    <row r="1845">
      <c r="A1845" s="26"/>
      <c r="B1845" s="73"/>
      <c r="C1845" s="73"/>
      <c r="D1845" s="95"/>
      <c r="E1845" s="73"/>
      <c r="F1845" s="73"/>
      <c r="G1845" s="73"/>
      <c r="H1845" s="73"/>
      <c r="I1845" s="95"/>
      <c r="J1845" s="73"/>
      <c r="K1845" s="95"/>
      <c r="L1845" s="95"/>
      <c r="M1845" s="22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</row>
    <row r="1846">
      <c r="A1846" s="26"/>
      <c r="B1846" s="73"/>
      <c r="C1846" s="73"/>
      <c r="D1846" s="95"/>
      <c r="E1846" s="73"/>
      <c r="F1846" s="73"/>
      <c r="G1846" s="73"/>
      <c r="H1846" s="73"/>
      <c r="I1846" s="95"/>
      <c r="J1846" s="73"/>
      <c r="K1846" s="95"/>
      <c r="L1846" s="95"/>
      <c r="M1846" s="22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</row>
    <row r="1847">
      <c r="A1847" s="26"/>
      <c r="B1847" s="73"/>
      <c r="C1847" s="73"/>
      <c r="D1847" s="95"/>
      <c r="E1847" s="73"/>
      <c r="F1847" s="73"/>
      <c r="G1847" s="73"/>
      <c r="H1847" s="73"/>
      <c r="I1847" s="95"/>
      <c r="J1847" s="73"/>
      <c r="K1847" s="95"/>
      <c r="L1847" s="95"/>
      <c r="M1847" s="22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</row>
    <row r="1848">
      <c r="A1848" s="26"/>
      <c r="B1848" s="73"/>
      <c r="C1848" s="73"/>
      <c r="D1848" s="95"/>
      <c r="E1848" s="73"/>
      <c r="F1848" s="73"/>
      <c r="G1848" s="73"/>
      <c r="H1848" s="73"/>
      <c r="I1848" s="95"/>
      <c r="J1848" s="73"/>
      <c r="K1848" s="95"/>
      <c r="L1848" s="95"/>
      <c r="M1848" s="22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</row>
    <row r="1849">
      <c r="A1849" s="26"/>
      <c r="B1849" s="73"/>
      <c r="C1849" s="73"/>
      <c r="D1849" s="95"/>
      <c r="E1849" s="73"/>
      <c r="F1849" s="73"/>
      <c r="G1849" s="73"/>
      <c r="H1849" s="73"/>
      <c r="I1849" s="95"/>
      <c r="J1849" s="73"/>
      <c r="K1849" s="95"/>
      <c r="L1849" s="95"/>
      <c r="M1849" s="22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</row>
    <row r="1850">
      <c r="A1850" s="26"/>
      <c r="B1850" s="73"/>
      <c r="C1850" s="73"/>
      <c r="D1850" s="95"/>
      <c r="E1850" s="73"/>
      <c r="F1850" s="73"/>
      <c r="G1850" s="73"/>
      <c r="H1850" s="73"/>
      <c r="I1850" s="95"/>
      <c r="J1850" s="73"/>
      <c r="K1850" s="95"/>
      <c r="L1850" s="95"/>
      <c r="M1850" s="22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</row>
    <row r="1851">
      <c r="A1851" s="26"/>
      <c r="B1851" s="73"/>
      <c r="C1851" s="73"/>
      <c r="D1851" s="95"/>
      <c r="E1851" s="73"/>
      <c r="F1851" s="73"/>
      <c r="G1851" s="73"/>
      <c r="H1851" s="73"/>
      <c r="I1851" s="95"/>
      <c r="J1851" s="73"/>
      <c r="K1851" s="95"/>
      <c r="L1851" s="95"/>
      <c r="M1851" s="22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</row>
    <row r="1852">
      <c r="A1852" s="26"/>
      <c r="B1852" s="73"/>
      <c r="C1852" s="73"/>
      <c r="D1852" s="95"/>
      <c r="E1852" s="73"/>
      <c r="F1852" s="73"/>
      <c r="G1852" s="73"/>
      <c r="H1852" s="73"/>
      <c r="I1852" s="95"/>
      <c r="J1852" s="73"/>
      <c r="K1852" s="95"/>
      <c r="L1852" s="95"/>
      <c r="M1852" s="22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</row>
    <row r="1853">
      <c r="A1853" s="26"/>
      <c r="B1853" s="73"/>
      <c r="C1853" s="73"/>
      <c r="D1853" s="95"/>
      <c r="E1853" s="73"/>
      <c r="F1853" s="73"/>
      <c r="G1853" s="73"/>
      <c r="H1853" s="73"/>
      <c r="I1853" s="95"/>
      <c r="J1853" s="73"/>
      <c r="K1853" s="95"/>
      <c r="L1853" s="95"/>
      <c r="M1853" s="22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</row>
    <row r="1854">
      <c r="A1854" s="26"/>
      <c r="B1854" s="73"/>
      <c r="C1854" s="73"/>
      <c r="D1854" s="95"/>
      <c r="E1854" s="73"/>
      <c r="F1854" s="73"/>
      <c r="G1854" s="73"/>
      <c r="H1854" s="73"/>
      <c r="I1854" s="95"/>
      <c r="J1854" s="73"/>
      <c r="K1854" s="95"/>
      <c r="L1854" s="95"/>
      <c r="M1854" s="22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</row>
    <row r="1855">
      <c r="A1855" s="26"/>
      <c r="B1855" s="73"/>
      <c r="C1855" s="73"/>
      <c r="D1855" s="95"/>
      <c r="E1855" s="73"/>
      <c r="F1855" s="73"/>
      <c r="G1855" s="73"/>
      <c r="H1855" s="73"/>
      <c r="I1855" s="95"/>
      <c r="J1855" s="73"/>
      <c r="K1855" s="95"/>
      <c r="L1855" s="95"/>
      <c r="M1855" s="22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</row>
    <row r="1856">
      <c r="A1856" s="26"/>
      <c r="B1856" s="73"/>
      <c r="C1856" s="73"/>
      <c r="D1856" s="95"/>
      <c r="E1856" s="73"/>
      <c r="F1856" s="73"/>
      <c r="G1856" s="73"/>
      <c r="H1856" s="73"/>
      <c r="I1856" s="95"/>
      <c r="J1856" s="73"/>
      <c r="K1856" s="95"/>
      <c r="L1856" s="95"/>
      <c r="M1856" s="22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</row>
    <row r="1857">
      <c r="A1857" s="26"/>
      <c r="B1857" s="73"/>
      <c r="C1857" s="73"/>
      <c r="D1857" s="95"/>
      <c r="E1857" s="73"/>
      <c r="F1857" s="73"/>
      <c r="G1857" s="73"/>
      <c r="H1857" s="73"/>
      <c r="I1857" s="95"/>
      <c r="J1857" s="73"/>
      <c r="K1857" s="95"/>
      <c r="L1857" s="95"/>
      <c r="M1857" s="22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</row>
    <row r="1858">
      <c r="A1858" s="26"/>
      <c r="B1858" s="73"/>
      <c r="C1858" s="73"/>
      <c r="D1858" s="95"/>
      <c r="E1858" s="73"/>
      <c r="F1858" s="73"/>
      <c r="G1858" s="73"/>
      <c r="H1858" s="73"/>
      <c r="I1858" s="95"/>
      <c r="J1858" s="73"/>
      <c r="K1858" s="95"/>
      <c r="L1858" s="95"/>
      <c r="M1858" s="22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</row>
    <row r="1859">
      <c r="A1859" s="26"/>
      <c r="B1859" s="73"/>
      <c r="C1859" s="73"/>
      <c r="D1859" s="95"/>
      <c r="E1859" s="73"/>
      <c r="F1859" s="73"/>
      <c r="G1859" s="73"/>
      <c r="H1859" s="73"/>
      <c r="I1859" s="95"/>
      <c r="J1859" s="73"/>
      <c r="K1859" s="95"/>
      <c r="L1859" s="95"/>
      <c r="M1859" s="22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</row>
    <row r="1860">
      <c r="A1860" s="26"/>
      <c r="B1860" s="73"/>
      <c r="C1860" s="73"/>
      <c r="D1860" s="95"/>
      <c r="E1860" s="73"/>
      <c r="F1860" s="73"/>
      <c r="G1860" s="73"/>
      <c r="H1860" s="73"/>
      <c r="I1860" s="95"/>
      <c r="J1860" s="73"/>
      <c r="K1860" s="95"/>
      <c r="L1860" s="95"/>
      <c r="M1860" s="22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</row>
    <row r="1861">
      <c r="A1861" s="26"/>
      <c r="B1861" s="73"/>
      <c r="C1861" s="73"/>
      <c r="D1861" s="95"/>
      <c r="E1861" s="73"/>
      <c r="F1861" s="73"/>
      <c r="G1861" s="73"/>
      <c r="H1861" s="73"/>
      <c r="I1861" s="95"/>
      <c r="J1861" s="73"/>
      <c r="K1861" s="95"/>
      <c r="L1861" s="95"/>
      <c r="M1861" s="22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</row>
    <row r="1862">
      <c r="A1862" s="26"/>
      <c r="B1862" s="73"/>
      <c r="C1862" s="73"/>
      <c r="D1862" s="95"/>
      <c r="E1862" s="73"/>
      <c r="F1862" s="73"/>
      <c r="G1862" s="73"/>
      <c r="H1862" s="73"/>
      <c r="I1862" s="95"/>
      <c r="J1862" s="73"/>
      <c r="K1862" s="95"/>
      <c r="L1862" s="95"/>
      <c r="M1862" s="22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</row>
    <row r="1863">
      <c r="A1863" s="26"/>
      <c r="B1863" s="73"/>
      <c r="C1863" s="73"/>
      <c r="D1863" s="95"/>
      <c r="E1863" s="73"/>
      <c r="F1863" s="73"/>
      <c r="G1863" s="73"/>
      <c r="H1863" s="73"/>
      <c r="I1863" s="95"/>
      <c r="J1863" s="73"/>
      <c r="K1863" s="95"/>
      <c r="L1863" s="95"/>
      <c r="M1863" s="22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</row>
    <row r="1864">
      <c r="A1864" s="26"/>
      <c r="B1864" s="73"/>
      <c r="C1864" s="73"/>
      <c r="D1864" s="95"/>
      <c r="E1864" s="73"/>
      <c r="F1864" s="73"/>
      <c r="G1864" s="73"/>
      <c r="H1864" s="73"/>
      <c r="I1864" s="95"/>
      <c r="J1864" s="73"/>
      <c r="K1864" s="95"/>
      <c r="L1864" s="95"/>
      <c r="M1864" s="22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</row>
    <row r="1865">
      <c r="A1865" s="26"/>
      <c r="B1865" s="73"/>
      <c r="C1865" s="73"/>
      <c r="D1865" s="95"/>
      <c r="E1865" s="73"/>
      <c r="F1865" s="73"/>
      <c r="G1865" s="73"/>
      <c r="H1865" s="73"/>
      <c r="I1865" s="95"/>
      <c r="J1865" s="73"/>
      <c r="K1865" s="95"/>
      <c r="L1865" s="95"/>
      <c r="M1865" s="22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</row>
    <row r="1866">
      <c r="A1866" s="26"/>
      <c r="B1866" s="73"/>
      <c r="C1866" s="73"/>
      <c r="D1866" s="95"/>
      <c r="E1866" s="73"/>
      <c r="F1866" s="73"/>
      <c r="G1866" s="73"/>
      <c r="H1866" s="73"/>
      <c r="I1866" s="95"/>
      <c r="J1866" s="73"/>
      <c r="K1866" s="95"/>
      <c r="L1866" s="95"/>
      <c r="M1866" s="22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</row>
    <row r="1867">
      <c r="A1867" s="26"/>
      <c r="B1867" s="73"/>
      <c r="C1867" s="73"/>
      <c r="D1867" s="95"/>
      <c r="E1867" s="73"/>
      <c r="F1867" s="73"/>
      <c r="G1867" s="73"/>
      <c r="H1867" s="73"/>
      <c r="I1867" s="95"/>
      <c r="J1867" s="73"/>
      <c r="K1867" s="95"/>
      <c r="L1867" s="95"/>
      <c r="M1867" s="22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</row>
    <row r="1868">
      <c r="A1868" s="26"/>
      <c r="B1868" s="73"/>
      <c r="C1868" s="73"/>
      <c r="D1868" s="95"/>
      <c r="E1868" s="73"/>
      <c r="F1868" s="73"/>
      <c r="G1868" s="73"/>
      <c r="H1868" s="73"/>
      <c r="I1868" s="95"/>
      <c r="J1868" s="73"/>
      <c r="K1868" s="95"/>
      <c r="L1868" s="95"/>
      <c r="M1868" s="22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</row>
    <row r="1869">
      <c r="A1869" s="26"/>
      <c r="B1869" s="73"/>
      <c r="C1869" s="73"/>
      <c r="D1869" s="95"/>
      <c r="E1869" s="73"/>
      <c r="F1869" s="73"/>
      <c r="G1869" s="73"/>
      <c r="H1869" s="73"/>
      <c r="I1869" s="95"/>
      <c r="J1869" s="73"/>
      <c r="K1869" s="95"/>
      <c r="L1869" s="95"/>
      <c r="M1869" s="22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</row>
    <row r="1870">
      <c r="A1870" s="26"/>
      <c r="B1870" s="73"/>
      <c r="C1870" s="73"/>
      <c r="D1870" s="95"/>
      <c r="E1870" s="73"/>
      <c r="F1870" s="73"/>
      <c r="G1870" s="73"/>
      <c r="H1870" s="73"/>
      <c r="I1870" s="95"/>
      <c r="J1870" s="73"/>
      <c r="K1870" s="95"/>
      <c r="L1870" s="95"/>
      <c r="M1870" s="22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</row>
    <row r="1871">
      <c r="A1871" s="26"/>
      <c r="B1871" s="73"/>
      <c r="C1871" s="73"/>
      <c r="D1871" s="95"/>
      <c r="E1871" s="73"/>
      <c r="F1871" s="73"/>
      <c r="G1871" s="73"/>
      <c r="H1871" s="73"/>
      <c r="I1871" s="95"/>
      <c r="J1871" s="73"/>
      <c r="K1871" s="95"/>
      <c r="L1871" s="95"/>
      <c r="M1871" s="22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</row>
    <row r="1872">
      <c r="A1872" s="26"/>
      <c r="B1872" s="73"/>
      <c r="C1872" s="73"/>
      <c r="D1872" s="95"/>
      <c r="E1872" s="73"/>
      <c r="F1872" s="73"/>
      <c r="G1872" s="73"/>
      <c r="H1872" s="73"/>
      <c r="I1872" s="95"/>
      <c r="J1872" s="73"/>
      <c r="K1872" s="95"/>
      <c r="L1872" s="95"/>
      <c r="M1872" s="22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</row>
    <row r="1873">
      <c r="A1873" s="26"/>
      <c r="B1873" s="73"/>
      <c r="C1873" s="73"/>
      <c r="D1873" s="95"/>
      <c r="E1873" s="73"/>
      <c r="F1873" s="73"/>
      <c r="G1873" s="73"/>
      <c r="H1873" s="73"/>
      <c r="I1873" s="95"/>
      <c r="J1873" s="73"/>
      <c r="K1873" s="95"/>
      <c r="L1873" s="95"/>
      <c r="M1873" s="22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</row>
    <row r="1874">
      <c r="A1874" s="26"/>
      <c r="B1874" s="73"/>
      <c r="C1874" s="73"/>
      <c r="D1874" s="95"/>
      <c r="E1874" s="73"/>
      <c r="F1874" s="73"/>
      <c r="G1874" s="73"/>
      <c r="H1874" s="73"/>
      <c r="I1874" s="95"/>
      <c r="J1874" s="73"/>
      <c r="K1874" s="95"/>
      <c r="L1874" s="95"/>
      <c r="M1874" s="22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</row>
    <row r="1875">
      <c r="A1875" s="26"/>
      <c r="B1875" s="73"/>
      <c r="C1875" s="73"/>
      <c r="D1875" s="95"/>
      <c r="E1875" s="73"/>
      <c r="F1875" s="73"/>
      <c r="G1875" s="73"/>
      <c r="H1875" s="73"/>
      <c r="I1875" s="95"/>
      <c r="J1875" s="73"/>
      <c r="K1875" s="95"/>
      <c r="L1875" s="95"/>
      <c r="M1875" s="22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</row>
    <row r="1876">
      <c r="A1876" s="26"/>
      <c r="B1876" s="73"/>
      <c r="C1876" s="73"/>
      <c r="D1876" s="95"/>
      <c r="E1876" s="73"/>
      <c r="F1876" s="73"/>
      <c r="G1876" s="73"/>
      <c r="H1876" s="73"/>
      <c r="I1876" s="95"/>
      <c r="J1876" s="73"/>
      <c r="K1876" s="95"/>
      <c r="L1876" s="95"/>
      <c r="M1876" s="22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</row>
    <row r="1877">
      <c r="A1877" s="26"/>
      <c r="B1877" s="73"/>
      <c r="C1877" s="73"/>
      <c r="D1877" s="95"/>
      <c r="E1877" s="73"/>
      <c r="F1877" s="73"/>
      <c r="G1877" s="73"/>
      <c r="H1877" s="73"/>
      <c r="I1877" s="95"/>
      <c r="J1877" s="73"/>
      <c r="K1877" s="95"/>
      <c r="L1877" s="95"/>
      <c r="M1877" s="22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</row>
    <row r="1878">
      <c r="A1878" s="26"/>
      <c r="B1878" s="73"/>
      <c r="C1878" s="73"/>
      <c r="D1878" s="95"/>
      <c r="E1878" s="73"/>
      <c r="F1878" s="73"/>
      <c r="G1878" s="73"/>
      <c r="H1878" s="73"/>
      <c r="I1878" s="95"/>
      <c r="J1878" s="73"/>
      <c r="K1878" s="95"/>
      <c r="L1878" s="95"/>
      <c r="M1878" s="22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</row>
    <row r="1879">
      <c r="A1879" s="26"/>
      <c r="B1879" s="73"/>
      <c r="C1879" s="73"/>
      <c r="D1879" s="95"/>
      <c r="E1879" s="73"/>
      <c r="F1879" s="73"/>
      <c r="G1879" s="73"/>
      <c r="H1879" s="73"/>
      <c r="I1879" s="95"/>
      <c r="J1879" s="73"/>
      <c r="K1879" s="95"/>
      <c r="L1879" s="95"/>
      <c r="M1879" s="22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</row>
    <row r="1880">
      <c r="A1880" s="26"/>
      <c r="B1880" s="73"/>
      <c r="C1880" s="73"/>
      <c r="D1880" s="95"/>
      <c r="E1880" s="73"/>
      <c r="F1880" s="73"/>
      <c r="G1880" s="73"/>
      <c r="H1880" s="73"/>
      <c r="I1880" s="95"/>
      <c r="J1880" s="73"/>
      <c r="K1880" s="95"/>
      <c r="L1880" s="95"/>
      <c r="M1880" s="22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</row>
    <row r="1881">
      <c r="A1881" s="26"/>
      <c r="B1881" s="73"/>
      <c r="C1881" s="73"/>
      <c r="D1881" s="95"/>
      <c r="E1881" s="73"/>
      <c r="F1881" s="73"/>
      <c r="G1881" s="73"/>
      <c r="H1881" s="73"/>
      <c r="I1881" s="95"/>
      <c r="J1881" s="73"/>
      <c r="K1881" s="95"/>
      <c r="L1881" s="95"/>
      <c r="M1881" s="22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</row>
    <row r="1882">
      <c r="A1882" s="26"/>
      <c r="B1882" s="73"/>
      <c r="C1882" s="73"/>
      <c r="D1882" s="95"/>
      <c r="E1882" s="73"/>
      <c r="F1882" s="73"/>
      <c r="G1882" s="73"/>
      <c r="H1882" s="73"/>
      <c r="I1882" s="95"/>
      <c r="J1882" s="73"/>
      <c r="K1882" s="95"/>
      <c r="L1882" s="95"/>
      <c r="M1882" s="22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</row>
    <row r="1883">
      <c r="A1883" s="26"/>
      <c r="B1883" s="73"/>
      <c r="C1883" s="73"/>
      <c r="D1883" s="95"/>
      <c r="E1883" s="73"/>
      <c r="F1883" s="73"/>
      <c r="G1883" s="73"/>
      <c r="H1883" s="73"/>
      <c r="I1883" s="95"/>
      <c r="J1883" s="73"/>
      <c r="K1883" s="95"/>
      <c r="L1883" s="95"/>
      <c r="M1883" s="22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</row>
    <row r="1884">
      <c r="A1884" s="26"/>
      <c r="B1884" s="73"/>
      <c r="C1884" s="73"/>
      <c r="D1884" s="95"/>
      <c r="E1884" s="73"/>
      <c r="F1884" s="73"/>
      <c r="G1884" s="73"/>
      <c r="H1884" s="73"/>
      <c r="I1884" s="95"/>
      <c r="J1884" s="73"/>
      <c r="K1884" s="95"/>
      <c r="L1884" s="95"/>
      <c r="M1884" s="22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</row>
    <row r="1885">
      <c r="A1885" s="26"/>
      <c r="B1885" s="73"/>
      <c r="C1885" s="73"/>
      <c r="D1885" s="95"/>
      <c r="E1885" s="73"/>
      <c r="F1885" s="73"/>
      <c r="G1885" s="73"/>
      <c r="H1885" s="73"/>
      <c r="I1885" s="95"/>
      <c r="J1885" s="73"/>
      <c r="K1885" s="95"/>
      <c r="L1885" s="95"/>
      <c r="M1885" s="22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</row>
    <row r="1886">
      <c r="A1886" s="26"/>
      <c r="B1886" s="73"/>
      <c r="C1886" s="73"/>
      <c r="D1886" s="95"/>
      <c r="E1886" s="73"/>
      <c r="F1886" s="73"/>
      <c r="G1886" s="73"/>
      <c r="H1886" s="73"/>
      <c r="I1886" s="95"/>
      <c r="J1886" s="73"/>
      <c r="K1886" s="95"/>
      <c r="L1886" s="95"/>
      <c r="M1886" s="22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</row>
    <row r="1887">
      <c r="A1887" s="26"/>
      <c r="B1887" s="73"/>
      <c r="C1887" s="73"/>
      <c r="D1887" s="95"/>
      <c r="E1887" s="73"/>
      <c r="F1887" s="73"/>
      <c r="G1887" s="73"/>
      <c r="H1887" s="73"/>
      <c r="I1887" s="95"/>
      <c r="J1887" s="73"/>
      <c r="K1887" s="95"/>
      <c r="L1887" s="95"/>
      <c r="M1887" s="22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</row>
    <row r="1888">
      <c r="A1888" s="26"/>
      <c r="B1888" s="73"/>
      <c r="C1888" s="73"/>
      <c r="D1888" s="95"/>
      <c r="E1888" s="73"/>
      <c r="F1888" s="73"/>
      <c r="G1888" s="73"/>
      <c r="H1888" s="73"/>
      <c r="I1888" s="95"/>
      <c r="J1888" s="73"/>
      <c r="K1888" s="95"/>
      <c r="L1888" s="95"/>
      <c r="M1888" s="22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</row>
    <row r="1889">
      <c r="A1889" s="26"/>
      <c r="B1889" s="73"/>
      <c r="C1889" s="73"/>
      <c r="D1889" s="95"/>
      <c r="E1889" s="73"/>
      <c r="F1889" s="73"/>
      <c r="G1889" s="73"/>
      <c r="H1889" s="73"/>
      <c r="I1889" s="95"/>
      <c r="J1889" s="73"/>
      <c r="K1889" s="95"/>
      <c r="L1889" s="95"/>
      <c r="M1889" s="22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</row>
    <row r="1890">
      <c r="A1890" s="26"/>
      <c r="B1890" s="73"/>
      <c r="C1890" s="73"/>
      <c r="D1890" s="95"/>
      <c r="E1890" s="73"/>
      <c r="F1890" s="73"/>
      <c r="G1890" s="73"/>
      <c r="H1890" s="73"/>
      <c r="I1890" s="95"/>
      <c r="J1890" s="73"/>
      <c r="K1890" s="95"/>
      <c r="L1890" s="95"/>
      <c r="M1890" s="22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</row>
    <row r="1891">
      <c r="A1891" s="26"/>
      <c r="B1891" s="73"/>
      <c r="C1891" s="73"/>
      <c r="D1891" s="95"/>
      <c r="E1891" s="73"/>
      <c r="F1891" s="73"/>
      <c r="G1891" s="73"/>
      <c r="H1891" s="73"/>
      <c r="I1891" s="95"/>
      <c r="J1891" s="73"/>
      <c r="K1891" s="95"/>
      <c r="L1891" s="95"/>
      <c r="M1891" s="22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</row>
    <row r="1892">
      <c r="A1892" s="26"/>
      <c r="B1892" s="73"/>
      <c r="C1892" s="73"/>
      <c r="D1892" s="95"/>
      <c r="E1892" s="73"/>
      <c r="F1892" s="73"/>
      <c r="G1892" s="73"/>
      <c r="H1892" s="73"/>
      <c r="I1892" s="95"/>
      <c r="J1892" s="73"/>
      <c r="K1892" s="95"/>
      <c r="L1892" s="95"/>
      <c r="M1892" s="22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</row>
    <row r="1893">
      <c r="A1893" s="26"/>
      <c r="B1893" s="73"/>
      <c r="C1893" s="73"/>
      <c r="D1893" s="95"/>
      <c r="E1893" s="73"/>
      <c r="F1893" s="73"/>
      <c r="G1893" s="73"/>
      <c r="H1893" s="73"/>
      <c r="I1893" s="95"/>
      <c r="J1893" s="73"/>
      <c r="K1893" s="95"/>
      <c r="L1893" s="95"/>
      <c r="M1893" s="22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</row>
    <row r="1894">
      <c r="A1894" s="26"/>
      <c r="B1894" s="73"/>
      <c r="C1894" s="73"/>
      <c r="D1894" s="95"/>
      <c r="E1894" s="73"/>
      <c r="F1894" s="73"/>
      <c r="G1894" s="73"/>
      <c r="H1894" s="73"/>
      <c r="I1894" s="95"/>
      <c r="J1894" s="73"/>
      <c r="K1894" s="95"/>
      <c r="L1894" s="95"/>
      <c r="M1894" s="22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</row>
    <row r="1895">
      <c r="A1895" s="26"/>
      <c r="B1895" s="73"/>
      <c r="C1895" s="73"/>
      <c r="D1895" s="95"/>
      <c r="E1895" s="73"/>
      <c r="F1895" s="73"/>
      <c r="G1895" s="73"/>
      <c r="H1895" s="73"/>
      <c r="I1895" s="95"/>
      <c r="J1895" s="73"/>
      <c r="K1895" s="95"/>
      <c r="L1895" s="95"/>
      <c r="M1895" s="22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</row>
    <row r="1896">
      <c r="A1896" s="26"/>
      <c r="B1896" s="73"/>
      <c r="C1896" s="73"/>
      <c r="D1896" s="95"/>
      <c r="E1896" s="73"/>
      <c r="F1896" s="73"/>
      <c r="G1896" s="73"/>
      <c r="H1896" s="73"/>
      <c r="I1896" s="95"/>
      <c r="J1896" s="73"/>
      <c r="K1896" s="95"/>
      <c r="L1896" s="95"/>
      <c r="M1896" s="22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</row>
    <row r="1897">
      <c r="A1897" s="26"/>
      <c r="B1897" s="73"/>
      <c r="C1897" s="73"/>
      <c r="D1897" s="95"/>
      <c r="E1897" s="73"/>
      <c r="F1897" s="73"/>
      <c r="G1897" s="73"/>
      <c r="H1897" s="73"/>
      <c r="I1897" s="95"/>
      <c r="J1897" s="73"/>
      <c r="K1897" s="95"/>
      <c r="L1897" s="95"/>
      <c r="M1897" s="22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</row>
    <row r="1898">
      <c r="A1898" s="26"/>
      <c r="B1898" s="73"/>
      <c r="C1898" s="73"/>
      <c r="D1898" s="95"/>
      <c r="E1898" s="73"/>
      <c r="F1898" s="73"/>
      <c r="G1898" s="73"/>
      <c r="H1898" s="73"/>
      <c r="I1898" s="95"/>
      <c r="J1898" s="73"/>
      <c r="K1898" s="95"/>
      <c r="L1898" s="95"/>
      <c r="M1898" s="22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</row>
    <row r="1899">
      <c r="A1899" s="26"/>
      <c r="B1899" s="73"/>
      <c r="C1899" s="73"/>
      <c r="D1899" s="95"/>
      <c r="E1899" s="73"/>
      <c r="F1899" s="73"/>
      <c r="G1899" s="73"/>
      <c r="H1899" s="73"/>
      <c r="I1899" s="95"/>
      <c r="J1899" s="73"/>
      <c r="K1899" s="95"/>
      <c r="L1899" s="95"/>
      <c r="M1899" s="22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</row>
    <row r="1900">
      <c r="A1900" s="26"/>
      <c r="B1900" s="73"/>
      <c r="C1900" s="73"/>
      <c r="D1900" s="95"/>
      <c r="E1900" s="73"/>
      <c r="F1900" s="73"/>
      <c r="G1900" s="73"/>
      <c r="H1900" s="73"/>
      <c r="I1900" s="95"/>
      <c r="J1900" s="73"/>
      <c r="K1900" s="95"/>
      <c r="L1900" s="95"/>
      <c r="M1900" s="22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</row>
    <row r="1901">
      <c r="A1901" s="26"/>
      <c r="B1901" s="73"/>
      <c r="C1901" s="73"/>
      <c r="D1901" s="95"/>
      <c r="E1901" s="73"/>
      <c r="F1901" s="73"/>
      <c r="G1901" s="73"/>
      <c r="H1901" s="73"/>
      <c r="I1901" s="95"/>
      <c r="J1901" s="73"/>
      <c r="K1901" s="95"/>
      <c r="L1901" s="95"/>
      <c r="M1901" s="22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</row>
    <row r="1902">
      <c r="A1902" s="26"/>
      <c r="B1902" s="73"/>
      <c r="C1902" s="73"/>
      <c r="D1902" s="95"/>
      <c r="E1902" s="73"/>
      <c r="F1902" s="73"/>
      <c r="G1902" s="73"/>
      <c r="H1902" s="73"/>
      <c r="I1902" s="95"/>
      <c r="J1902" s="73"/>
      <c r="K1902" s="95"/>
      <c r="L1902" s="95"/>
      <c r="M1902" s="22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</row>
    <row r="1903">
      <c r="A1903" s="26"/>
      <c r="B1903" s="73"/>
      <c r="C1903" s="73"/>
      <c r="D1903" s="95"/>
      <c r="E1903" s="73"/>
      <c r="F1903" s="73"/>
      <c r="G1903" s="73"/>
      <c r="H1903" s="73"/>
      <c r="I1903" s="95"/>
      <c r="J1903" s="73"/>
      <c r="K1903" s="95"/>
      <c r="L1903" s="95"/>
      <c r="M1903" s="22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</row>
    <row r="1904">
      <c r="A1904" s="26"/>
      <c r="B1904" s="73"/>
      <c r="C1904" s="73"/>
      <c r="D1904" s="95"/>
      <c r="E1904" s="73"/>
      <c r="F1904" s="73"/>
      <c r="G1904" s="73"/>
      <c r="H1904" s="73"/>
      <c r="I1904" s="95"/>
      <c r="J1904" s="73"/>
      <c r="K1904" s="95"/>
      <c r="L1904" s="95"/>
      <c r="M1904" s="22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</row>
    <row r="1905">
      <c r="A1905" s="26"/>
      <c r="B1905" s="73"/>
      <c r="C1905" s="73"/>
      <c r="D1905" s="95"/>
      <c r="E1905" s="73"/>
      <c r="F1905" s="73"/>
      <c r="G1905" s="73"/>
      <c r="H1905" s="73"/>
      <c r="I1905" s="95"/>
      <c r="J1905" s="73"/>
      <c r="K1905" s="95"/>
      <c r="L1905" s="95"/>
      <c r="M1905" s="22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</row>
    <row r="1906">
      <c r="A1906" s="26"/>
      <c r="B1906" s="73"/>
      <c r="C1906" s="73"/>
      <c r="D1906" s="95"/>
      <c r="E1906" s="73"/>
      <c r="F1906" s="73"/>
      <c r="G1906" s="73"/>
      <c r="H1906" s="73"/>
      <c r="I1906" s="95"/>
      <c r="J1906" s="73"/>
      <c r="K1906" s="95"/>
      <c r="L1906" s="95"/>
      <c r="M1906" s="22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</row>
    <row r="1907">
      <c r="A1907" s="26"/>
      <c r="B1907" s="73"/>
      <c r="C1907" s="73"/>
      <c r="D1907" s="95"/>
      <c r="E1907" s="73"/>
      <c r="F1907" s="73"/>
      <c r="G1907" s="73"/>
      <c r="H1907" s="73"/>
      <c r="I1907" s="95"/>
      <c r="J1907" s="73"/>
      <c r="K1907" s="95"/>
      <c r="L1907" s="95"/>
      <c r="M1907" s="22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</row>
    <row r="1908">
      <c r="A1908" s="26"/>
      <c r="B1908" s="73"/>
      <c r="C1908" s="73"/>
      <c r="D1908" s="95"/>
      <c r="E1908" s="73"/>
      <c r="F1908" s="73"/>
      <c r="G1908" s="73"/>
      <c r="H1908" s="73"/>
      <c r="I1908" s="95"/>
      <c r="J1908" s="73"/>
      <c r="K1908" s="95"/>
      <c r="L1908" s="95"/>
      <c r="M1908" s="22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</row>
    <row r="1909">
      <c r="A1909" s="26"/>
      <c r="B1909" s="73"/>
      <c r="C1909" s="73"/>
      <c r="D1909" s="95"/>
      <c r="E1909" s="73"/>
      <c r="F1909" s="73"/>
      <c r="G1909" s="73"/>
      <c r="H1909" s="73"/>
      <c r="I1909" s="95"/>
      <c r="J1909" s="73"/>
      <c r="K1909" s="95"/>
      <c r="L1909" s="95"/>
      <c r="M1909" s="22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</row>
    <row r="1910">
      <c r="A1910" s="26"/>
      <c r="B1910" s="73"/>
      <c r="C1910" s="73"/>
      <c r="D1910" s="95"/>
      <c r="E1910" s="73"/>
      <c r="F1910" s="73"/>
      <c r="G1910" s="73"/>
      <c r="H1910" s="73"/>
      <c r="I1910" s="95"/>
      <c r="J1910" s="73"/>
      <c r="K1910" s="95"/>
      <c r="L1910" s="95"/>
      <c r="M1910" s="22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</row>
    <row r="1911">
      <c r="A1911" s="26"/>
      <c r="B1911" s="73"/>
      <c r="C1911" s="73"/>
      <c r="D1911" s="95"/>
      <c r="E1911" s="73"/>
      <c r="F1911" s="73"/>
      <c r="G1911" s="73"/>
      <c r="H1911" s="73"/>
      <c r="I1911" s="95"/>
      <c r="J1911" s="73"/>
      <c r="K1911" s="95"/>
      <c r="L1911" s="95"/>
      <c r="M1911" s="22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</row>
    <row r="1912">
      <c r="A1912" s="26"/>
      <c r="B1912" s="73"/>
      <c r="C1912" s="73"/>
      <c r="D1912" s="95"/>
      <c r="E1912" s="73"/>
      <c r="F1912" s="73"/>
      <c r="G1912" s="73"/>
      <c r="H1912" s="73"/>
      <c r="I1912" s="95"/>
      <c r="J1912" s="73"/>
      <c r="K1912" s="95"/>
      <c r="L1912" s="95"/>
      <c r="M1912" s="22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</row>
    <row r="1913">
      <c r="A1913" s="26"/>
      <c r="B1913" s="73"/>
      <c r="C1913" s="73"/>
      <c r="D1913" s="95"/>
      <c r="E1913" s="73"/>
      <c r="F1913" s="73"/>
      <c r="G1913" s="73"/>
      <c r="H1913" s="73"/>
      <c r="I1913" s="95"/>
      <c r="J1913" s="73"/>
      <c r="K1913" s="95"/>
      <c r="L1913" s="95"/>
      <c r="M1913" s="22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</row>
    <row r="1914">
      <c r="A1914" s="26"/>
      <c r="B1914" s="73"/>
      <c r="C1914" s="73"/>
      <c r="D1914" s="95"/>
      <c r="E1914" s="73"/>
      <c r="F1914" s="73"/>
      <c r="G1914" s="73"/>
      <c r="H1914" s="73"/>
      <c r="I1914" s="95"/>
      <c r="J1914" s="73"/>
      <c r="K1914" s="95"/>
      <c r="L1914" s="95"/>
      <c r="M1914" s="22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</row>
    <row r="1915">
      <c r="A1915" s="26"/>
      <c r="B1915" s="73"/>
      <c r="C1915" s="73"/>
      <c r="D1915" s="95"/>
      <c r="E1915" s="73"/>
      <c r="F1915" s="73"/>
      <c r="G1915" s="73"/>
      <c r="H1915" s="73"/>
      <c r="I1915" s="95"/>
      <c r="J1915" s="73"/>
      <c r="K1915" s="95"/>
      <c r="L1915" s="95"/>
      <c r="M1915" s="22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</row>
    <row r="1916">
      <c r="A1916" s="26"/>
      <c r="B1916" s="73"/>
      <c r="C1916" s="73"/>
      <c r="D1916" s="95"/>
      <c r="E1916" s="73"/>
      <c r="F1916" s="73"/>
      <c r="G1916" s="73"/>
      <c r="H1916" s="73"/>
      <c r="I1916" s="95"/>
      <c r="J1916" s="73"/>
      <c r="K1916" s="95"/>
      <c r="L1916" s="95"/>
      <c r="M1916" s="22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</row>
    <row r="1917">
      <c r="A1917" s="26"/>
      <c r="B1917" s="73"/>
      <c r="C1917" s="73"/>
      <c r="D1917" s="95"/>
      <c r="E1917" s="73"/>
      <c r="F1917" s="73"/>
      <c r="G1917" s="73"/>
      <c r="H1917" s="73"/>
      <c r="I1917" s="95"/>
      <c r="J1917" s="73"/>
      <c r="K1917" s="95"/>
      <c r="L1917" s="95"/>
      <c r="M1917" s="22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</row>
    <row r="1918">
      <c r="A1918" s="26"/>
      <c r="B1918" s="73"/>
      <c r="C1918" s="73"/>
      <c r="D1918" s="95"/>
      <c r="E1918" s="73"/>
      <c r="F1918" s="73"/>
      <c r="G1918" s="73"/>
      <c r="H1918" s="73"/>
      <c r="I1918" s="95"/>
      <c r="J1918" s="73"/>
      <c r="K1918" s="95"/>
      <c r="L1918" s="95"/>
      <c r="M1918" s="22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</row>
    <row r="1919">
      <c r="A1919" s="26"/>
      <c r="B1919" s="73"/>
      <c r="C1919" s="73"/>
      <c r="D1919" s="95"/>
      <c r="E1919" s="73"/>
      <c r="F1919" s="73"/>
      <c r="G1919" s="73"/>
      <c r="H1919" s="73"/>
      <c r="I1919" s="95"/>
      <c r="J1919" s="73"/>
      <c r="K1919" s="95"/>
      <c r="L1919" s="95"/>
      <c r="M1919" s="22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</row>
    <row r="1920">
      <c r="A1920" s="26"/>
      <c r="B1920" s="73"/>
      <c r="C1920" s="73"/>
      <c r="D1920" s="95"/>
      <c r="E1920" s="73"/>
      <c r="F1920" s="73"/>
      <c r="G1920" s="73"/>
      <c r="H1920" s="73"/>
      <c r="I1920" s="95"/>
      <c r="J1920" s="73"/>
      <c r="K1920" s="95"/>
      <c r="L1920" s="95"/>
      <c r="M1920" s="22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</row>
    <row r="1921">
      <c r="A1921" s="26"/>
      <c r="B1921" s="73"/>
      <c r="C1921" s="73"/>
      <c r="D1921" s="95"/>
      <c r="E1921" s="73"/>
      <c r="F1921" s="73"/>
      <c r="G1921" s="73"/>
      <c r="H1921" s="73"/>
      <c r="I1921" s="95"/>
      <c r="J1921" s="73"/>
      <c r="K1921" s="95"/>
      <c r="L1921" s="95"/>
      <c r="M1921" s="22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</row>
    <row r="1922">
      <c r="A1922" s="26"/>
      <c r="B1922" s="73"/>
      <c r="C1922" s="73"/>
      <c r="D1922" s="95"/>
      <c r="E1922" s="73"/>
      <c r="F1922" s="73"/>
      <c r="G1922" s="73"/>
      <c r="H1922" s="73"/>
      <c r="I1922" s="95"/>
      <c r="J1922" s="73"/>
      <c r="K1922" s="95"/>
      <c r="L1922" s="95"/>
      <c r="M1922" s="22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</row>
    <row r="1923">
      <c r="A1923" s="26"/>
      <c r="B1923" s="73"/>
      <c r="C1923" s="73"/>
      <c r="D1923" s="95"/>
      <c r="E1923" s="73"/>
      <c r="F1923" s="73"/>
      <c r="G1923" s="73"/>
      <c r="H1923" s="73"/>
      <c r="I1923" s="95"/>
      <c r="J1923" s="73"/>
      <c r="K1923" s="95"/>
      <c r="L1923" s="95"/>
      <c r="M1923" s="22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</row>
    <row r="1924">
      <c r="A1924" s="26"/>
      <c r="B1924" s="73"/>
      <c r="C1924" s="73"/>
      <c r="D1924" s="95"/>
      <c r="E1924" s="73"/>
      <c r="F1924" s="73"/>
      <c r="G1924" s="73"/>
      <c r="H1924" s="73"/>
      <c r="I1924" s="95"/>
      <c r="J1924" s="73"/>
      <c r="K1924" s="95"/>
      <c r="L1924" s="95"/>
      <c r="M1924" s="22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</row>
    <row r="1925">
      <c r="A1925" s="26"/>
      <c r="B1925" s="73"/>
      <c r="C1925" s="73"/>
      <c r="D1925" s="95"/>
      <c r="E1925" s="73"/>
      <c r="F1925" s="73"/>
      <c r="G1925" s="73"/>
      <c r="H1925" s="73"/>
      <c r="I1925" s="95"/>
      <c r="J1925" s="73"/>
      <c r="K1925" s="95"/>
      <c r="L1925" s="95"/>
      <c r="M1925" s="22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</row>
    <row r="1926">
      <c r="A1926" s="26"/>
      <c r="B1926" s="73"/>
      <c r="C1926" s="73"/>
      <c r="D1926" s="95"/>
      <c r="E1926" s="73"/>
      <c r="F1926" s="73"/>
      <c r="G1926" s="73"/>
      <c r="H1926" s="73"/>
      <c r="I1926" s="95"/>
      <c r="J1926" s="73"/>
      <c r="K1926" s="95"/>
      <c r="L1926" s="95"/>
      <c r="M1926" s="22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</row>
    <row r="1927">
      <c r="A1927" s="26"/>
      <c r="B1927" s="73"/>
      <c r="C1927" s="73"/>
      <c r="D1927" s="95"/>
      <c r="E1927" s="73"/>
      <c r="F1927" s="73"/>
      <c r="G1927" s="73"/>
      <c r="H1927" s="73"/>
      <c r="I1927" s="95"/>
      <c r="J1927" s="73"/>
      <c r="K1927" s="95"/>
      <c r="L1927" s="95"/>
      <c r="M1927" s="22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</row>
    <row r="1928">
      <c r="A1928" s="26"/>
      <c r="B1928" s="73"/>
      <c r="C1928" s="73"/>
      <c r="D1928" s="95"/>
      <c r="E1928" s="73"/>
      <c r="F1928" s="73"/>
      <c r="G1928" s="73"/>
      <c r="H1928" s="73"/>
      <c r="I1928" s="95"/>
      <c r="J1928" s="73"/>
      <c r="K1928" s="95"/>
      <c r="L1928" s="95"/>
      <c r="M1928" s="22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</row>
    <row r="1929">
      <c r="A1929" s="26"/>
      <c r="B1929" s="73"/>
      <c r="C1929" s="73"/>
      <c r="D1929" s="95"/>
      <c r="E1929" s="73"/>
      <c r="F1929" s="73"/>
      <c r="G1929" s="73"/>
      <c r="H1929" s="73"/>
      <c r="I1929" s="95"/>
      <c r="J1929" s="73"/>
      <c r="K1929" s="95"/>
      <c r="L1929" s="95"/>
      <c r="M1929" s="22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</row>
    <row r="1930">
      <c r="A1930" s="26"/>
      <c r="B1930" s="73"/>
      <c r="C1930" s="73"/>
      <c r="D1930" s="95"/>
      <c r="E1930" s="73"/>
      <c r="F1930" s="73"/>
      <c r="G1930" s="73"/>
      <c r="H1930" s="73"/>
      <c r="I1930" s="95"/>
      <c r="J1930" s="73"/>
      <c r="K1930" s="95"/>
      <c r="L1930" s="95"/>
      <c r="M1930" s="22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</row>
    <row r="1931">
      <c r="A1931" s="26"/>
      <c r="B1931" s="73"/>
      <c r="C1931" s="73"/>
      <c r="D1931" s="95"/>
      <c r="E1931" s="73"/>
      <c r="F1931" s="73"/>
      <c r="G1931" s="73"/>
      <c r="H1931" s="73"/>
      <c r="I1931" s="95"/>
      <c r="J1931" s="73"/>
      <c r="K1931" s="95"/>
      <c r="L1931" s="95"/>
      <c r="M1931" s="22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</row>
    <row r="1932">
      <c r="A1932" s="26"/>
      <c r="B1932" s="73"/>
      <c r="C1932" s="73"/>
      <c r="D1932" s="95"/>
      <c r="E1932" s="73"/>
      <c r="F1932" s="73"/>
      <c r="G1932" s="73"/>
      <c r="H1932" s="73"/>
      <c r="I1932" s="95"/>
      <c r="J1932" s="73"/>
      <c r="K1932" s="95"/>
      <c r="L1932" s="95"/>
      <c r="M1932" s="22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</row>
    <row r="1933">
      <c r="A1933" s="26"/>
      <c r="B1933" s="73"/>
      <c r="C1933" s="73"/>
      <c r="D1933" s="95"/>
      <c r="E1933" s="73"/>
      <c r="F1933" s="73"/>
      <c r="G1933" s="73"/>
      <c r="H1933" s="73"/>
      <c r="I1933" s="95"/>
      <c r="J1933" s="73"/>
      <c r="K1933" s="95"/>
      <c r="L1933" s="95"/>
      <c r="M1933" s="22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</row>
    <row r="1934">
      <c r="A1934" s="26"/>
      <c r="B1934" s="73"/>
      <c r="C1934" s="73"/>
      <c r="D1934" s="95"/>
      <c r="E1934" s="73"/>
      <c r="F1934" s="73"/>
      <c r="G1934" s="73"/>
      <c r="H1934" s="73"/>
      <c r="I1934" s="95"/>
      <c r="J1934" s="73"/>
      <c r="K1934" s="95"/>
      <c r="L1934" s="95"/>
      <c r="M1934" s="22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</row>
    <row r="1935">
      <c r="A1935" s="26"/>
      <c r="B1935" s="73"/>
      <c r="C1935" s="73"/>
      <c r="D1935" s="95"/>
      <c r="E1935" s="73"/>
      <c r="F1935" s="73"/>
      <c r="G1935" s="73"/>
      <c r="H1935" s="73"/>
      <c r="I1935" s="95"/>
      <c r="J1935" s="73"/>
      <c r="K1935" s="95"/>
      <c r="L1935" s="95"/>
      <c r="M1935" s="22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</row>
    <row r="1936">
      <c r="A1936" s="26"/>
      <c r="B1936" s="73"/>
      <c r="C1936" s="73"/>
      <c r="D1936" s="95"/>
      <c r="E1936" s="73"/>
      <c r="F1936" s="73"/>
      <c r="G1936" s="73"/>
      <c r="H1936" s="73"/>
      <c r="I1936" s="95"/>
      <c r="J1936" s="73"/>
      <c r="K1936" s="95"/>
      <c r="L1936" s="95"/>
      <c r="M1936" s="22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</row>
    <row r="1937">
      <c r="A1937" s="26"/>
      <c r="B1937" s="73"/>
      <c r="C1937" s="73"/>
      <c r="D1937" s="95"/>
      <c r="E1937" s="73"/>
      <c r="F1937" s="73"/>
      <c r="G1937" s="73"/>
      <c r="H1937" s="73"/>
      <c r="I1937" s="95"/>
      <c r="J1937" s="73"/>
      <c r="K1937" s="95"/>
      <c r="L1937" s="95"/>
      <c r="M1937" s="22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</row>
    <row r="1938">
      <c r="A1938" s="26"/>
      <c r="B1938" s="73"/>
      <c r="C1938" s="73"/>
      <c r="D1938" s="95"/>
      <c r="E1938" s="73"/>
      <c r="F1938" s="73"/>
      <c r="G1938" s="73"/>
      <c r="H1938" s="73"/>
      <c r="I1938" s="95"/>
      <c r="J1938" s="73"/>
      <c r="K1938" s="95"/>
      <c r="L1938" s="95"/>
      <c r="M1938" s="22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</row>
    <row r="1939">
      <c r="A1939" s="26"/>
      <c r="B1939" s="73"/>
      <c r="C1939" s="73"/>
      <c r="D1939" s="95"/>
      <c r="E1939" s="73"/>
      <c r="F1939" s="73"/>
      <c r="G1939" s="73"/>
      <c r="H1939" s="73"/>
      <c r="I1939" s="95"/>
      <c r="J1939" s="73"/>
      <c r="K1939" s="95"/>
      <c r="L1939" s="95"/>
      <c r="M1939" s="22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</row>
    <row r="1940">
      <c r="A1940" s="26"/>
      <c r="B1940" s="73"/>
      <c r="C1940" s="73"/>
      <c r="D1940" s="95"/>
      <c r="E1940" s="73"/>
      <c r="F1940" s="73"/>
      <c r="G1940" s="73"/>
      <c r="H1940" s="73"/>
      <c r="I1940" s="95"/>
      <c r="J1940" s="73"/>
      <c r="K1940" s="95"/>
      <c r="L1940" s="95"/>
      <c r="M1940" s="22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</row>
    <row r="1941">
      <c r="A1941" s="26"/>
      <c r="B1941" s="73"/>
      <c r="C1941" s="73"/>
      <c r="D1941" s="95"/>
      <c r="E1941" s="73"/>
      <c r="F1941" s="73"/>
      <c r="G1941" s="73"/>
      <c r="H1941" s="73"/>
      <c r="I1941" s="95"/>
      <c r="J1941" s="73"/>
      <c r="K1941" s="95"/>
      <c r="L1941" s="95"/>
      <c r="M1941" s="22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</row>
    <row r="1942">
      <c r="A1942" s="26"/>
      <c r="B1942" s="73"/>
      <c r="C1942" s="73"/>
      <c r="D1942" s="95"/>
      <c r="E1942" s="73"/>
      <c r="F1942" s="73"/>
      <c r="G1942" s="73"/>
      <c r="H1942" s="73"/>
      <c r="I1942" s="95"/>
      <c r="J1942" s="73"/>
      <c r="K1942" s="95"/>
      <c r="L1942" s="95"/>
      <c r="M1942" s="22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</row>
    <row r="1943">
      <c r="A1943" s="26"/>
      <c r="B1943" s="73"/>
      <c r="C1943" s="73"/>
      <c r="D1943" s="95"/>
      <c r="E1943" s="73"/>
      <c r="F1943" s="73"/>
      <c r="G1943" s="73"/>
      <c r="H1943" s="73"/>
      <c r="I1943" s="95"/>
      <c r="J1943" s="73"/>
      <c r="K1943" s="95"/>
      <c r="L1943" s="95"/>
      <c r="M1943" s="22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</row>
    <row r="1944">
      <c r="A1944" s="26"/>
      <c r="B1944" s="73"/>
      <c r="C1944" s="73"/>
      <c r="D1944" s="95"/>
      <c r="E1944" s="73"/>
      <c r="F1944" s="73"/>
      <c r="G1944" s="73"/>
      <c r="H1944" s="73"/>
      <c r="I1944" s="95"/>
      <c r="J1944" s="73"/>
      <c r="K1944" s="95"/>
      <c r="L1944" s="95"/>
      <c r="M1944" s="22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</row>
    <row r="1945">
      <c r="A1945" s="26"/>
      <c r="B1945" s="73"/>
      <c r="C1945" s="73"/>
      <c r="D1945" s="95"/>
      <c r="E1945" s="73"/>
      <c r="F1945" s="73"/>
      <c r="G1945" s="73"/>
      <c r="H1945" s="73"/>
      <c r="I1945" s="95"/>
      <c r="J1945" s="73"/>
      <c r="K1945" s="95"/>
      <c r="L1945" s="95"/>
      <c r="M1945" s="22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</row>
    <row r="1946">
      <c r="A1946" s="26"/>
      <c r="B1946" s="73"/>
      <c r="C1946" s="73"/>
      <c r="D1946" s="95"/>
      <c r="E1946" s="73"/>
      <c r="F1946" s="73"/>
      <c r="G1946" s="73"/>
      <c r="H1946" s="73"/>
      <c r="I1946" s="95"/>
      <c r="J1946" s="73"/>
      <c r="K1946" s="95"/>
      <c r="L1946" s="95"/>
      <c r="M1946" s="22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</row>
    <row r="1947">
      <c r="A1947" s="26"/>
      <c r="B1947" s="73"/>
      <c r="C1947" s="73"/>
      <c r="D1947" s="95"/>
      <c r="E1947" s="73"/>
      <c r="F1947" s="73"/>
      <c r="G1947" s="73"/>
      <c r="H1947" s="73"/>
      <c r="I1947" s="95"/>
      <c r="J1947" s="73"/>
      <c r="K1947" s="95"/>
      <c r="L1947" s="95"/>
      <c r="M1947" s="22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</row>
    <row r="1948">
      <c r="A1948" s="26"/>
      <c r="B1948" s="73"/>
      <c r="C1948" s="73"/>
      <c r="D1948" s="95"/>
      <c r="E1948" s="73"/>
      <c r="F1948" s="73"/>
      <c r="G1948" s="73"/>
      <c r="H1948" s="73"/>
      <c r="I1948" s="95"/>
      <c r="J1948" s="73"/>
      <c r="K1948" s="95"/>
      <c r="L1948" s="95"/>
      <c r="M1948" s="22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</row>
    <row r="1949">
      <c r="A1949" s="26"/>
      <c r="B1949" s="73"/>
      <c r="C1949" s="73"/>
      <c r="D1949" s="95"/>
      <c r="E1949" s="73"/>
      <c r="F1949" s="73"/>
      <c r="G1949" s="73"/>
      <c r="H1949" s="73"/>
      <c r="I1949" s="95"/>
      <c r="J1949" s="73"/>
      <c r="K1949" s="95"/>
      <c r="L1949" s="95"/>
      <c r="M1949" s="22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</row>
    <row r="1950">
      <c r="A1950" s="26"/>
      <c r="B1950" s="73"/>
      <c r="C1950" s="73"/>
      <c r="D1950" s="95"/>
      <c r="E1950" s="73"/>
      <c r="F1950" s="73"/>
      <c r="G1950" s="73"/>
      <c r="H1950" s="73"/>
      <c r="I1950" s="95"/>
      <c r="J1950" s="73"/>
      <c r="K1950" s="95"/>
      <c r="L1950" s="95"/>
      <c r="M1950" s="22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</row>
    <row r="1951">
      <c r="A1951" s="26"/>
      <c r="B1951" s="73"/>
      <c r="C1951" s="73"/>
      <c r="D1951" s="95"/>
      <c r="E1951" s="73"/>
      <c r="F1951" s="73"/>
      <c r="G1951" s="73"/>
      <c r="H1951" s="73"/>
      <c r="I1951" s="95"/>
      <c r="J1951" s="73"/>
      <c r="K1951" s="95"/>
      <c r="L1951" s="95"/>
      <c r="M1951" s="22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</row>
    <row r="1952">
      <c r="A1952" s="26"/>
      <c r="B1952" s="73"/>
      <c r="C1952" s="73"/>
      <c r="D1952" s="95"/>
      <c r="E1952" s="73"/>
      <c r="F1952" s="73"/>
      <c r="G1952" s="73"/>
      <c r="H1952" s="73"/>
      <c r="I1952" s="95"/>
      <c r="J1952" s="73"/>
      <c r="K1952" s="95"/>
      <c r="L1952" s="95"/>
      <c r="M1952" s="22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</row>
    <row r="1953">
      <c r="A1953" s="26"/>
      <c r="B1953" s="73"/>
      <c r="C1953" s="73"/>
      <c r="D1953" s="95"/>
      <c r="E1953" s="73"/>
      <c r="F1953" s="73"/>
      <c r="G1953" s="73"/>
      <c r="H1953" s="73"/>
      <c r="I1953" s="95"/>
      <c r="J1953" s="73"/>
      <c r="K1953" s="95"/>
      <c r="L1953" s="95"/>
      <c r="M1953" s="22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</row>
    <row r="1954">
      <c r="A1954" s="26"/>
      <c r="B1954" s="73"/>
      <c r="C1954" s="73"/>
      <c r="D1954" s="95"/>
      <c r="E1954" s="73"/>
      <c r="F1954" s="73"/>
      <c r="G1954" s="73"/>
      <c r="H1954" s="73"/>
      <c r="I1954" s="95"/>
      <c r="J1954" s="73"/>
      <c r="K1954" s="95"/>
      <c r="L1954" s="95"/>
      <c r="M1954" s="22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</row>
    <row r="1955">
      <c r="A1955" s="26"/>
      <c r="B1955" s="73"/>
      <c r="C1955" s="73"/>
      <c r="D1955" s="95"/>
      <c r="E1955" s="73"/>
      <c r="F1955" s="73"/>
      <c r="G1955" s="73"/>
      <c r="H1955" s="73"/>
      <c r="I1955" s="95"/>
      <c r="J1955" s="73"/>
      <c r="K1955" s="95"/>
      <c r="L1955" s="95"/>
      <c r="M1955" s="22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</row>
    <row r="1956">
      <c r="A1956" s="26"/>
      <c r="B1956" s="73"/>
      <c r="C1956" s="73"/>
      <c r="D1956" s="95"/>
      <c r="E1956" s="73"/>
      <c r="F1956" s="73"/>
      <c r="G1956" s="73"/>
      <c r="H1956" s="73"/>
      <c r="I1956" s="95"/>
      <c r="J1956" s="73"/>
      <c r="K1956" s="95"/>
      <c r="L1956" s="95"/>
      <c r="M1956" s="22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</row>
    <row r="1957">
      <c r="A1957" s="26"/>
      <c r="B1957" s="73"/>
      <c r="C1957" s="73"/>
      <c r="D1957" s="95"/>
      <c r="E1957" s="73"/>
      <c r="F1957" s="73"/>
      <c r="G1957" s="73"/>
      <c r="H1957" s="73"/>
      <c r="I1957" s="95"/>
      <c r="J1957" s="73"/>
      <c r="K1957" s="95"/>
      <c r="L1957" s="95"/>
      <c r="M1957" s="22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</row>
    <row r="1958">
      <c r="A1958" s="26"/>
      <c r="B1958" s="73"/>
      <c r="C1958" s="73"/>
      <c r="D1958" s="95"/>
      <c r="E1958" s="73"/>
      <c r="F1958" s="73"/>
      <c r="G1958" s="73"/>
      <c r="H1958" s="73"/>
      <c r="I1958" s="95"/>
      <c r="J1958" s="73"/>
      <c r="K1958" s="95"/>
      <c r="L1958" s="95"/>
      <c r="M1958" s="22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</row>
    <row r="1959">
      <c r="A1959" s="26"/>
      <c r="B1959" s="73"/>
      <c r="C1959" s="73"/>
      <c r="D1959" s="95"/>
      <c r="E1959" s="73"/>
      <c r="F1959" s="73"/>
      <c r="G1959" s="73"/>
      <c r="H1959" s="73"/>
      <c r="I1959" s="95"/>
      <c r="J1959" s="73"/>
      <c r="K1959" s="95"/>
      <c r="L1959" s="95"/>
      <c r="M1959" s="22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</row>
    <row r="1960">
      <c r="A1960" s="26"/>
      <c r="B1960" s="73"/>
      <c r="C1960" s="73"/>
      <c r="D1960" s="95"/>
      <c r="E1960" s="73"/>
      <c r="F1960" s="73"/>
      <c r="G1960" s="73"/>
      <c r="H1960" s="73"/>
      <c r="I1960" s="95"/>
      <c r="J1960" s="73"/>
      <c r="K1960" s="95"/>
      <c r="L1960" s="95"/>
      <c r="M1960" s="22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</row>
    <row r="1961">
      <c r="A1961" s="26"/>
      <c r="B1961" s="73"/>
      <c r="C1961" s="73"/>
      <c r="D1961" s="95"/>
      <c r="E1961" s="73"/>
      <c r="F1961" s="73"/>
      <c r="G1961" s="73"/>
      <c r="H1961" s="73"/>
      <c r="I1961" s="95"/>
      <c r="J1961" s="73"/>
      <c r="K1961" s="95"/>
      <c r="L1961" s="95"/>
      <c r="M1961" s="22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</row>
    <row r="1962">
      <c r="A1962" s="26"/>
      <c r="B1962" s="73"/>
      <c r="C1962" s="73"/>
      <c r="D1962" s="95"/>
      <c r="E1962" s="73"/>
      <c r="F1962" s="73"/>
      <c r="G1962" s="73"/>
      <c r="H1962" s="73"/>
      <c r="I1962" s="95"/>
      <c r="J1962" s="73"/>
      <c r="K1962" s="95"/>
      <c r="L1962" s="95"/>
      <c r="M1962" s="22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</row>
    <row r="1963">
      <c r="A1963" s="26"/>
      <c r="B1963" s="73"/>
      <c r="C1963" s="73"/>
      <c r="D1963" s="95"/>
      <c r="E1963" s="73"/>
      <c r="F1963" s="73"/>
      <c r="G1963" s="73"/>
      <c r="H1963" s="73"/>
      <c r="I1963" s="95"/>
      <c r="J1963" s="73"/>
      <c r="K1963" s="95"/>
      <c r="L1963" s="95"/>
      <c r="M1963" s="22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</row>
    <row r="1964">
      <c r="A1964" s="26"/>
      <c r="B1964" s="73"/>
      <c r="C1964" s="73"/>
      <c r="D1964" s="95"/>
      <c r="E1964" s="73"/>
      <c r="F1964" s="73"/>
      <c r="G1964" s="73"/>
      <c r="H1964" s="73"/>
      <c r="I1964" s="95"/>
      <c r="J1964" s="73"/>
      <c r="K1964" s="95"/>
      <c r="L1964" s="95"/>
      <c r="M1964" s="22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</row>
    <row r="1965">
      <c r="A1965" s="26"/>
      <c r="B1965" s="73"/>
      <c r="C1965" s="73"/>
      <c r="D1965" s="95"/>
      <c r="E1965" s="73"/>
      <c r="F1965" s="73"/>
      <c r="G1965" s="73"/>
      <c r="H1965" s="73"/>
      <c r="I1965" s="95"/>
      <c r="J1965" s="73"/>
      <c r="K1965" s="95"/>
      <c r="L1965" s="95"/>
      <c r="M1965" s="22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</row>
    <row r="1966">
      <c r="A1966" s="26"/>
      <c r="B1966" s="73"/>
      <c r="C1966" s="73"/>
      <c r="D1966" s="95"/>
      <c r="E1966" s="73"/>
      <c r="F1966" s="73"/>
      <c r="G1966" s="73"/>
      <c r="H1966" s="73"/>
      <c r="I1966" s="95"/>
      <c r="J1966" s="73"/>
      <c r="K1966" s="95"/>
      <c r="L1966" s="95"/>
      <c r="M1966" s="22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</row>
    <row r="1967">
      <c r="A1967" s="26"/>
      <c r="B1967" s="73"/>
      <c r="C1967" s="73"/>
      <c r="D1967" s="95"/>
      <c r="E1967" s="73"/>
      <c r="F1967" s="73"/>
      <c r="G1967" s="73"/>
      <c r="H1967" s="73"/>
      <c r="I1967" s="95"/>
      <c r="J1967" s="73"/>
      <c r="K1967" s="95"/>
      <c r="L1967" s="95"/>
      <c r="M1967" s="22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</row>
    <row r="1968">
      <c r="A1968" s="26"/>
      <c r="B1968" s="73"/>
      <c r="C1968" s="73"/>
      <c r="D1968" s="95"/>
      <c r="E1968" s="73"/>
      <c r="F1968" s="73"/>
      <c r="G1968" s="73"/>
      <c r="H1968" s="73"/>
      <c r="I1968" s="95"/>
      <c r="J1968" s="73"/>
      <c r="K1968" s="95"/>
      <c r="L1968" s="95"/>
      <c r="M1968" s="22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</row>
    <row r="1969">
      <c r="A1969" s="26"/>
      <c r="B1969" s="73"/>
      <c r="C1969" s="73"/>
      <c r="D1969" s="95"/>
      <c r="E1969" s="73"/>
      <c r="F1969" s="73"/>
      <c r="G1969" s="73"/>
      <c r="H1969" s="73"/>
      <c r="I1969" s="95"/>
      <c r="J1969" s="73"/>
      <c r="K1969" s="95"/>
      <c r="L1969" s="95"/>
      <c r="M1969" s="22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</row>
    <row r="1970">
      <c r="A1970" s="26"/>
      <c r="B1970" s="73"/>
      <c r="C1970" s="73"/>
      <c r="D1970" s="95"/>
      <c r="E1970" s="73"/>
      <c r="F1970" s="73"/>
      <c r="G1970" s="73"/>
      <c r="H1970" s="73"/>
      <c r="I1970" s="95"/>
      <c r="J1970" s="73"/>
      <c r="K1970" s="95"/>
      <c r="L1970" s="95"/>
      <c r="M1970" s="22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</row>
    <row r="1971">
      <c r="A1971" s="26"/>
      <c r="B1971" s="73"/>
      <c r="C1971" s="73"/>
      <c r="D1971" s="95"/>
      <c r="E1971" s="73"/>
      <c r="F1971" s="73"/>
      <c r="G1971" s="73"/>
      <c r="H1971" s="73"/>
      <c r="I1971" s="95"/>
      <c r="J1971" s="73"/>
      <c r="K1971" s="95"/>
      <c r="L1971" s="95"/>
      <c r="M1971" s="22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</row>
    <row r="1972">
      <c r="A1972" s="26"/>
      <c r="B1972" s="73"/>
      <c r="C1972" s="73"/>
      <c r="D1972" s="95"/>
      <c r="E1972" s="73"/>
      <c r="F1972" s="73"/>
      <c r="G1972" s="73"/>
      <c r="H1972" s="73"/>
      <c r="I1972" s="95"/>
      <c r="J1972" s="73"/>
      <c r="K1972" s="95"/>
      <c r="L1972" s="95"/>
      <c r="M1972" s="22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</row>
    <row r="1973">
      <c r="A1973" s="26"/>
      <c r="B1973" s="73"/>
      <c r="C1973" s="73"/>
      <c r="D1973" s="95"/>
      <c r="E1973" s="73"/>
      <c r="F1973" s="73"/>
      <c r="G1973" s="73"/>
      <c r="H1973" s="73"/>
      <c r="I1973" s="95"/>
      <c r="J1973" s="73"/>
      <c r="K1973" s="95"/>
      <c r="L1973" s="95"/>
      <c r="M1973" s="22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</row>
    <row r="1974">
      <c r="A1974" s="26"/>
      <c r="B1974" s="73"/>
      <c r="C1974" s="73"/>
      <c r="D1974" s="95"/>
      <c r="E1974" s="73"/>
      <c r="F1974" s="73"/>
      <c r="G1974" s="73"/>
      <c r="H1974" s="73"/>
      <c r="I1974" s="95"/>
      <c r="J1974" s="73"/>
      <c r="K1974" s="95"/>
      <c r="L1974" s="95"/>
      <c r="M1974" s="22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</row>
    <row r="1975">
      <c r="A1975" s="26"/>
      <c r="B1975" s="73"/>
      <c r="C1975" s="73"/>
      <c r="D1975" s="95"/>
      <c r="E1975" s="73"/>
      <c r="F1975" s="73"/>
      <c r="G1975" s="73"/>
      <c r="H1975" s="73"/>
      <c r="I1975" s="95"/>
      <c r="J1975" s="73"/>
      <c r="K1975" s="95"/>
      <c r="L1975" s="95"/>
      <c r="M1975" s="22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</row>
    <row r="1976">
      <c r="A1976" s="26"/>
      <c r="B1976" s="73"/>
      <c r="C1976" s="73"/>
      <c r="D1976" s="95"/>
      <c r="E1976" s="73"/>
      <c r="F1976" s="73"/>
      <c r="G1976" s="73"/>
      <c r="H1976" s="73"/>
      <c r="I1976" s="95"/>
      <c r="J1976" s="73"/>
      <c r="K1976" s="95"/>
      <c r="L1976" s="95"/>
      <c r="M1976" s="22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</row>
    <row r="1977">
      <c r="A1977" s="26"/>
      <c r="B1977" s="73"/>
      <c r="C1977" s="73"/>
      <c r="D1977" s="95"/>
      <c r="E1977" s="73"/>
      <c r="F1977" s="73"/>
      <c r="G1977" s="73"/>
      <c r="H1977" s="73"/>
      <c r="I1977" s="95"/>
      <c r="J1977" s="73"/>
      <c r="K1977" s="95"/>
      <c r="L1977" s="95"/>
      <c r="M1977" s="22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</row>
    <row r="1978">
      <c r="A1978" s="26"/>
      <c r="B1978" s="73"/>
      <c r="C1978" s="73"/>
      <c r="D1978" s="95"/>
      <c r="E1978" s="73"/>
      <c r="F1978" s="73"/>
      <c r="G1978" s="73"/>
      <c r="H1978" s="73"/>
      <c r="I1978" s="95"/>
      <c r="J1978" s="73"/>
      <c r="K1978" s="95"/>
      <c r="L1978" s="95"/>
      <c r="M1978" s="22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</row>
    <row r="1979">
      <c r="A1979" s="26"/>
      <c r="B1979" s="73"/>
      <c r="C1979" s="73"/>
      <c r="D1979" s="95"/>
      <c r="E1979" s="73"/>
      <c r="F1979" s="73"/>
      <c r="G1979" s="73"/>
      <c r="H1979" s="73"/>
      <c r="I1979" s="95"/>
      <c r="J1979" s="73"/>
      <c r="K1979" s="95"/>
      <c r="L1979" s="95"/>
      <c r="M1979" s="22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</row>
    <row r="1980">
      <c r="A1980" s="26"/>
      <c r="B1980" s="73"/>
      <c r="C1980" s="73"/>
      <c r="D1980" s="95"/>
      <c r="E1980" s="73"/>
      <c r="F1980" s="73"/>
      <c r="G1980" s="73"/>
      <c r="H1980" s="73"/>
      <c r="I1980" s="95"/>
      <c r="J1980" s="73"/>
      <c r="K1980" s="95"/>
      <c r="L1980" s="95"/>
      <c r="M1980" s="22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</row>
    <row r="1981">
      <c r="A1981" s="26"/>
      <c r="B1981" s="73"/>
      <c r="C1981" s="73"/>
      <c r="D1981" s="95"/>
      <c r="E1981" s="73"/>
      <c r="F1981" s="73"/>
      <c r="G1981" s="73"/>
      <c r="H1981" s="73"/>
      <c r="I1981" s="95"/>
      <c r="J1981" s="73"/>
      <c r="K1981" s="95"/>
      <c r="L1981" s="95"/>
      <c r="M1981" s="22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</row>
    <row r="1982">
      <c r="A1982" s="26"/>
      <c r="B1982" s="73"/>
      <c r="C1982" s="73"/>
      <c r="D1982" s="95"/>
      <c r="E1982" s="73"/>
      <c r="F1982" s="73"/>
      <c r="G1982" s="73"/>
      <c r="H1982" s="73"/>
      <c r="I1982" s="95"/>
      <c r="J1982" s="73"/>
      <c r="K1982" s="95"/>
      <c r="L1982" s="95"/>
      <c r="M1982" s="22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</row>
    <row r="1983">
      <c r="A1983" s="26"/>
      <c r="B1983" s="73"/>
      <c r="C1983" s="73"/>
      <c r="D1983" s="95"/>
      <c r="E1983" s="73"/>
      <c r="F1983" s="73"/>
      <c r="G1983" s="73"/>
      <c r="H1983" s="73"/>
      <c r="I1983" s="95"/>
      <c r="J1983" s="73"/>
      <c r="K1983" s="95"/>
      <c r="L1983" s="95"/>
      <c r="M1983" s="22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</row>
    <row r="1984">
      <c r="A1984" s="26"/>
      <c r="B1984" s="73"/>
      <c r="C1984" s="73"/>
      <c r="D1984" s="95"/>
      <c r="E1984" s="73"/>
      <c r="F1984" s="73"/>
      <c r="G1984" s="73"/>
      <c r="H1984" s="73"/>
      <c r="I1984" s="95"/>
      <c r="J1984" s="73"/>
      <c r="K1984" s="95"/>
      <c r="L1984" s="95"/>
      <c r="M1984" s="22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</row>
    <row r="1985">
      <c r="A1985" s="26"/>
      <c r="B1985" s="73"/>
      <c r="C1985" s="73"/>
      <c r="D1985" s="95"/>
      <c r="E1985" s="73"/>
      <c r="F1985" s="73"/>
      <c r="G1985" s="73"/>
      <c r="H1985" s="73"/>
      <c r="I1985" s="95"/>
      <c r="J1985" s="73"/>
      <c r="K1985" s="95"/>
      <c r="L1985" s="95"/>
      <c r="M1985" s="22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</row>
    <row r="1986">
      <c r="A1986" s="26"/>
      <c r="B1986" s="73"/>
      <c r="C1986" s="73"/>
      <c r="D1986" s="95"/>
      <c r="E1986" s="73"/>
      <c r="F1986" s="73"/>
      <c r="G1986" s="73"/>
      <c r="H1986" s="73"/>
      <c r="I1986" s="95"/>
      <c r="J1986" s="73"/>
      <c r="K1986" s="95"/>
      <c r="L1986" s="95"/>
      <c r="M1986" s="22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</row>
    <row r="1987">
      <c r="A1987" s="26"/>
      <c r="B1987" s="73"/>
      <c r="C1987" s="73"/>
      <c r="D1987" s="95"/>
      <c r="E1987" s="73"/>
      <c r="F1987" s="73"/>
      <c r="G1987" s="73"/>
      <c r="H1987" s="73"/>
      <c r="I1987" s="95"/>
      <c r="J1987" s="73"/>
      <c r="K1987" s="95"/>
      <c r="L1987" s="95"/>
      <c r="M1987" s="22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</row>
    <row r="1988">
      <c r="A1988" s="26"/>
      <c r="B1988" s="73"/>
      <c r="C1988" s="73"/>
      <c r="D1988" s="95"/>
      <c r="E1988" s="73"/>
      <c r="F1988" s="73"/>
      <c r="G1988" s="73"/>
      <c r="H1988" s="73"/>
      <c r="I1988" s="95"/>
      <c r="J1988" s="73"/>
      <c r="K1988" s="95"/>
      <c r="L1988" s="95"/>
      <c r="M1988" s="22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</row>
    <row r="1989">
      <c r="A1989" s="26"/>
      <c r="B1989" s="73"/>
      <c r="C1989" s="73"/>
      <c r="D1989" s="95"/>
      <c r="E1989" s="73"/>
      <c r="F1989" s="73"/>
      <c r="G1989" s="73"/>
      <c r="H1989" s="73"/>
      <c r="I1989" s="95"/>
      <c r="J1989" s="73"/>
      <c r="K1989" s="95"/>
      <c r="L1989" s="95"/>
      <c r="M1989" s="22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</row>
    <row r="1990">
      <c r="A1990" s="26"/>
      <c r="B1990" s="73"/>
      <c r="C1990" s="73"/>
      <c r="D1990" s="95"/>
      <c r="E1990" s="73"/>
      <c r="F1990" s="73"/>
      <c r="G1990" s="73"/>
      <c r="H1990" s="73"/>
      <c r="I1990" s="95"/>
      <c r="J1990" s="73"/>
      <c r="K1990" s="95"/>
      <c r="L1990" s="95"/>
      <c r="M1990" s="22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</row>
    <row r="1991">
      <c r="A1991" s="26"/>
      <c r="B1991" s="73"/>
      <c r="C1991" s="73"/>
      <c r="D1991" s="95"/>
      <c r="E1991" s="73"/>
      <c r="F1991" s="73"/>
      <c r="G1991" s="73"/>
      <c r="H1991" s="73"/>
      <c r="I1991" s="95"/>
      <c r="J1991" s="73"/>
      <c r="K1991" s="95"/>
      <c r="L1991" s="95"/>
      <c r="M1991" s="22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</row>
    <row r="1992">
      <c r="A1992" s="26"/>
      <c r="B1992" s="73"/>
      <c r="C1992" s="73"/>
      <c r="D1992" s="95"/>
      <c r="E1992" s="73"/>
      <c r="F1992" s="73"/>
      <c r="G1992" s="73"/>
      <c r="H1992" s="73"/>
      <c r="I1992" s="95"/>
      <c r="J1992" s="73"/>
      <c r="K1992" s="95"/>
      <c r="L1992" s="95"/>
      <c r="M1992" s="22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</row>
    <row r="1993">
      <c r="A1993" s="26"/>
      <c r="B1993" s="73"/>
      <c r="C1993" s="73"/>
      <c r="D1993" s="95"/>
      <c r="E1993" s="73"/>
      <c r="F1993" s="73"/>
      <c r="G1993" s="73"/>
      <c r="H1993" s="73"/>
      <c r="I1993" s="95"/>
      <c r="J1993" s="73"/>
      <c r="K1993" s="95"/>
      <c r="L1993" s="95"/>
      <c r="M1993" s="22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</row>
    <row r="1994">
      <c r="A1994" s="26"/>
      <c r="B1994" s="73"/>
      <c r="C1994" s="73"/>
      <c r="D1994" s="95"/>
      <c r="E1994" s="73"/>
      <c r="F1994" s="73"/>
      <c r="G1994" s="73"/>
      <c r="H1994" s="73"/>
      <c r="I1994" s="95"/>
      <c r="J1994" s="73"/>
      <c r="K1994" s="95"/>
      <c r="L1994" s="95"/>
      <c r="M1994" s="22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</row>
    <row r="1995">
      <c r="A1995" s="26"/>
      <c r="B1995" s="73"/>
      <c r="C1995" s="73"/>
      <c r="D1995" s="95"/>
      <c r="E1995" s="73"/>
      <c r="F1995" s="73"/>
      <c r="G1995" s="73"/>
      <c r="H1995" s="73"/>
      <c r="I1995" s="95"/>
      <c r="J1995" s="73"/>
      <c r="K1995" s="95"/>
      <c r="L1995" s="95"/>
      <c r="M1995" s="22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</row>
    <row r="1996">
      <c r="A1996" s="26"/>
      <c r="B1996" s="73"/>
      <c r="C1996" s="73"/>
      <c r="D1996" s="95"/>
      <c r="E1996" s="73"/>
      <c r="F1996" s="73"/>
      <c r="G1996" s="73"/>
      <c r="H1996" s="73"/>
      <c r="I1996" s="95"/>
      <c r="J1996" s="73"/>
      <c r="K1996" s="95"/>
      <c r="L1996" s="95"/>
      <c r="M1996" s="22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</row>
    <row r="1997">
      <c r="A1997" s="26"/>
      <c r="B1997" s="73"/>
      <c r="C1997" s="73"/>
      <c r="D1997" s="95"/>
      <c r="E1997" s="73"/>
      <c r="F1997" s="73"/>
      <c r="G1997" s="73"/>
      <c r="H1997" s="73"/>
      <c r="I1997" s="95"/>
      <c r="J1997" s="73"/>
      <c r="K1997" s="95"/>
      <c r="L1997" s="95"/>
      <c r="M1997" s="22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</row>
    <row r="1998">
      <c r="A1998" s="26"/>
      <c r="B1998" s="73"/>
      <c r="C1998" s="73"/>
      <c r="D1998" s="95"/>
      <c r="E1998" s="73"/>
      <c r="F1998" s="73"/>
      <c r="G1998" s="73"/>
      <c r="H1998" s="73"/>
      <c r="I1998" s="95"/>
      <c r="J1998" s="73"/>
      <c r="K1998" s="95"/>
      <c r="L1998" s="95"/>
      <c r="M1998" s="22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</row>
    <row r="1999">
      <c r="A1999" s="26"/>
      <c r="B1999" s="73"/>
      <c r="C1999" s="73"/>
      <c r="D1999" s="95"/>
      <c r="E1999" s="73"/>
      <c r="F1999" s="73"/>
      <c r="G1999" s="73"/>
      <c r="H1999" s="73"/>
      <c r="I1999" s="95"/>
      <c r="J1999" s="73"/>
      <c r="K1999" s="95"/>
      <c r="L1999" s="95"/>
      <c r="M1999" s="22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</row>
    <row r="2000">
      <c r="A2000" s="26"/>
      <c r="B2000" s="73"/>
      <c r="C2000" s="73"/>
      <c r="D2000" s="95"/>
      <c r="E2000" s="73"/>
      <c r="F2000" s="73"/>
      <c r="G2000" s="73"/>
      <c r="H2000" s="73"/>
      <c r="I2000" s="95"/>
      <c r="J2000" s="73"/>
      <c r="K2000" s="95"/>
      <c r="L2000" s="95"/>
      <c r="M2000" s="22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</row>
    <row r="2001">
      <c r="A2001" s="26"/>
      <c r="B2001" s="73"/>
      <c r="C2001" s="73"/>
      <c r="D2001" s="95"/>
      <c r="E2001" s="73"/>
      <c r="F2001" s="73"/>
      <c r="G2001" s="73"/>
      <c r="H2001" s="73"/>
      <c r="I2001" s="95"/>
      <c r="J2001" s="73"/>
      <c r="K2001" s="95"/>
      <c r="L2001" s="95"/>
      <c r="M2001" s="22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</row>
    <row r="2002">
      <c r="A2002" s="26"/>
      <c r="B2002" s="73"/>
      <c r="C2002" s="73"/>
      <c r="D2002" s="95"/>
      <c r="E2002" s="73"/>
      <c r="F2002" s="73"/>
      <c r="G2002" s="73"/>
      <c r="H2002" s="73"/>
      <c r="I2002" s="95"/>
      <c r="J2002" s="73"/>
      <c r="K2002" s="95"/>
      <c r="L2002" s="95"/>
      <c r="M2002" s="22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</row>
    <row r="2003">
      <c r="A2003" s="26"/>
      <c r="B2003" s="73"/>
      <c r="C2003" s="73"/>
      <c r="D2003" s="95"/>
      <c r="E2003" s="73"/>
      <c r="F2003" s="73"/>
      <c r="G2003" s="73"/>
      <c r="H2003" s="73"/>
      <c r="I2003" s="95"/>
      <c r="J2003" s="73"/>
      <c r="K2003" s="95"/>
      <c r="L2003" s="95"/>
      <c r="M2003" s="22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</row>
    <row r="2004">
      <c r="A2004" s="26"/>
      <c r="B2004" s="73"/>
      <c r="C2004" s="73"/>
      <c r="D2004" s="95"/>
      <c r="E2004" s="73"/>
      <c r="F2004" s="73"/>
      <c r="G2004" s="73"/>
      <c r="H2004" s="73"/>
      <c r="I2004" s="95"/>
      <c r="J2004" s="73"/>
      <c r="K2004" s="95"/>
      <c r="L2004" s="95"/>
      <c r="M2004" s="22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</row>
    <row r="2005">
      <c r="A2005" s="26"/>
      <c r="B2005" s="73"/>
      <c r="C2005" s="73"/>
      <c r="D2005" s="95"/>
      <c r="E2005" s="73"/>
      <c r="F2005" s="73"/>
      <c r="G2005" s="73"/>
      <c r="H2005" s="73"/>
      <c r="I2005" s="95"/>
      <c r="J2005" s="73"/>
      <c r="K2005" s="95"/>
      <c r="L2005" s="95"/>
      <c r="M2005" s="22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</row>
    <row r="2006">
      <c r="A2006" s="26"/>
      <c r="B2006" s="73"/>
      <c r="C2006" s="73"/>
      <c r="D2006" s="95"/>
      <c r="E2006" s="73"/>
      <c r="F2006" s="73"/>
      <c r="G2006" s="73"/>
      <c r="H2006" s="73"/>
      <c r="I2006" s="95"/>
      <c r="J2006" s="73"/>
      <c r="K2006" s="95"/>
      <c r="L2006" s="95"/>
      <c r="M2006" s="22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</row>
    <row r="2007">
      <c r="A2007" s="26"/>
      <c r="B2007" s="73"/>
      <c r="C2007" s="73"/>
      <c r="D2007" s="95"/>
      <c r="E2007" s="73"/>
      <c r="F2007" s="73"/>
      <c r="G2007" s="73"/>
      <c r="H2007" s="73"/>
      <c r="I2007" s="95"/>
      <c r="J2007" s="73"/>
      <c r="K2007" s="95"/>
      <c r="L2007" s="95"/>
      <c r="M2007" s="22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</row>
    <row r="2008">
      <c r="A2008" s="26"/>
      <c r="B2008" s="73"/>
      <c r="C2008" s="73"/>
      <c r="D2008" s="95"/>
      <c r="E2008" s="73"/>
      <c r="F2008" s="73"/>
      <c r="G2008" s="73"/>
      <c r="H2008" s="73"/>
      <c r="I2008" s="95"/>
      <c r="J2008" s="73"/>
      <c r="K2008" s="95"/>
      <c r="L2008" s="95"/>
      <c r="M2008" s="22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</row>
    <row r="2009">
      <c r="A2009" s="26"/>
      <c r="B2009" s="73"/>
      <c r="C2009" s="73"/>
      <c r="D2009" s="95"/>
      <c r="E2009" s="73"/>
      <c r="F2009" s="73"/>
      <c r="G2009" s="73"/>
      <c r="H2009" s="73"/>
      <c r="I2009" s="95"/>
      <c r="J2009" s="73"/>
      <c r="K2009" s="95"/>
      <c r="L2009" s="95"/>
      <c r="M2009" s="22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</row>
    <row r="2010">
      <c r="A2010" s="26"/>
      <c r="B2010" s="73"/>
      <c r="C2010" s="73"/>
      <c r="D2010" s="95"/>
      <c r="E2010" s="73"/>
      <c r="F2010" s="73"/>
      <c r="G2010" s="73"/>
      <c r="H2010" s="73"/>
      <c r="I2010" s="95"/>
      <c r="J2010" s="73"/>
      <c r="K2010" s="95"/>
      <c r="L2010" s="95"/>
      <c r="M2010" s="22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</row>
    <row r="2011">
      <c r="A2011" s="26"/>
      <c r="B2011" s="73"/>
      <c r="C2011" s="73"/>
      <c r="D2011" s="95"/>
      <c r="E2011" s="73"/>
      <c r="F2011" s="73"/>
      <c r="G2011" s="73"/>
      <c r="H2011" s="73"/>
      <c r="I2011" s="95"/>
      <c r="J2011" s="73"/>
      <c r="K2011" s="95"/>
      <c r="L2011" s="95"/>
      <c r="M2011" s="22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</row>
    <row r="2012">
      <c r="A2012" s="26"/>
      <c r="B2012" s="73"/>
      <c r="C2012" s="73"/>
      <c r="D2012" s="95"/>
      <c r="E2012" s="73"/>
      <c r="F2012" s="73"/>
      <c r="G2012" s="73"/>
      <c r="H2012" s="73"/>
      <c r="I2012" s="95"/>
      <c r="J2012" s="73"/>
      <c r="K2012" s="95"/>
      <c r="L2012" s="95"/>
      <c r="M2012" s="22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</row>
    <row r="2013">
      <c r="A2013" s="26"/>
      <c r="B2013" s="73"/>
      <c r="C2013" s="73"/>
      <c r="D2013" s="95"/>
      <c r="E2013" s="73"/>
      <c r="F2013" s="73"/>
      <c r="G2013" s="73"/>
      <c r="H2013" s="73"/>
      <c r="I2013" s="95"/>
      <c r="J2013" s="73"/>
      <c r="K2013" s="95"/>
      <c r="L2013" s="95"/>
      <c r="M2013" s="22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</row>
    <row r="2014">
      <c r="A2014" s="26"/>
      <c r="B2014" s="73"/>
      <c r="C2014" s="73"/>
      <c r="D2014" s="95"/>
      <c r="E2014" s="73"/>
      <c r="F2014" s="73"/>
      <c r="G2014" s="73"/>
      <c r="H2014" s="73"/>
      <c r="I2014" s="95"/>
      <c r="J2014" s="73"/>
      <c r="K2014" s="95"/>
      <c r="L2014" s="95"/>
      <c r="M2014" s="22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</row>
    <row r="2015">
      <c r="A2015" s="26"/>
      <c r="B2015" s="73"/>
      <c r="C2015" s="73"/>
      <c r="D2015" s="95"/>
      <c r="E2015" s="73"/>
      <c r="F2015" s="73"/>
      <c r="G2015" s="73"/>
      <c r="H2015" s="73"/>
      <c r="I2015" s="95"/>
      <c r="J2015" s="73"/>
      <c r="K2015" s="95"/>
      <c r="L2015" s="95"/>
      <c r="M2015" s="22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</row>
    <row r="2016">
      <c r="A2016" s="26"/>
      <c r="B2016" s="73"/>
      <c r="C2016" s="73"/>
      <c r="D2016" s="95"/>
      <c r="E2016" s="73"/>
      <c r="F2016" s="73"/>
      <c r="G2016" s="73"/>
      <c r="H2016" s="73"/>
      <c r="I2016" s="95"/>
      <c r="J2016" s="73"/>
      <c r="K2016" s="95"/>
      <c r="L2016" s="95"/>
      <c r="M2016" s="22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</row>
    <row r="2017">
      <c r="A2017" s="26"/>
      <c r="B2017" s="73"/>
      <c r="C2017" s="73"/>
      <c r="D2017" s="95"/>
      <c r="E2017" s="73"/>
      <c r="F2017" s="73"/>
      <c r="G2017" s="73"/>
      <c r="H2017" s="73"/>
      <c r="I2017" s="95"/>
      <c r="J2017" s="73"/>
      <c r="K2017" s="95"/>
      <c r="L2017" s="95"/>
      <c r="M2017" s="22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</row>
    <row r="2018">
      <c r="A2018" s="26"/>
      <c r="B2018" s="73"/>
      <c r="C2018" s="73"/>
      <c r="D2018" s="95"/>
      <c r="E2018" s="73"/>
      <c r="F2018" s="73"/>
      <c r="G2018" s="73"/>
      <c r="H2018" s="73"/>
      <c r="I2018" s="95"/>
      <c r="J2018" s="73"/>
      <c r="K2018" s="95"/>
      <c r="L2018" s="95"/>
      <c r="M2018" s="22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</row>
    <row r="2019">
      <c r="A2019" s="26"/>
      <c r="B2019" s="73"/>
      <c r="C2019" s="73"/>
      <c r="D2019" s="95"/>
      <c r="E2019" s="73"/>
      <c r="F2019" s="73"/>
      <c r="G2019" s="73"/>
      <c r="H2019" s="73"/>
      <c r="I2019" s="95"/>
      <c r="J2019" s="73"/>
      <c r="K2019" s="95"/>
      <c r="L2019" s="95"/>
      <c r="M2019" s="22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</row>
    <row r="2020">
      <c r="A2020" s="26"/>
      <c r="B2020" s="73"/>
      <c r="C2020" s="73"/>
      <c r="D2020" s="95"/>
      <c r="E2020" s="73"/>
      <c r="F2020" s="73"/>
      <c r="G2020" s="73"/>
      <c r="H2020" s="73"/>
      <c r="I2020" s="95"/>
      <c r="J2020" s="73"/>
      <c r="K2020" s="95"/>
      <c r="L2020" s="95"/>
      <c r="M2020" s="22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</row>
    <row r="2021">
      <c r="A2021" s="26"/>
      <c r="B2021" s="73"/>
      <c r="C2021" s="73"/>
      <c r="D2021" s="95"/>
      <c r="E2021" s="73"/>
      <c r="F2021" s="73"/>
      <c r="G2021" s="73"/>
      <c r="H2021" s="73"/>
      <c r="I2021" s="95"/>
      <c r="J2021" s="73"/>
      <c r="K2021" s="95"/>
      <c r="L2021" s="95"/>
      <c r="M2021" s="22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</row>
    <row r="2022">
      <c r="A2022" s="26"/>
      <c r="B2022" s="73"/>
      <c r="C2022" s="73"/>
      <c r="D2022" s="95"/>
      <c r="E2022" s="73"/>
      <c r="F2022" s="73"/>
      <c r="G2022" s="73"/>
      <c r="H2022" s="73"/>
      <c r="I2022" s="95"/>
      <c r="J2022" s="73"/>
      <c r="K2022" s="95"/>
      <c r="L2022" s="95"/>
      <c r="M2022" s="22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</row>
    <row r="2023">
      <c r="A2023" s="26"/>
      <c r="B2023" s="73"/>
      <c r="C2023" s="73"/>
      <c r="D2023" s="95"/>
      <c r="E2023" s="73"/>
      <c r="F2023" s="73"/>
      <c r="G2023" s="73"/>
      <c r="H2023" s="73"/>
      <c r="I2023" s="95"/>
      <c r="J2023" s="73"/>
      <c r="K2023" s="95"/>
      <c r="L2023" s="95"/>
      <c r="M2023" s="22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</row>
    <row r="2024">
      <c r="A2024" s="26"/>
      <c r="B2024" s="73"/>
      <c r="C2024" s="73"/>
      <c r="D2024" s="95"/>
      <c r="E2024" s="73"/>
      <c r="F2024" s="73"/>
      <c r="G2024" s="73"/>
      <c r="H2024" s="73"/>
      <c r="I2024" s="95"/>
      <c r="J2024" s="73"/>
      <c r="K2024" s="95"/>
      <c r="L2024" s="95"/>
      <c r="M2024" s="22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</row>
    <row r="2025">
      <c r="A2025" s="26"/>
      <c r="B2025" s="73"/>
      <c r="C2025" s="73"/>
      <c r="D2025" s="95"/>
      <c r="E2025" s="73"/>
      <c r="F2025" s="73"/>
      <c r="G2025" s="73"/>
      <c r="H2025" s="73"/>
      <c r="I2025" s="95"/>
      <c r="J2025" s="73"/>
      <c r="K2025" s="95"/>
      <c r="L2025" s="95"/>
      <c r="M2025" s="22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</row>
    <row r="2026">
      <c r="A2026" s="26"/>
      <c r="B2026" s="73"/>
      <c r="C2026" s="73"/>
      <c r="D2026" s="95"/>
      <c r="E2026" s="73"/>
      <c r="F2026" s="73"/>
      <c r="G2026" s="73"/>
      <c r="H2026" s="73"/>
      <c r="I2026" s="95"/>
      <c r="J2026" s="73"/>
      <c r="K2026" s="95"/>
      <c r="L2026" s="95"/>
      <c r="M2026" s="22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</row>
    <row r="2027">
      <c r="A2027" s="26"/>
      <c r="B2027" s="73"/>
      <c r="C2027" s="73"/>
      <c r="D2027" s="95"/>
      <c r="E2027" s="73"/>
      <c r="F2027" s="73"/>
      <c r="G2027" s="73"/>
      <c r="H2027" s="73"/>
      <c r="I2027" s="95"/>
      <c r="J2027" s="73"/>
      <c r="K2027" s="95"/>
      <c r="L2027" s="95"/>
      <c r="M2027" s="22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</row>
    <row r="2028">
      <c r="A2028" s="26"/>
      <c r="B2028" s="73"/>
      <c r="C2028" s="73"/>
      <c r="D2028" s="95"/>
      <c r="E2028" s="73"/>
      <c r="F2028" s="73"/>
      <c r="G2028" s="73"/>
      <c r="H2028" s="73"/>
      <c r="I2028" s="95"/>
      <c r="J2028" s="73"/>
      <c r="K2028" s="95"/>
      <c r="L2028" s="95"/>
      <c r="M2028" s="22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</row>
    <row r="2029">
      <c r="A2029" s="26"/>
      <c r="B2029" s="73"/>
      <c r="C2029" s="73"/>
      <c r="D2029" s="95"/>
      <c r="E2029" s="73"/>
      <c r="F2029" s="73"/>
      <c r="G2029" s="73"/>
      <c r="H2029" s="73"/>
      <c r="I2029" s="95"/>
      <c r="J2029" s="73"/>
      <c r="K2029" s="95"/>
      <c r="L2029" s="95"/>
      <c r="M2029" s="22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</row>
    <row r="2030">
      <c r="A2030" s="26"/>
      <c r="B2030" s="73"/>
      <c r="C2030" s="73"/>
      <c r="D2030" s="95"/>
      <c r="E2030" s="73"/>
      <c r="F2030" s="73"/>
      <c r="G2030" s="73"/>
      <c r="H2030" s="73"/>
      <c r="I2030" s="95"/>
      <c r="J2030" s="73"/>
      <c r="K2030" s="95"/>
      <c r="L2030" s="95"/>
      <c r="M2030" s="22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</row>
    <row r="2031">
      <c r="A2031" s="26"/>
      <c r="B2031" s="73"/>
      <c r="C2031" s="73"/>
      <c r="D2031" s="95"/>
      <c r="E2031" s="73"/>
      <c r="F2031" s="73"/>
      <c r="G2031" s="73"/>
      <c r="H2031" s="73"/>
      <c r="I2031" s="95"/>
      <c r="J2031" s="73"/>
      <c r="K2031" s="95"/>
      <c r="L2031" s="95"/>
      <c r="M2031" s="22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</row>
    <row r="2032">
      <c r="A2032" s="26"/>
      <c r="B2032" s="73"/>
      <c r="C2032" s="73"/>
      <c r="D2032" s="95"/>
      <c r="E2032" s="73"/>
      <c r="F2032" s="73"/>
      <c r="G2032" s="73"/>
      <c r="H2032" s="73"/>
      <c r="I2032" s="95"/>
      <c r="J2032" s="73"/>
      <c r="K2032" s="95"/>
      <c r="L2032" s="95"/>
      <c r="M2032" s="22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</row>
    <row r="2033">
      <c r="A2033" s="26"/>
      <c r="B2033" s="73"/>
      <c r="C2033" s="73"/>
      <c r="D2033" s="95"/>
      <c r="E2033" s="73"/>
      <c r="F2033" s="73"/>
      <c r="G2033" s="73"/>
      <c r="H2033" s="73"/>
      <c r="I2033" s="95"/>
      <c r="J2033" s="73"/>
      <c r="K2033" s="95"/>
      <c r="L2033" s="95"/>
      <c r="M2033" s="22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</row>
    <row r="2034">
      <c r="A2034" s="26"/>
      <c r="B2034" s="73"/>
      <c r="C2034" s="73"/>
      <c r="D2034" s="95"/>
      <c r="E2034" s="73"/>
      <c r="F2034" s="73"/>
      <c r="G2034" s="73"/>
      <c r="H2034" s="73"/>
      <c r="I2034" s="95"/>
      <c r="J2034" s="73"/>
      <c r="K2034" s="95"/>
      <c r="L2034" s="95"/>
      <c r="M2034" s="22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</row>
    <row r="2035">
      <c r="A2035" s="26"/>
      <c r="B2035" s="73"/>
      <c r="C2035" s="73"/>
      <c r="D2035" s="95"/>
      <c r="E2035" s="73"/>
      <c r="F2035" s="73"/>
      <c r="G2035" s="73"/>
      <c r="H2035" s="73"/>
      <c r="I2035" s="95"/>
      <c r="J2035" s="73"/>
      <c r="K2035" s="95"/>
      <c r="L2035" s="95"/>
      <c r="M2035" s="22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</row>
    <row r="2036">
      <c r="A2036" s="26"/>
      <c r="B2036" s="73"/>
      <c r="C2036" s="73"/>
      <c r="D2036" s="95"/>
      <c r="E2036" s="73"/>
      <c r="F2036" s="73"/>
      <c r="G2036" s="73"/>
      <c r="H2036" s="73"/>
      <c r="I2036" s="95"/>
      <c r="J2036" s="73"/>
      <c r="K2036" s="95"/>
      <c r="L2036" s="95"/>
      <c r="M2036" s="22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</row>
    <row r="2037">
      <c r="A2037" s="26"/>
      <c r="B2037" s="73"/>
      <c r="C2037" s="73"/>
      <c r="D2037" s="95"/>
      <c r="E2037" s="73"/>
      <c r="F2037" s="73"/>
      <c r="G2037" s="73"/>
      <c r="H2037" s="73"/>
      <c r="I2037" s="95"/>
      <c r="J2037" s="73"/>
      <c r="K2037" s="95"/>
      <c r="L2037" s="95"/>
      <c r="M2037" s="22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</row>
    <row r="2038">
      <c r="A2038" s="26"/>
      <c r="B2038" s="73"/>
      <c r="C2038" s="73"/>
      <c r="D2038" s="95"/>
      <c r="E2038" s="73"/>
      <c r="F2038" s="73"/>
      <c r="G2038" s="73"/>
      <c r="H2038" s="73"/>
      <c r="I2038" s="95"/>
      <c r="J2038" s="73"/>
      <c r="K2038" s="95"/>
      <c r="L2038" s="95"/>
      <c r="M2038" s="22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</row>
    <row r="2039">
      <c r="A2039" s="26"/>
      <c r="B2039" s="73"/>
      <c r="C2039" s="73"/>
      <c r="D2039" s="95"/>
      <c r="E2039" s="73"/>
      <c r="F2039" s="73"/>
      <c r="G2039" s="73"/>
      <c r="H2039" s="73"/>
      <c r="I2039" s="95"/>
      <c r="J2039" s="73"/>
      <c r="K2039" s="95"/>
      <c r="L2039" s="95"/>
      <c r="M2039" s="22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</row>
    <row r="2040">
      <c r="A2040" s="26"/>
      <c r="B2040" s="73"/>
      <c r="C2040" s="73"/>
      <c r="D2040" s="95"/>
      <c r="E2040" s="73"/>
      <c r="F2040" s="73"/>
      <c r="G2040" s="73"/>
      <c r="H2040" s="73"/>
      <c r="I2040" s="95"/>
      <c r="J2040" s="73"/>
      <c r="K2040" s="95"/>
      <c r="L2040" s="95"/>
      <c r="M2040" s="22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</row>
    <row r="2041">
      <c r="A2041" s="26"/>
      <c r="B2041" s="73"/>
      <c r="C2041" s="73"/>
      <c r="D2041" s="95"/>
      <c r="E2041" s="73"/>
      <c r="F2041" s="73"/>
      <c r="G2041" s="73"/>
      <c r="H2041" s="73"/>
      <c r="I2041" s="95"/>
      <c r="J2041" s="73"/>
      <c r="K2041" s="95"/>
      <c r="L2041" s="95"/>
      <c r="M2041" s="22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</row>
    <row r="2042">
      <c r="A2042" s="26"/>
      <c r="B2042" s="73"/>
      <c r="C2042" s="73"/>
      <c r="D2042" s="95"/>
      <c r="E2042" s="73"/>
      <c r="F2042" s="73"/>
      <c r="G2042" s="73"/>
      <c r="H2042" s="73"/>
      <c r="I2042" s="95"/>
      <c r="J2042" s="73"/>
      <c r="K2042" s="95"/>
      <c r="L2042" s="95"/>
      <c r="M2042" s="22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</row>
    <row r="2043">
      <c r="A2043" s="26"/>
      <c r="B2043" s="73"/>
      <c r="C2043" s="73"/>
      <c r="D2043" s="95"/>
      <c r="E2043" s="73"/>
      <c r="F2043" s="73"/>
      <c r="G2043" s="73"/>
      <c r="H2043" s="73"/>
      <c r="I2043" s="95"/>
      <c r="J2043" s="73"/>
      <c r="K2043" s="95"/>
      <c r="L2043" s="95"/>
      <c r="M2043" s="22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</row>
    <row r="2044">
      <c r="A2044" s="26"/>
      <c r="B2044" s="73"/>
      <c r="C2044" s="73"/>
      <c r="D2044" s="95"/>
      <c r="E2044" s="73"/>
      <c r="F2044" s="73"/>
      <c r="G2044" s="73"/>
      <c r="H2044" s="73"/>
      <c r="I2044" s="95"/>
      <c r="J2044" s="73"/>
      <c r="K2044" s="95"/>
      <c r="L2044" s="95"/>
      <c r="M2044" s="22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</row>
    <row r="2045">
      <c r="A2045" s="26"/>
      <c r="B2045" s="73"/>
      <c r="C2045" s="73"/>
      <c r="D2045" s="95"/>
      <c r="E2045" s="73"/>
      <c r="F2045" s="73"/>
      <c r="G2045" s="73"/>
      <c r="H2045" s="73"/>
      <c r="I2045" s="95"/>
      <c r="J2045" s="73"/>
      <c r="K2045" s="95"/>
      <c r="L2045" s="95"/>
      <c r="M2045" s="22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</row>
    <row r="2046">
      <c r="A2046" s="26"/>
      <c r="B2046" s="73"/>
      <c r="C2046" s="73"/>
      <c r="D2046" s="95"/>
      <c r="E2046" s="73"/>
      <c r="F2046" s="73"/>
      <c r="G2046" s="73"/>
      <c r="H2046" s="73"/>
      <c r="I2046" s="95"/>
      <c r="J2046" s="73"/>
      <c r="K2046" s="95"/>
      <c r="L2046" s="95"/>
      <c r="M2046" s="22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</row>
    <row r="2047">
      <c r="A2047" s="26"/>
      <c r="B2047" s="73"/>
      <c r="C2047" s="73"/>
      <c r="D2047" s="95"/>
      <c r="E2047" s="73"/>
      <c r="F2047" s="73"/>
      <c r="G2047" s="73"/>
      <c r="H2047" s="73"/>
      <c r="I2047" s="95"/>
      <c r="J2047" s="73"/>
      <c r="K2047" s="95"/>
      <c r="L2047" s="95"/>
      <c r="M2047" s="22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</row>
    <row r="2048">
      <c r="A2048" s="26"/>
      <c r="B2048" s="73"/>
      <c r="C2048" s="73"/>
      <c r="D2048" s="95"/>
      <c r="E2048" s="73"/>
      <c r="F2048" s="73"/>
      <c r="G2048" s="73"/>
      <c r="H2048" s="73"/>
      <c r="I2048" s="95"/>
      <c r="J2048" s="73"/>
      <c r="K2048" s="95"/>
      <c r="L2048" s="95"/>
      <c r="M2048" s="22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</row>
    <row r="2049">
      <c r="A2049" s="26"/>
      <c r="B2049" s="73"/>
      <c r="C2049" s="73"/>
      <c r="D2049" s="95"/>
      <c r="E2049" s="73"/>
      <c r="F2049" s="73"/>
      <c r="G2049" s="73"/>
      <c r="H2049" s="73"/>
      <c r="I2049" s="95"/>
      <c r="J2049" s="73"/>
      <c r="K2049" s="95"/>
      <c r="L2049" s="95"/>
      <c r="M2049" s="22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</row>
    <row r="2050">
      <c r="A2050" s="26"/>
      <c r="B2050" s="73"/>
      <c r="C2050" s="73"/>
      <c r="D2050" s="95"/>
      <c r="E2050" s="73"/>
      <c r="F2050" s="73"/>
      <c r="G2050" s="73"/>
      <c r="H2050" s="73"/>
      <c r="I2050" s="95"/>
      <c r="J2050" s="73"/>
      <c r="K2050" s="95"/>
      <c r="L2050" s="95"/>
      <c r="M2050" s="22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</row>
    <row r="2051">
      <c r="A2051" s="26"/>
      <c r="B2051" s="73"/>
      <c r="C2051" s="73"/>
      <c r="D2051" s="95"/>
      <c r="E2051" s="73"/>
      <c r="F2051" s="73"/>
      <c r="G2051" s="73"/>
      <c r="H2051" s="73"/>
      <c r="I2051" s="95"/>
      <c r="J2051" s="73"/>
      <c r="K2051" s="95"/>
      <c r="L2051" s="95"/>
      <c r="M2051" s="22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</row>
    <row r="2052">
      <c r="A2052" s="26"/>
      <c r="B2052" s="73"/>
      <c r="C2052" s="73"/>
      <c r="D2052" s="95"/>
      <c r="E2052" s="73"/>
      <c r="F2052" s="73"/>
      <c r="G2052" s="73"/>
      <c r="H2052" s="73"/>
      <c r="I2052" s="95"/>
      <c r="J2052" s="73"/>
      <c r="K2052" s="95"/>
      <c r="L2052" s="95"/>
      <c r="M2052" s="22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</row>
    <row r="2053">
      <c r="A2053" s="26"/>
      <c r="B2053" s="73"/>
      <c r="C2053" s="73"/>
      <c r="D2053" s="95"/>
      <c r="E2053" s="73"/>
      <c r="F2053" s="73"/>
      <c r="G2053" s="73"/>
      <c r="H2053" s="73"/>
      <c r="I2053" s="95"/>
      <c r="J2053" s="73"/>
      <c r="K2053" s="95"/>
      <c r="L2053" s="95"/>
      <c r="M2053" s="22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</row>
    <row r="2054">
      <c r="A2054" s="26"/>
      <c r="B2054" s="73"/>
      <c r="C2054" s="73"/>
      <c r="D2054" s="95"/>
      <c r="E2054" s="73"/>
      <c r="F2054" s="73"/>
      <c r="G2054" s="73"/>
      <c r="H2054" s="73"/>
      <c r="I2054" s="95"/>
      <c r="J2054" s="73"/>
      <c r="K2054" s="95"/>
      <c r="L2054" s="95"/>
      <c r="M2054" s="22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</row>
    <row r="2055">
      <c r="A2055" s="26"/>
      <c r="B2055" s="73"/>
      <c r="C2055" s="73"/>
      <c r="D2055" s="95"/>
      <c r="E2055" s="73"/>
      <c r="F2055" s="73"/>
      <c r="G2055" s="73"/>
      <c r="H2055" s="73"/>
      <c r="I2055" s="95"/>
      <c r="J2055" s="73"/>
      <c r="K2055" s="95"/>
      <c r="L2055" s="95"/>
      <c r="M2055" s="22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</row>
    <row r="2056">
      <c r="A2056" s="26"/>
      <c r="B2056" s="73"/>
      <c r="C2056" s="73"/>
      <c r="D2056" s="95"/>
      <c r="E2056" s="73"/>
      <c r="F2056" s="73"/>
      <c r="G2056" s="73"/>
      <c r="H2056" s="73"/>
      <c r="I2056" s="95"/>
      <c r="J2056" s="73"/>
      <c r="K2056" s="95"/>
      <c r="L2056" s="95"/>
      <c r="M2056" s="22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</row>
    <row r="2057">
      <c r="A2057" s="26"/>
      <c r="B2057" s="73"/>
      <c r="C2057" s="73"/>
      <c r="D2057" s="95"/>
      <c r="E2057" s="73"/>
      <c r="F2057" s="73"/>
      <c r="G2057" s="73"/>
      <c r="H2057" s="73"/>
      <c r="I2057" s="95"/>
      <c r="J2057" s="73"/>
      <c r="K2057" s="95"/>
      <c r="L2057" s="95"/>
      <c r="M2057" s="22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</row>
    <row r="2058">
      <c r="A2058" s="26"/>
      <c r="B2058" s="73"/>
      <c r="C2058" s="73"/>
      <c r="D2058" s="95"/>
      <c r="E2058" s="73"/>
      <c r="F2058" s="73"/>
      <c r="G2058" s="73"/>
      <c r="H2058" s="73"/>
      <c r="I2058" s="95"/>
      <c r="J2058" s="73"/>
      <c r="K2058" s="95"/>
      <c r="L2058" s="95"/>
      <c r="M2058" s="22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</row>
    <row r="2059">
      <c r="A2059" s="26"/>
      <c r="B2059" s="73"/>
      <c r="C2059" s="73"/>
      <c r="D2059" s="95"/>
      <c r="E2059" s="73"/>
      <c r="F2059" s="73"/>
      <c r="G2059" s="73"/>
      <c r="H2059" s="73"/>
      <c r="I2059" s="95"/>
      <c r="J2059" s="73"/>
      <c r="K2059" s="95"/>
      <c r="L2059" s="95"/>
      <c r="M2059" s="22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</row>
    <row r="2060">
      <c r="A2060" s="26"/>
      <c r="B2060" s="73"/>
      <c r="C2060" s="73"/>
      <c r="D2060" s="95"/>
      <c r="E2060" s="73"/>
      <c r="F2060" s="73"/>
      <c r="G2060" s="73"/>
      <c r="H2060" s="73"/>
      <c r="I2060" s="95"/>
      <c r="J2060" s="73"/>
      <c r="K2060" s="95"/>
      <c r="L2060" s="95"/>
      <c r="M2060" s="22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</row>
    <row r="2061">
      <c r="A2061" s="26"/>
      <c r="B2061" s="73"/>
      <c r="C2061" s="73"/>
      <c r="D2061" s="95"/>
      <c r="E2061" s="73"/>
      <c r="F2061" s="73"/>
      <c r="G2061" s="73"/>
      <c r="H2061" s="73"/>
      <c r="I2061" s="95"/>
      <c r="J2061" s="73"/>
      <c r="K2061" s="95"/>
      <c r="L2061" s="95"/>
      <c r="M2061" s="22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</row>
    <row r="2062">
      <c r="A2062" s="26"/>
      <c r="B2062" s="73"/>
      <c r="C2062" s="73"/>
      <c r="D2062" s="95"/>
      <c r="E2062" s="73"/>
      <c r="F2062" s="73"/>
      <c r="G2062" s="73"/>
      <c r="H2062" s="73"/>
      <c r="I2062" s="95"/>
      <c r="J2062" s="73"/>
      <c r="K2062" s="95"/>
      <c r="L2062" s="95"/>
      <c r="M2062" s="22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</row>
    <row r="2063">
      <c r="A2063" s="26"/>
      <c r="B2063" s="73"/>
      <c r="C2063" s="73"/>
      <c r="D2063" s="95"/>
      <c r="E2063" s="73"/>
      <c r="F2063" s="73"/>
      <c r="G2063" s="73"/>
      <c r="H2063" s="73"/>
      <c r="I2063" s="95"/>
      <c r="J2063" s="73"/>
      <c r="K2063" s="95"/>
      <c r="L2063" s="95"/>
      <c r="M2063" s="22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</row>
    <row r="2064">
      <c r="A2064" s="26"/>
      <c r="B2064" s="73"/>
      <c r="C2064" s="73"/>
      <c r="D2064" s="95"/>
      <c r="E2064" s="73"/>
      <c r="F2064" s="73"/>
      <c r="G2064" s="73"/>
      <c r="H2064" s="73"/>
      <c r="I2064" s="95"/>
      <c r="J2064" s="73"/>
      <c r="K2064" s="95"/>
      <c r="L2064" s="95"/>
      <c r="M2064" s="22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</row>
    <row r="2065">
      <c r="A2065" s="26"/>
      <c r="B2065" s="73"/>
      <c r="C2065" s="73"/>
      <c r="D2065" s="95"/>
      <c r="E2065" s="73"/>
      <c r="F2065" s="73"/>
      <c r="G2065" s="73"/>
      <c r="H2065" s="73"/>
      <c r="I2065" s="95"/>
      <c r="J2065" s="73"/>
      <c r="K2065" s="95"/>
      <c r="L2065" s="95"/>
      <c r="M2065" s="22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</row>
    <row r="2066">
      <c r="A2066" s="26"/>
      <c r="B2066" s="73"/>
      <c r="C2066" s="73"/>
      <c r="D2066" s="95"/>
      <c r="E2066" s="73"/>
      <c r="F2066" s="73"/>
      <c r="G2066" s="73"/>
      <c r="H2066" s="73"/>
      <c r="I2066" s="95"/>
      <c r="J2066" s="73"/>
      <c r="K2066" s="95"/>
      <c r="L2066" s="95"/>
      <c r="M2066" s="22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</row>
    <row r="2067">
      <c r="A2067" s="26"/>
      <c r="B2067" s="73"/>
      <c r="C2067" s="73"/>
      <c r="D2067" s="95"/>
      <c r="E2067" s="73"/>
      <c r="F2067" s="73"/>
      <c r="G2067" s="73"/>
      <c r="H2067" s="73"/>
      <c r="I2067" s="95"/>
      <c r="J2067" s="73"/>
      <c r="K2067" s="95"/>
      <c r="L2067" s="95"/>
      <c r="M2067" s="22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</row>
    <row r="2068">
      <c r="A2068" s="26"/>
      <c r="B2068" s="73"/>
      <c r="C2068" s="73"/>
      <c r="D2068" s="95"/>
      <c r="E2068" s="73"/>
      <c r="F2068" s="73"/>
      <c r="G2068" s="73"/>
      <c r="H2068" s="73"/>
      <c r="I2068" s="95"/>
      <c r="J2068" s="73"/>
      <c r="K2068" s="95"/>
      <c r="L2068" s="95"/>
      <c r="M2068" s="22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</row>
    <row r="2069">
      <c r="A2069" s="26"/>
      <c r="B2069" s="73"/>
      <c r="C2069" s="73"/>
      <c r="D2069" s="95"/>
      <c r="E2069" s="73"/>
      <c r="F2069" s="73"/>
      <c r="G2069" s="73"/>
      <c r="H2069" s="73"/>
      <c r="I2069" s="95"/>
      <c r="J2069" s="73"/>
      <c r="K2069" s="95"/>
      <c r="L2069" s="95"/>
      <c r="M2069" s="22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</row>
    <row r="2070">
      <c r="A2070" s="26"/>
      <c r="B2070" s="73"/>
      <c r="C2070" s="73"/>
      <c r="D2070" s="95"/>
      <c r="E2070" s="73"/>
      <c r="F2070" s="73"/>
      <c r="G2070" s="73"/>
      <c r="H2070" s="73"/>
      <c r="I2070" s="95"/>
      <c r="J2070" s="73"/>
      <c r="K2070" s="95"/>
      <c r="L2070" s="95"/>
      <c r="M2070" s="22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</row>
    <row r="2071">
      <c r="A2071" s="26"/>
      <c r="B2071" s="73"/>
      <c r="C2071" s="73"/>
      <c r="D2071" s="95"/>
      <c r="E2071" s="73"/>
      <c r="F2071" s="73"/>
      <c r="G2071" s="73"/>
      <c r="H2071" s="73"/>
      <c r="I2071" s="95"/>
      <c r="J2071" s="73"/>
      <c r="K2071" s="95"/>
      <c r="L2071" s="95"/>
      <c r="M2071" s="22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</row>
    <row r="2072">
      <c r="A2072" s="26"/>
      <c r="B2072" s="73"/>
      <c r="C2072" s="73"/>
      <c r="D2072" s="95"/>
      <c r="E2072" s="73"/>
      <c r="F2072" s="73"/>
      <c r="G2072" s="73"/>
      <c r="H2072" s="73"/>
      <c r="I2072" s="95"/>
      <c r="J2072" s="73"/>
      <c r="K2072" s="95"/>
      <c r="L2072" s="95"/>
      <c r="M2072" s="22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</row>
    <row r="2073">
      <c r="A2073" s="26"/>
      <c r="B2073" s="73"/>
      <c r="C2073" s="73"/>
      <c r="D2073" s="95"/>
      <c r="E2073" s="73"/>
      <c r="F2073" s="73"/>
      <c r="G2073" s="73"/>
      <c r="H2073" s="73"/>
      <c r="I2073" s="95"/>
      <c r="J2073" s="73"/>
      <c r="K2073" s="95"/>
      <c r="L2073" s="95"/>
      <c r="M2073" s="22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</row>
    <row r="2074">
      <c r="A2074" s="26"/>
      <c r="B2074" s="73"/>
      <c r="C2074" s="73"/>
      <c r="D2074" s="95"/>
      <c r="E2074" s="73"/>
      <c r="F2074" s="73"/>
      <c r="G2074" s="73"/>
      <c r="H2074" s="73"/>
      <c r="I2074" s="95"/>
      <c r="J2074" s="73"/>
      <c r="K2074" s="95"/>
      <c r="L2074" s="95"/>
      <c r="M2074" s="22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</row>
    <row r="2075">
      <c r="A2075" s="26"/>
      <c r="B2075" s="73"/>
      <c r="C2075" s="73"/>
      <c r="D2075" s="95"/>
      <c r="E2075" s="73"/>
      <c r="F2075" s="73"/>
      <c r="G2075" s="73"/>
      <c r="H2075" s="73"/>
      <c r="I2075" s="95"/>
      <c r="J2075" s="73"/>
      <c r="K2075" s="95"/>
      <c r="L2075" s="95"/>
      <c r="M2075" s="22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</row>
    <row r="2076">
      <c r="A2076" s="26"/>
      <c r="B2076" s="73"/>
      <c r="C2076" s="73"/>
      <c r="D2076" s="95"/>
      <c r="E2076" s="73"/>
      <c r="F2076" s="73"/>
      <c r="G2076" s="73"/>
      <c r="H2076" s="73"/>
      <c r="I2076" s="95"/>
      <c r="J2076" s="73"/>
      <c r="K2076" s="95"/>
      <c r="L2076" s="95"/>
      <c r="M2076" s="22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</row>
    <row r="2077">
      <c r="A2077" s="26"/>
      <c r="B2077" s="73"/>
      <c r="C2077" s="73"/>
      <c r="D2077" s="95"/>
      <c r="E2077" s="73"/>
      <c r="F2077" s="73"/>
      <c r="G2077" s="73"/>
      <c r="H2077" s="73"/>
      <c r="I2077" s="95"/>
      <c r="J2077" s="73"/>
      <c r="K2077" s="95"/>
      <c r="L2077" s="95"/>
      <c r="M2077" s="22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</row>
    <row r="2078">
      <c r="A2078" s="26"/>
      <c r="B2078" s="73"/>
      <c r="C2078" s="73"/>
      <c r="D2078" s="95"/>
      <c r="E2078" s="73"/>
      <c r="F2078" s="73"/>
      <c r="G2078" s="73"/>
      <c r="H2078" s="73"/>
      <c r="I2078" s="95"/>
      <c r="J2078" s="73"/>
      <c r="K2078" s="95"/>
      <c r="L2078" s="95"/>
      <c r="M2078" s="22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</row>
    <row r="2079">
      <c r="A2079" s="26"/>
      <c r="B2079" s="73"/>
      <c r="C2079" s="73"/>
      <c r="D2079" s="95"/>
      <c r="E2079" s="73"/>
      <c r="F2079" s="73"/>
      <c r="G2079" s="73"/>
      <c r="H2079" s="73"/>
      <c r="I2079" s="95"/>
      <c r="J2079" s="73"/>
      <c r="K2079" s="95"/>
      <c r="L2079" s="95"/>
      <c r="M2079" s="22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</row>
    <row r="2080">
      <c r="A2080" s="26"/>
      <c r="B2080" s="73"/>
      <c r="C2080" s="73"/>
      <c r="D2080" s="95"/>
      <c r="E2080" s="73"/>
      <c r="F2080" s="73"/>
      <c r="G2080" s="73"/>
      <c r="H2080" s="73"/>
      <c r="I2080" s="95"/>
      <c r="J2080" s="73"/>
      <c r="K2080" s="95"/>
      <c r="L2080" s="95"/>
      <c r="M2080" s="22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</row>
    <row r="2081">
      <c r="A2081" s="26"/>
      <c r="B2081" s="73"/>
      <c r="C2081" s="73"/>
      <c r="D2081" s="95"/>
      <c r="E2081" s="73"/>
      <c r="F2081" s="73"/>
      <c r="G2081" s="73"/>
      <c r="H2081" s="73"/>
      <c r="I2081" s="95"/>
      <c r="J2081" s="73"/>
      <c r="K2081" s="95"/>
      <c r="L2081" s="95"/>
      <c r="M2081" s="22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</row>
    <row r="2082">
      <c r="A2082" s="26"/>
      <c r="B2082" s="73"/>
      <c r="C2082" s="73"/>
      <c r="D2082" s="95"/>
      <c r="E2082" s="73"/>
      <c r="F2082" s="73"/>
      <c r="G2082" s="73"/>
      <c r="H2082" s="73"/>
      <c r="I2082" s="95"/>
      <c r="J2082" s="73"/>
      <c r="K2082" s="95"/>
      <c r="L2082" s="95"/>
      <c r="M2082" s="22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</row>
    <row r="2083">
      <c r="A2083" s="26"/>
      <c r="B2083" s="73"/>
      <c r="C2083" s="73"/>
      <c r="D2083" s="95"/>
      <c r="E2083" s="73"/>
      <c r="F2083" s="73"/>
      <c r="G2083" s="73"/>
      <c r="H2083" s="73"/>
      <c r="I2083" s="95"/>
      <c r="J2083" s="73"/>
      <c r="K2083" s="95"/>
      <c r="L2083" s="95"/>
      <c r="M2083" s="22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</row>
    <row r="2084">
      <c r="A2084" s="26"/>
      <c r="B2084" s="73"/>
      <c r="C2084" s="73"/>
      <c r="D2084" s="95"/>
      <c r="E2084" s="73"/>
      <c r="F2084" s="73"/>
      <c r="G2084" s="73"/>
      <c r="H2084" s="73"/>
      <c r="I2084" s="95"/>
      <c r="J2084" s="73"/>
      <c r="K2084" s="95"/>
      <c r="L2084" s="95"/>
      <c r="M2084" s="22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</row>
    <row r="2085">
      <c r="A2085" s="26"/>
      <c r="B2085" s="73"/>
      <c r="C2085" s="73"/>
      <c r="D2085" s="95"/>
      <c r="E2085" s="73"/>
      <c r="F2085" s="73"/>
      <c r="G2085" s="73"/>
      <c r="H2085" s="73"/>
      <c r="I2085" s="95"/>
      <c r="J2085" s="73"/>
      <c r="K2085" s="95"/>
      <c r="L2085" s="95"/>
      <c r="M2085" s="22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</row>
    <row r="2086">
      <c r="A2086" s="26"/>
      <c r="B2086" s="73"/>
      <c r="C2086" s="73"/>
      <c r="D2086" s="95"/>
      <c r="E2086" s="73"/>
      <c r="F2086" s="73"/>
      <c r="G2086" s="73"/>
      <c r="H2086" s="73"/>
      <c r="I2086" s="95"/>
      <c r="J2086" s="73"/>
      <c r="K2086" s="95"/>
      <c r="L2086" s="95"/>
      <c r="M2086" s="22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</row>
    <row r="2087">
      <c r="A2087" s="26"/>
      <c r="B2087" s="73"/>
      <c r="C2087" s="73"/>
      <c r="D2087" s="95"/>
      <c r="E2087" s="73"/>
      <c r="F2087" s="73"/>
      <c r="G2087" s="73"/>
      <c r="H2087" s="73"/>
      <c r="I2087" s="95"/>
      <c r="J2087" s="73"/>
      <c r="K2087" s="95"/>
      <c r="L2087" s="95"/>
      <c r="M2087" s="22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</row>
    <row r="2088">
      <c r="A2088" s="26"/>
      <c r="B2088" s="73"/>
      <c r="C2088" s="73"/>
      <c r="D2088" s="95"/>
      <c r="E2088" s="73"/>
      <c r="F2088" s="73"/>
      <c r="G2088" s="73"/>
      <c r="H2088" s="73"/>
      <c r="I2088" s="95"/>
      <c r="J2088" s="73"/>
      <c r="K2088" s="95"/>
      <c r="L2088" s="95"/>
      <c r="M2088" s="22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</row>
    <row r="2089">
      <c r="A2089" s="26"/>
      <c r="B2089" s="73"/>
      <c r="C2089" s="73"/>
      <c r="D2089" s="95"/>
      <c r="E2089" s="73"/>
      <c r="F2089" s="73"/>
      <c r="G2089" s="73"/>
      <c r="H2089" s="73"/>
      <c r="I2089" s="95"/>
      <c r="J2089" s="73"/>
      <c r="K2089" s="95"/>
      <c r="L2089" s="95"/>
      <c r="M2089" s="22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</row>
    <row r="2090">
      <c r="A2090" s="26"/>
      <c r="B2090" s="73"/>
      <c r="C2090" s="73"/>
      <c r="D2090" s="95"/>
      <c r="E2090" s="73"/>
      <c r="F2090" s="73"/>
      <c r="G2090" s="73"/>
      <c r="H2090" s="73"/>
      <c r="I2090" s="95"/>
      <c r="J2090" s="73"/>
      <c r="K2090" s="95"/>
      <c r="L2090" s="95"/>
      <c r="M2090" s="22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</row>
    <row r="2091">
      <c r="A2091" s="26"/>
      <c r="B2091" s="73"/>
      <c r="C2091" s="73"/>
      <c r="D2091" s="95"/>
      <c r="E2091" s="73"/>
      <c r="F2091" s="73"/>
      <c r="G2091" s="73"/>
      <c r="H2091" s="73"/>
      <c r="I2091" s="95"/>
      <c r="J2091" s="73"/>
      <c r="K2091" s="95"/>
      <c r="L2091" s="95"/>
      <c r="M2091" s="22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</row>
    <row r="2092">
      <c r="A2092" s="26"/>
      <c r="B2092" s="73"/>
      <c r="C2092" s="73"/>
      <c r="D2092" s="95"/>
      <c r="E2092" s="73"/>
      <c r="F2092" s="73"/>
      <c r="G2092" s="73"/>
      <c r="H2092" s="73"/>
      <c r="I2092" s="95"/>
      <c r="J2092" s="73"/>
      <c r="K2092" s="95"/>
      <c r="L2092" s="95"/>
      <c r="M2092" s="22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</row>
    <row r="2093">
      <c r="A2093" s="26"/>
      <c r="B2093" s="73"/>
      <c r="C2093" s="73"/>
      <c r="D2093" s="95"/>
      <c r="E2093" s="73"/>
      <c r="F2093" s="73"/>
      <c r="G2093" s="73"/>
      <c r="H2093" s="73"/>
      <c r="I2093" s="95"/>
      <c r="J2093" s="73"/>
      <c r="K2093" s="95"/>
      <c r="L2093" s="95"/>
      <c r="M2093" s="22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</row>
    <row r="2094">
      <c r="A2094" s="26"/>
      <c r="B2094" s="73"/>
      <c r="C2094" s="73"/>
      <c r="D2094" s="95"/>
      <c r="E2094" s="73"/>
      <c r="F2094" s="73"/>
      <c r="G2094" s="73"/>
      <c r="H2094" s="73"/>
      <c r="I2094" s="95"/>
      <c r="J2094" s="73"/>
      <c r="K2094" s="95"/>
      <c r="L2094" s="95"/>
      <c r="M2094" s="22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</row>
    <row r="2095">
      <c r="A2095" s="26"/>
      <c r="B2095" s="73"/>
      <c r="C2095" s="73"/>
      <c r="D2095" s="95"/>
      <c r="E2095" s="73"/>
      <c r="F2095" s="73"/>
      <c r="G2095" s="73"/>
      <c r="H2095" s="73"/>
      <c r="I2095" s="95"/>
      <c r="J2095" s="73"/>
      <c r="K2095" s="95"/>
      <c r="L2095" s="95"/>
      <c r="M2095" s="22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</row>
    <row r="2096">
      <c r="A2096" s="26"/>
      <c r="B2096" s="73"/>
      <c r="C2096" s="73"/>
      <c r="D2096" s="95"/>
      <c r="E2096" s="73"/>
      <c r="F2096" s="73"/>
      <c r="G2096" s="73"/>
      <c r="H2096" s="73"/>
      <c r="I2096" s="95"/>
      <c r="J2096" s="73"/>
      <c r="K2096" s="95"/>
      <c r="L2096" s="95"/>
      <c r="M2096" s="22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</row>
    <row r="2097">
      <c r="A2097" s="26"/>
      <c r="B2097" s="73"/>
      <c r="C2097" s="73"/>
      <c r="D2097" s="95"/>
      <c r="E2097" s="73"/>
      <c r="F2097" s="73"/>
      <c r="G2097" s="73"/>
      <c r="H2097" s="73"/>
      <c r="I2097" s="95"/>
      <c r="J2097" s="73"/>
      <c r="K2097" s="95"/>
      <c r="L2097" s="95"/>
      <c r="M2097" s="22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</row>
    <row r="2098">
      <c r="A2098" s="26"/>
      <c r="B2098" s="73"/>
      <c r="C2098" s="73"/>
      <c r="D2098" s="95"/>
      <c r="E2098" s="73"/>
      <c r="F2098" s="73"/>
      <c r="G2098" s="73"/>
      <c r="H2098" s="73"/>
      <c r="I2098" s="95"/>
      <c r="J2098" s="73"/>
      <c r="K2098" s="95"/>
      <c r="L2098" s="95"/>
      <c r="M2098" s="22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</row>
    <row r="2099">
      <c r="A2099" s="26"/>
      <c r="B2099" s="73"/>
      <c r="C2099" s="73"/>
      <c r="D2099" s="95"/>
      <c r="E2099" s="73"/>
      <c r="F2099" s="73"/>
      <c r="G2099" s="73"/>
      <c r="H2099" s="73"/>
      <c r="I2099" s="95"/>
      <c r="J2099" s="73"/>
      <c r="K2099" s="95"/>
      <c r="L2099" s="95"/>
      <c r="M2099" s="22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</row>
    <row r="2100">
      <c r="A2100" s="26"/>
      <c r="B2100" s="73"/>
      <c r="C2100" s="73"/>
      <c r="D2100" s="95"/>
      <c r="E2100" s="73"/>
      <c r="F2100" s="73"/>
      <c r="G2100" s="73"/>
      <c r="H2100" s="73"/>
      <c r="I2100" s="95"/>
      <c r="J2100" s="73"/>
      <c r="K2100" s="95"/>
      <c r="L2100" s="95"/>
      <c r="M2100" s="22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</row>
    <row r="2101">
      <c r="A2101" s="26"/>
      <c r="B2101" s="73"/>
      <c r="C2101" s="73"/>
      <c r="D2101" s="95"/>
      <c r="E2101" s="73"/>
      <c r="F2101" s="73"/>
      <c r="G2101" s="73"/>
      <c r="H2101" s="73"/>
      <c r="I2101" s="95"/>
      <c r="J2101" s="73"/>
      <c r="K2101" s="95"/>
      <c r="L2101" s="95"/>
      <c r="M2101" s="22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</row>
    <row r="2102">
      <c r="A2102" s="26"/>
      <c r="B2102" s="73"/>
      <c r="C2102" s="73"/>
      <c r="D2102" s="95"/>
      <c r="E2102" s="73"/>
      <c r="F2102" s="73"/>
      <c r="G2102" s="73"/>
      <c r="H2102" s="73"/>
      <c r="I2102" s="95"/>
      <c r="J2102" s="73"/>
      <c r="K2102" s="95"/>
      <c r="L2102" s="95"/>
      <c r="M2102" s="22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</row>
    <row r="2103">
      <c r="A2103" s="26"/>
      <c r="B2103" s="73"/>
      <c r="C2103" s="73"/>
      <c r="D2103" s="95"/>
      <c r="E2103" s="73"/>
      <c r="F2103" s="73"/>
      <c r="G2103" s="73"/>
      <c r="H2103" s="73"/>
      <c r="I2103" s="95"/>
      <c r="J2103" s="73"/>
      <c r="K2103" s="95"/>
      <c r="L2103" s="95"/>
      <c r="M2103" s="22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</row>
    <row r="2104">
      <c r="A2104" s="26"/>
      <c r="B2104" s="73"/>
      <c r="C2104" s="73"/>
      <c r="D2104" s="95"/>
      <c r="E2104" s="73"/>
      <c r="F2104" s="73"/>
      <c r="G2104" s="73"/>
      <c r="H2104" s="73"/>
      <c r="I2104" s="95"/>
      <c r="J2104" s="73"/>
      <c r="K2104" s="95"/>
      <c r="L2104" s="95"/>
      <c r="M2104" s="22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</row>
    <row r="2105">
      <c r="A2105" s="26"/>
      <c r="B2105" s="73"/>
      <c r="C2105" s="73"/>
      <c r="D2105" s="95"/>
      <c r="E2105" s="73"/>
      <c r="F2105" s="73"/>
      <c r="G2105" s="73"/>
      <c r="H2105" s="73"/>
      <c r="I2105" s="95"/>
      <c r="J2105" s="73"/>
      <c r="K2105" s="95"/>
      <c r="L2105" s="95"/>
      <c r="M2105" s="22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</row>
    <row r="2106">
      <c r="A2106" s="26"/>
      <c r="B2106" s="73"/>
      <c r="C2106" s="73"/>
      <c r="D2106" s="95"/>
      <c r="E2106" s="73"/>
      <c r="F2106" s="73"/>
      <c r="G2106" s="73"/>
      <c r="H2106" s="73"/>
      <c r="I2106" s="95"/>
      <c r="J2106" s="73"/>
      <c r="K2106" s="95"/>
      <c r="L2106" s="95"/>
      <c r="M2106" s="22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</row>
    <row r="2107">
      <c r="A2107" s="26"/>
      <c r="B2107" s="73"/>
      <c r="C2107" s="73"/>
      <c r="D2107" s="95"/>
      <c r="E2107" s="73"/>
      <c r="F2107" s="73"/>
      <c r="G2107" s="73"/>
      <c r="H2107" s="73"/>
      <c r="I2107" s="95"/>
      <c r="J2107" s="73"/>
      <c r="K2107" s="95"/>
      <c r="L2107" s="95"/>
      <c r="M2107" s="22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</row>
    <row r="2108">
      <c r="A2108" s="26"/>
      <c r="B2108" s="73"/>
      <c r="C2108" s="73"/>
      <c r="D2108" s="95"/>
      <c r="E2108" s="73"/>
      <c r="F2108" s="73"/>
      <c r="G2108" s="73"/>
      <c r="H2108" s="73"/>
      <c r="I2108" s="95"/>
      <c r="J2108" s="73"/>
      <c r="K2108" s="95"/>
      <c r="L2108" s="95"/>
      <c r="M2108" s="22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</row>
    <row r="2109">
      <c r="A2109" s="26"/>
      <c r="B2109" s="73"/>
      <c r="C2109" s="73"/>
      <c r="D2109" s="95"/>
      <c r="E2109" s="73"/>
      <c r="F2109" s="73"/>
      <c r="G2109" s="73"/>
      <c r="H2109" s="73"/>
      <c r="I2109" s="95"/>
      <c r="J2109" s="73"/>
      <c r="K2109" s="95"/>
      <c r="L2109" s="95"/>
      <c r="M2109" s="22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</row>
    <row r="2110">
      <c r="A2110" s="26"/>
      <c r="B2110" s="73"/>
      <c r="C2110" s="73"/>
      <c r="D2110" s="95"/>
      <c r="E2110" s="73"/>
      <c r="F2110" s="73"/>
      <c r="G2110" s="73"/>
      <c r="H2110" s="73"/>
      <c r="I2110" s="95"/>
      <c r="J2110" s="73"/>
      <c r="K2110" s="95"/>
      <c r="L2110" s="95"/>
      <c r="M2110" s="22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</row>
    <row r="2111">
      <c r="A2111" s="26"/>
      <c r="B2111" s="73"/>
      <c r="C2111" s="73"/>
      <c r="D2111" s="95"/>
      <c r="E2111" s="73"/>
      <c r="F2111" s="73"/>
      <c r="G2111" s="73"/>
      <c r="H2111" s="73"/>
      <c r="I2111" s="95"/>
      <c r="J2111" s="73"/>
      <c r="K2111" s="95"/>
      <c r="L2111" s="95"/>
      <c r="M2111" s="22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</row>
    <row r="2112">
      <c r="A2112" s="26"/>
      <c r="B2112" s="73"/>
      <c r="C2112" s="73"/>
      <c r="D2112" s="95"/>
      <c r="E2112" s="73"/>
      <c r="F2112" s="73"/>
      <c r="G2112" s="73"/>
      <c r="H2112" s="73"/>
      <c r="I2112" s="95"/>
      <c r="J2112" s="73"/>
      <c r="K2112" s="95"/>
      <c r="L2112" s="95"/>
      <c r="M2112" s="22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</row>
    <row r="2113">
      <c r="A2113" s="26"/>
      <c r="B2113" s="73"/>
      <c r="C2113" s="73"/>
      <c r="D2113" s="95"/>
      <c r="E2113" s="73"/>
      <c r="F2113" s="73"/>
      <c r="G2113" s="73"/>
      <c r="H2113" s="73"/>
      <c r="I2113" s="95"/>
      <c r="J2113" s="73"/>
      <c r="K2113" s="95"/>
      <c r="L2113" s="95"/>
      <c r="M2113" s="22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</row>
    <row r="2114">
      <c r="A2114" s="26"/>
      <c r="B2114" s="73"/>
      <c r="C2114" s="73"/>
      <c r="D2114" s="95"/>
      <c r="E2114" s="73"/>
      <c r="F2114" s="73"/>
      <c r="G2114" s="73"/>
      <c r="H2114" s="73"/>
      <c r="I2114" s="95"/>
      <c r="J2114" s="73"/>
      <c r="K2114" s="95"/>
      <c r="L2114" s="95"/>
      <c r="M2114" s="22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</row>
    <row r="2115">
      <c r="A2115" s="26"/>
      <c r="B2115" s="73"/>
      <c r="C2115" s="73"/>
      <c r="D2115" s="95"/>
      <c r="E2115" s="73"/>
      <c r="F2115" s="73"/>
      <c r="G2115" s="73"/>
      <c r="H2115" s="73"/>
      <c r="I2115" s="95"/>
      <c r="J2115" s="73"/>
      <c r="K2115" s="95"/>
      <c r="L2115" s="95"/>
      <c r="M2115" s="22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</row>
    <row r="2116">
      <c r="A2116" s="26"/>
      <c r="B2116" s="73"/>
      <c r="C2116" s="73"/>
      <c r="D2116" s="95"/>
      <c r="E2116" s="73"/>
      <c r="F2116" s="73"/>
      <c r="G2116" s="73"/>
      <c r="H2116" s="73"/>
      <c r="I2116" s="95"/>
      <c r="J2116" s="73"/>
      <c r="K2116" s="95"/>
      <c r="L2116" s="95"/>
      <c r="M2116" s="22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</row>
    <row r="2117">
      <c r="A2117" s="26"/>
      <c r="B2117" s="73"/>
      <c r="C2117" s="73"/>
      <c r="D2117" s="95"/>
      <c r="E2117" s="73"/>
      <c r="F2117" s="73"/>
      <c r="G2117" s="73"/>
      <c r="H2117" s="73"/>
      <c r="I2117" s="95"/>
      <c r="J2117" s="73"/>
      <c r="K2117" s="95"/>
      <c r="L2117" s="95"/>
      <c r="M2117" s="22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</row>
    <row r="2118">
      <c r="A2118" s="26"/>
      <c r="B2118" s="73"/>
      <c r="C2118" s="73"/>
      <c r="D2118" s="95"/>
      <c r="E2118" s="73"/>
      <c r="F2118" s="73"/>
      <c r="G2118" s="73"/>
      <c r="H2118" s="73"/>
      <c r="I2118" s="95"/>
      <c r="J2118" s="73"/>
      <c r="K2118" s="95"/>
      <c r="L2118" s="95"/>
      <c r="M2118" s="22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</row>
    <row r="2119">
      <c r="A2119" s="26"/>
      <c r="B2119" s="73"/>
      <c r="C2119" s="73"/>
      <c r="D2119" s="95"/>
      <c r="E2119" s="73"/>
      <c r="F2119" s="73"/>
      <c r="G2119" s="73"/>
      <c r="H2119" s="73"/>
      <c r="I2119" s="95"/>
      <c r="J2119" s="73"/>
      <c r="K2119" s="95"/>
      <c r="L2119" s="95"/>
      <c r="M2119" s="22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</row>
    <row r="2120">
      <c r="A2120" s="26"/>
      <c r="B2120" s="73"/>
      <c r="C2120" s="73"/>
      <c r="D2120" s="95"/>
      <c r="E2120" s="73"/>
      <c r="F2120" s="73"/>
      <c r="G2120" s="73"/>
      <c r="H2120" s="73"/>
      <c r="I2120" s="95"/>
      <c r="J2120" s="73"/>
      <c r="K2120" s="95"/>
      <c r="L2120" s="95"/>
      <c r="M2120" s="22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</row>
    <row r="2121">
      <c r="A2121" s="26"/>
      <c r="B2121" s="73"/>
      <c r="C2121" s="73"/>
      <c r="D2121" s="95"/>
      <c r="E2121" s="73"/>
      <c r="F2121" s="73"/>
      <c r="G2121" s="73"/>
      <c r="H2121" s="73"/>
      <c r="I2121" s="95"/>
      <c r="J2121" s="73"/>
      <c r="K2121" s="95"/>
      <c r="L2121" s="95"/>
      <c r="M2121" s="22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</row>
    <row r="2122">
      <c r="A2122" s="26"/>
      <c r="B2122" s="73"/>
      <c r="C2122" s="73"/>
      <c r="D2122" s="95"/>
      <c r="E2122" s="73"/>
      <c r="F2122" s="73"/>
      <c r="G2122" s="73"/>
      <c r="H2122" s="73"/>
      <c r="I2122" s="95"/>
      <c r="J2122" s="73"/>
      <c r="K2122" s="95"/>
      <c r="L2122" s="95"/>
      <c r="M2122" s="22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</row>
    <row r="2123">
      <c r="A2123" s="26"/>
      <c r="B2123" s="73"/>
      <c r="C2123" s="73"/>
      <c r="D2123" s="95"/>
      <c r="E2123" s="73"/>
      <c r="F2123" s="73"/>
      <c r="G2123" s="73"/>
      <c r="H2123" s="73"/>
      <c r="I2123" s="95"/>
      <c r="J2123" s="73"/>
      <c r="K2123" s="95"/>
      <c r="L2123" s="95"/>
      <c r="M2123" s="22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</row>
    <row r="2124">
      <c r="A2124" s="26"/>
      <c r="B2124" s="73"/>
      <c r="C2124" s="73"/>
      <c r="D2124" s="95"/>
      <c r="E2124" s="73"/>
      <c r="F2124" s="73"/>
      <c r="G2124" s="73"/>
      <c r="H2124" s="73"/>
      <c r="I2124" s="95"/>
      <c r="J2124" s="73"/>
      <c r="K2124" s="95"/>
      <c r="L2124" s="95"/>
      <c r="M2124" s="22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</row>
    <row r="2125">
      <c r="A2125" s="26"/>
      <c r="B2125" s="73"/>
      <c r="C2125" s="73"/>
      <c r="D2125" s="95"/>
      <c r="E2125" s="73"/>
      <c r="F2125" s="73"/>
      <c r="G2125" s="73"/>
      <c r="H2125" s="73"/>
      <c r="I2125" s="95"/>
      <c r="J2125" s="73"/>
      <c r="K2125" s="95"/>
      <c r="L2125" s="95"/>
      <c r="M2125" s="22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</row>
    <row r="2126">
      <c r="A2126" s="26"/>
      <c r="B2126" s="73"/>
      <c r="C2126" s="73"/>
      <c r="D2126" s="95"/>
      <c r="E2126" s="73"/>
      <c r="F2126" s="73"/>
      <c r="G2126" s="73"/>
      <c r="H2126" s="73"/>
      <c r="I2126" s="95"/>
      <c r="J2126" s="73"/>
      <c r="K2126" s="95"/>
      <c r="L2126" s="95"/>
      <c r="M2126" s="22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</row>
    <row r="2127">
      <c r="A2127" s="26"/>
      <c r="B2127" s="73"/>
      <c r="C2127" s="73"/>
      <c r="D2127" s="95"/>
      <c r="E2127" s="73"/>
      <c r="F2127" s="73"/>
      <c r="G2127" s="73"/>
      <c r="H2127" s="73"/>
      <c r="I2127" s="95"/>
      <c r="J2127" s="73"/>
      <c r="K2127" s="95"/>
      <c r="L2127" s="95"/>
      <c r="M2127" s="22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</row>
    <row r="2128">
      <c r="A2128" s="26"/>
      <c r="B2128" s="73"/>
      <c r="C2128" s="73"/>
      <c r="D2128" s="95"/>
      <c r="E2128" s="73"/>
      <c r="F2128" s="73"/>
      <c r="G2128" s="73"/>
      <c r="H2128" s="73"/>
      <c r="I2128" s="95"/>
      <c r="J2128" s="73"/>
      <c r="K2128" s="95"/>
      <c r="L2128" s="95"/>
      <c r="M2128" s="22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</row>
    <row r="2129">
      <c r="A2129" s="26"/>
      <c r="B2129" s="73"/>
      <c r="C2129" s="73"/>
      <c r="D2129" s="95"/>
      <c r="E2129" s="73"/>
      <c r="F2129" s="73"/>
      <c r="G2129" s="73"/>
      <c r="H2129" s="73"/>
      <c r="I2129" s="95"/>
      <c r="J2129" s="73"/>
      <c r="K2129" s="95"/>
      <c r="L2129" s="95"/>
      <c r="M2129" s="22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</row>
    <row r="2130">
      <c r="A2130" s="26"/>
      <c r="B2130" s="73"/>
      <c r="C2130" s="73"/>
      <c r="D2130" s="95"/>
      <c r="E2130" s="73"/>
      <c r="F2130" s="73"/>
      <c r="G2130" s="73"/>
      <c r="H2130" s="73"/>
      <c r="I2130" s="95"/>
      <c r="J2130" s="73"/>
      <c r="K2130" s="95"/>
      <c r="L2130" s="95"/>
      <c r="M2130" s="22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</row>
    <row r="2131">
      <c r="A2131" s="26"/>
      <c r="B2131" s="73"/>
      <c r="C2131" s="73"/>
      <c r="D2131" s="95"/>
      <c r="E2131" s="73"/>
      <c r="F2131" s="73"/>
      <c r="G2131" s="73"/>
      <c r="H2131" s="73"/>
      <c r="I2131" s="95"/>
      <c r="J2131" s="73"/>
      <c r="K2131" s="95"/>
      <c r="L2131" s="95"/>
      <c r="M2131" s="22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</row>
    <row r="2132">
      <c r="A2132" s="26"/>
      <c r="B2132" s="73"/>
      <c r="C2132" s="73"/>
      <c r="D2132" s="95"/>
      <c r="E2132" s="73"/>
      <c r="F2132" s="73"/>
      <c r="G2132" s="73"/>
      <c r="H2132" s="73"/>
      <c r="I2132" s="95"/>
      <c r="J2132" s="73"/>
      <c r="K2132" s="95"/>
      <c r="L2132" s="95"/>
      <c r="M2132" s="22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</row>
    <row r="2133">
      <c r="A2133" s="26"/>
      <c r="B2133" s="73"/>
      <c r="C2133" s="73"/>
      <c r="D2133" s="95"/>
      <c r="E2133" s="73"/>
      <c r="F2133" s="73"/>
      <c r="G2133" s="73"/>
      <c r="H2133" s="73"/>
      <c r="I2133" s="95"/>
      <c r="J2133" s="73"/>
      <c r="K2133" s="95"/>
      <c r="L2133" s="95"/>
      <c r="M2133" s="22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</row>
    <row r="2134">
      <c r="A2134" s="26"/>
      <c r="B2134" s="73"/>
      <c r="C2134" s="73"/>
      <c r="D2134" s="95"/>
      <c r="E2134" s="73"/>
      <c r="F2134" s="73"/>
      <c r="G2134" s="73"/>
      <c r="H2134" s="73"/>
      <c r="I2134" s="95"/>
      <c r="J2134" s="73"/>
      <c r="K2134" s="95"/>
      <c r="L2134" s="95"/>
      <c r="M2134" s="22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</row>
    <row r="2135">
      <c r="A2135" s="26"/>
      <c r="B2135" s="73"/>
      <c r="C2135" s="73"/>
      <c r="D2135" s="95"/>
      <c r="E2135" s="73"/>
      <c r="F2135" s="73"/>
      <c r="G2135" s="73"/>
      <c r="H2135" s="73"/>
      <c r="I2135" s="95"/>
      <c r="J2135" s="73"/>
      <c r="K2135" s="95"/>
      <c r="L2135" s="95"/>
      <c r="M2135" s="22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</row>
    <row r="2136">
      <c r="A2136" s="26"/>
      <c r="B2136" s="73"/>
      <c r="C2136" s="73"/>
      <c r="D2136" s="95"/>
      <c r="E2136" s="73"/>
      <c r="F2136" s="73"/>
      <c r="G2136" s="73"/>
      <c r="H2136" s="73"/>
      <c r="I2136" s="95"/>
      <c r="J2136" s="73"/>
      <c r="K2136" s="95"/>
      <c r="L2136" s="95"/>
      <c r="M2136" s="22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</row>
    <row r="2137">
      <c r="A2137" s="26"/>
      <c r="B2137" s="73"/>
      <c r="C2137" s="73"/>
      <c r="D2137" s="95"/>
      <c r="E2137" s="73"/>
      <c r="F2137" s="73"/>
      <c r="G2137" s="73"/>
      <c r="H2137" s="73"/>
      <c r="I2137" s="95"/>
      <c r="J2137" s="73"/>
      <c r="K2137" s="95"/>
      <c r="L2137" s="95"/>
      <c r="M2137" s="22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</row>
    <row r="2138">
      <c r="A2138" s="26"/>
      <c r="B2138" s="73"/>
      <c r="C2138" s="73"/>
      <c r="D2138" s="95"/>
      <c r="E2138" s="73"/>
      <c r="F2138" s="73"/>
      <c r="G2138" s="73"/>
      <c r="H2138" s="73"/>
      <c r="I2138" s="95"/>
      <c r="J2138" s="73"/>
      <c r="K2138" s="95"/>
      <c r="L2138" s="95"/>
      <c r="M2138" s="22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</row>
    <row r="2139">
      <c r="A2139" s="26"/>
      <c r="B2139" s="73"/>
      <c r="C2139" s="73"/>
      <c r="D2139" s="95"/>
      <c r="E2139" s="73"/>
      <c r="F2139" s="73"/>
      <c r="G2139" s="73"/>
      <c r="H2139" s="73"/>
      <c r="I2139" s="95"/>
      <c r="J2139" s="73"/>
      <c r="K2139" s="95"/>
      <c r="L2139" s="95"/>
      <c r="M2139" s="22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</row>
    <row r="2140">
      <c r="A2140" s="26"/>
      <c r="B2140" s="73"/>
      <c r="C2140" s="73"/>
      <c r="D2140" s="95"/>
      <c r="E2140" s="73"/>
      <c r="F2140" s="73"/>
      <c r="G2140" s="73"/>
      <c r="H2140" s="73"/>
      <c r="I2140" s="95"/>
      <c r="J2140" s="73"/>
      <c r="K2140" s="95"/>
      <c r="L2140" s="95"/>
      <c r="M2140" s="22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</row>
    <row r="2141">
      <c r="A2141" s="26"/>
      <c r="B2141" s="73"/>
      <c r="C2141" s="73"/>
      <c r="D2141" s="95"/>
      <c r="E2141" s="73"/>
      <c r="F2141" s="73"/>
      <c r="G2141" s="73"/>
      <c r="H2141" s="73"/>
      <c r="I2141" s="95"/>
      <c r="J2141" s="73"/>
      <c r="K2141" s="95"/>
      <c r="L2141" s="95"/>
      <c r="M2141" s="22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</row>
    <row r="2142">
      <c r="A2142" s="26"/>
      <c r="B2142" s="73"/>
      <c r="C2142" s="73"/>
      <c r="D2142" s="95"/>
      <c r="E2142" s="73"/>
      <c r="F2142" s="73"/>
      <c r="G2142" s="73"/>
      <c r="H2142" s="73"/>
      <c r="I2142" s="95"/>
      <c r="J2142" s="73"/>
      <c r="K2142" s="95"/>
      <c r="L2142" s="95"/>
      <c r="M2142" s="22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</row>
    <row r="2143">
      <c r="A2143" s="26"/>
      <c r="B2143" s="73"/>
      <c r="C2143" s="73"/>
      <c r="D2143" s="95"/>
      <c r="E2143" s="73"/>
      <c r="F2143" s="73"/>
      <c r="G2143" s="73"/>
      <c r="H2143" s="73"/>
      <c r="I2143" s="95"/>
      <c r="J2143" s="73"/>
      <c r="K2143" s="95"/>
      <c r="L2143" s="95"/>
      <c r="M2143" s="22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</row>
    <row r="2144">
      <c r="A2144" s="26"/>
      <c r="B2144" s="73"/>
      <c r="C2144" s="73"/>
      <c r="D2144" s="95"/>
      <c r="E2144" s="73"/>
      <c r="F2144" s="73"/>
      <c r="G2144" s="73"/>
      <c r="H2144" s="73"/>
      <c r="I2144" s="95"/>
      <c r="J2144" s="73"/>
      <c r="K2144" s="95"/>
      <c r="L2144" s="95"/>
      <c r="M2144" s="22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</row>
    <row r="2145">
      <c r="A2145" s="26"/>
      <c r="B2145" s="73"/>
      <c r="C2145" s="73"/>
      <c r="D2145" s="95"/>
      <c r="E2145" s="73"/>
      <c r="F2145" s="73"/>
      <c r="G2145" s="73"/>
      <c r="H2145" s="73"/>
      <c r="I2145" s="95"/>
      <c r="J2145" s="73"/>
      <c r="K2145" s="95"/>
      <c r="L2145" s="95"/>
      <c r="M2145" s="22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</row>
    <row r="2146">
      <c r="A2146" s="26"/>
      <c r="B2146" s="73"/>
      <c r="C2146" s="73"/>
      <c r="D2146" s="95"/>
      <c r="E2146" s="73"/>
      <c r="F2146" s="73"/>
      <c r="G2146" s="73"/>
      <c r="H2146" s="73"/>
      <c r="I2146" s="95"/>
      <c r="J2146" s="73"/>
      <c r="K2146" s="95"/>
      <c r="L2146" s="95"/>
      <c r="M2146" s="22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</row>
    <row r="2147">
      <c r="A2147" s="26"/>
      <c r="B2147" s="73"/>
      <c r="C2147" s="73"/>
      <c r="D2147" s="95"/>
      <c r="E2147" s="73"/>
      <c r="F2147" s="73"/>
      <c r="G2147" s="73"/>
      <c r="H2147" s="73"/>
      <c r="I2147" s="95"/>
      <c r="J2147" s="73"/>
      <c r="K2147" s="95"/>
      <c r="L2147" s="95"/>
      <c r="M2147" s="22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</row>
    <row r="2148">
      <c r="A2148" s="26"/>
      <c r="B2148" s="73"/>
      <c r="C2148" s="73"/>
      <c r="D2148" s="95"/>
      <c r="E2148" s="73"/>
      <c r="F2148" s="73"/>
      <c r="G2148" s="73"/>
      <c r="H2148" s="73"/>
      <c r="I2148" s="95"/>
      <c r="J2148" s="73"/>
      <c r="K2148" s="95"/>
      <c r="L2148" s="95"/>
      <c r="M2148" s="22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</row>
    <row r="2149">
      <c r="A2149" s="26"/>
      <c r="B2149" s="73"/>
      <c r="C2149" s="73"/>
      <c r="D2149" s="95"/>
      <c r="E2149" s="73"/>
      <c r="F2149" s="73"/>
      <c r="G2149" s="73"/>
      <c r="H2149" s="73"/>
      <c r="I2149" s="95"/>
      <c r="J2149" s="73"/>
      <c r="K2149" s="95"/>
      <c r="L2149" s="95"/>
      <c r="M2149" s="22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</row>
    <row r="2150">
      <c r="A2150" s="26"/>
      <c r="B2150" s="73"/>
      <c r="C2150" s="73"/>
      <c r="D2150" s="95"/>
      <c r="E2150" s="73"/>
      <c r="F2150" s="73"/>
      <c r="G2150" s="73"/>
      <c r="H2150" s="73"/>
      <c r="I2150" s="95"/>
      <c r="J2150" s="73"/>
      <c r="K2150" s="95"/>
      <c r="L2150" s="95"/>
      <c r="M2150" s="22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</row>
    <row r="2151">
      <c r="A2151" s="26"/>
      <c r="B2151" s="73"/>
      <c r="C2151" s="73"/>
      <c r="D2151" s="95"/>
      <c r="E2151" s="73"/>
      <c r="F2151" s="73"/>
      <c r="G2151" s="73"/>
      <c r="H2151" s="73"/>
      <c r="I2151" s="95"/>
      <c r="J2151" s="73"/>
      <c r="K2151" s="95"/>
      <c r="L2151" s="95"/>
      <c r="M2151" s="22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</row>
    <row r="2152">
      <c r="A2152" s="26"/>
      <c r="B2152" s="73"/>
      <c r="C2152" s="73"/>
      <c r="D2152" s="95"/>
      <c r="E2152" s="73"/>
      <c r="F2152" s="73"/>
      <c r="G2152" s="73"/>
      <c r="H2152" s="73"/>
      <c r="I2152" s="95"/>
      <c r="J2152" s="73"/>
      <c r="K2152" s="95"/>
      <c r="L2152" s="95"/>
      <c r="M2152" s="22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</row>
    <row r="2153">
      <c r="A2153" s="26"/>
      <c r="B2153" s="73"/>
      <c r="C2153" s="73"/>
      <c r="D2153" s="95"/>
      <c r="E2153" s="73"/>
      <c r="F2153" s="73"/>
      <c r="G2153" s="73"/>
      <c r="H2153" s="73"/>
      <c r="I2153" s="95"/>
      <c r="J2153" s="73"/>
      <c r="K2153" s="95"/>
      <c r="L2153" s="95"/>
      <c r="M2153" s="22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</row>
    <row r="2154">
      <c r="A2154" s="26"/>
      <c r="B2154" s="73"/>
      <c r="C2154" s="73"/>
      <c r="D2154" s="95"/>
      <c r="E2154" s="73"/>
      <c r="F2154" s="73"/>
      <c r="G2154" s="73"/>
      <c r="H2154" s="73"/>
      <c r="I2154" s="95"/>
      <c r="J2154" s="73"/>
      <c r="K2154" s="95"/>
      <c r="L2154" s="95"/>
      <c r="M2154" s="22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</row>
    <row r="2155">
      <c r="A2155" s="26"/>
      <c r="B2155" s="73"/>
      <c r="C2155" s="73"/>
      <c r="D2155" s="95"/>
      <c r="E2155" s="73"/>
      <c r="F2155" s="73"/>
      <c r="G2155" s="73"/>
      <c r="H2155" s="73"/>
      <c r="I2155" s="95"/>
      <c r="J2155" s="73"/>
      <c r="K2155" s="95"/>
      <c r="L2155" s="95"/>
      <c r="M2155" s="22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</row>
    <row r="2156">
      <c r="A2156" s="26"/>
      <c r="B2156" s="73"/>
      <c r="C2156" s="73"/>
      <c r="D2156" s="95"/>
      <c r="E2156" s="73"/>
      <c r="F2156" s="73"/>
      <c r="G2156" s="73"/>
      <c r="H2156" s="73"/>
      <c r="I2156" s="95"/>
      <c r="J2156" s="73"/>
      <c r="K2156" s="95"/>
      <c r="L2156" s="95"/>
      <c r="M2156" s="22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</row>
    <row r="2157">
      <c r="A2157" s="26"/>
      <c r="B2157" s="73"/>
      <c r="C2157" s="73"/>
      <c r="D2157" s="95"/>
      <c r="E2157" s="73"/>
      <c r="F2157" s="73"/>
      <c r="G2157" s="73"/>
      <c r="H2157" s="73"/>
      <c r="I2157" s="95"/>
      <c r="J2157" s="73"/>
      <c r="K2157" s="95"/>
      <c r="L2157" s="95"/>
      <c r="M2157" s="22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</row>
    <row r="2158">
      <c r="A2158" s="26"/>
      <c r="B2158" s="73"/>
      <c r="C2158" s="73"/>
      <c r="D2158" s="95"/>
      <c r="E2158" s="73"/>
      <c r="F2158" s="73"/>
      <c r="G2158" s="73"/>
      <c r="H2158" s="73"/>
      <c r="I2158" s="95"/>
      <c r="J2158" s="73"/>
      <c r="K2158" s="95"/>
      <c r="L2158" s="95"/>
      <c r="M2158" s="22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</row>
    <row r="2159">
      <c r="A2159" s="26"/>
      <c r="B2159" s="73"/>
      <c r="C2159" s="73"/>
      <c r="D2159" s="95"/>
      <c r="E2159" s="73"/>
      <c r="F2159" s="73"/>
      <c r="G2159" s="73"/>
      <c r="H2159" s="73"/>
      <c r="I2159" s="95"/>
      <c r="J2159" s="73"/>
      <c r="K2159" s="95"/>
      <c r="L2159" s="95"/>
      <c r="M2159" s="22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</row>
    <row r="2160">
      <c r="A2160" s="26"/>
      <c r="B2160" s="73"/>
      <c r="C2160" s="73"/>
      <c r="D2160" s="95"/>
      <c r="E2160" s="73"/>
      <c r="F2160" s="73"/>
      <c r="G2160" s="73"/>
      <c r="H2160" s="73"/>
      <c r="I2160" s="95"/>
      <c r="J2160" s="73"/>
      <c r="K2160" s="95"/>
      <c r="L2160" s="95"/>
      <c r="M2160" s="22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</row>
    <row r="2161">
      <c r="A2161" s="26"/>
      <c r="B2161" s="73"/>
      <c r="C2161" s="73"/>
      <c r="D2161" s="95"/>
      <c r="E2161" s="73"/>
      <c r="F2161" s="73"/>
      <c r="G2161" s="73"/>
      <c r="H2161" s="73"/>
      <c r="I2161" s="95"/>
      <c r="J2161" s="73"/>
      <c r="K2161" s="95"/>
      <c r="L2161" s="95"/>
      <c r="M2161" s="22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</row>
    <row r="2162">
      <c r="A2162" s="26"/>
      <c r="B2162" s="73"/>
      <c r="C2162" s="73"/>
      <c r="D2162" s="95"/>
      <c r="E2162" s="73"/>
      <c r="F2162" s="73"/>
      <c r="G2162" s="73"/>
      <c r="H2162" s="73"/>
      <c r="I2162" s="95"/>
      <c r="J2162" s="73"/>
      <c r="K2162" s="95"/>
      <c r="L2162" s="95"/>
      <c r="M2162" s="22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</row>
    <row r="2163">
      <c r="A2163" s="26"/>
      <c r="B2163" s="73"/>
      <c r="C2163" s="73"/>
      <c r="D2163" s="95"/>
      <c r="E2163" s="73"/>
      <c r="F2163" s="73"/>
      <c r="G2163" s="73"/>
      <c r="H2163" s="73"/>
      <c r="I2163" s="95"/>
      <c r="J2163" s="73"/>
      <c r="K2163" s="95"/>
      <c r="L2163" s="95"/>
      <c r="M2163" s="22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</row>
    <row r="2164">
      <c r="A2164" s="26"/>
      <c r="B2164" s="73"/>
      <c r="C2164" s="73"/>
      <c r="D2164" s="95"/>
      <c r="E2164" s="73"/>
      <c r="F2164" s="73"/>
      <c r="G2164" s="73"/>
      <c r="H2164" s="73"/>
      <c r="I2164" s="95"/>
      <c r="J2164" s="73"/>
      <c r="K2164" s="95"/>
      <c r="L2164" s="95"/>
      <c r="M2164" s="22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</row>
    <row r="2165">
      <c r="A2165" s="26"/>
      <c r="B2165" s="73"/>
      <c r="C2165" s="73"/>
      <c r="D2165" s="95"/>
      <c r="E2165" s="73"/>
      <c r="F2165" s="73"/>
      <c r="G2165" s="73"/>
      <c r="H2165" s="73"/>
      <c r="I2165" s="95"/>
      <c r="J2165" s="73"/>
      <c r="K2165" s="95"/>
      <c r="L2165" s="95"/>
      <c r="M2165" s="22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</row>
    <row r="2166">
      <c r="A2166" s="26"/>
      <c r="B2166" s="73"/>
      <c r="C2166" s="73"/>
      <c r="D2166" s="95"/>
      <c r="E2166" s="73"/>
      <c r="F2166" s="73"/>
      <c r="G2166" s="73"/>
      <c r="H2166" s="73"/>
      <c r="I2166" s="95"/>
      <c r="J2166" s="73"/>
      <c r="K2166" s="95"/>
      <c r="L2166" s="95"/>
      <c r="M2166" s="22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</row>
    <row r="2167">
      <c r="A2167" s="26"/>
      <c r="B2167" s="73"/>
      <c r="C2167" s="73"/>
      <c r="D2167" s="95"/>
      <c r="E2167" s="73"/>
      <c r="F2167" s="73"/>
      <c r="G2167" s="73"/>
      <c r="H2167" s="73"/>
      <c r="I2167" s="95"/>
      <c r="J2167" s="73"/>
      <c r="K2167" s="95"/>
      <c r="L2167" s="95"/>
      <c r="M2167" s="22"/>
      <c r="N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</row>
    <row r="2168">
      <c r="A2168" s="26"/>
      <c r="B2168" s="73"/>
      <c r="C2168" s="73"/>
      <c r="D2168" s="95"/>
      <c r="E2168" s="73"/>
      <c r="F2168" s="73"/>
      <c r="G2168" s="73"/>
      <c r="H2168" s="73"/>
      <c r="I2168" s="95"/>
      <c r="J2168" s="73"/>
      <c r="K2168" s="95"/>
      <c r="L2168" s="95"/>
      <c r="M2168" s="22"/>
      <c r="N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</row>
    <row r="2169">
      <c r="A2169" s="26"/>
      <c r="B2169" s="73"/>
      <c r="C2169" s="73"/>
      <c r="D2169" s="95"/>
      <c r="E2169" s="73"/>
      <c r="F2169" s="73"/>
      <c r="G2169" s="73"/>
      <c r="H2169" s="73"/>
      <c r="I2169" s="95"/>
      <c r="J2169" s="73"/>
      <c r="K2169" s="95"/>
      <c r="L2169" s="95"/>
      <c r="M2169" s="22"/>
      <c r="N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</row>
    <row r="2170">
      <c r="A2170" s="26"/>
      <c r="B2170" s="73"/>
      <c r="C2170" s="73"/>
      <c r="D2170" s="95"/>
      <c r="E2170" s="73"/>
      <c r="F2170" s="73"/>
      <c r="G2170" s="73"/>
      <c r="H2170" s="73"/>
      <c r="I2170" s="95"/>
      <c r="J2170" s="73"/>
      <c r="K2170" s="95"/>
      <c r="L2170" s="95"/>
      <c r="M2170" s="22"/>
      <c r="N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</row>
    <row r="2171">
      <c r="A2171" s="26"/>
      <c r="B2171" s="73"/>
      <c r="C2171" s="73"/>
      <c r="D2171" s="95"/>
      <c r="E2171" s="73"/>
      <c r="F2171" s="73"/>
      <c r="G2171" s="73"/>
      <c r="H2171" s="73"/>
      <c r="I2171" s="95"/>
      <c r="J2171" s="73"/>
      <c r="K2171" s="95"/>
      <c r="L2171" s="95"/>
      <c r="M2171" s="22"/>
      <c r="N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</row>
    <row r="2172">
      <c r="A2172" s="26"/>
      <c r="B2172" s="73"/>
      <c r="C2172" s="73"/>
      <c r="D2172" s="95"/>
      <c r="E2172" s="73"/>
      <c r="F2172" s="73"/>
      <c r="G2172" s="73"/>
      <c r="H2172" s="73"/>
      <c r="I2172" s="95"/>
      <c r="J2172" s="73"/>
      <c r="K2172" s="95"/>
      <c r="L2172" s="95"/>
      <c r="M2172" s="22"/>
      <c r="N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</row>
    <row r="2173">
      <c r="A2173" s="26"/>
      <c r="B2173" s="73"/>
      <c r="C2173" s="73"/>
      <c r="D2173" s="95"/>
      <c r="E2173" s="73"/>
      <c r="F2173" s="73"/>
      <c r="G2173" s="73"/>
      <c r="H2173" s="73"/>
      <c r="I2173" s="95"/>
      <c r="J2173" s="73"/>
      <c r="K2173" s="95"/>
      <c r="L2173" s="95"/>
      <c r="M2173" s="22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</row>
    <row r="2174">
      <c r="A2174" s="26"/>
      <c r="B2174" s="73"/>
      <c r="C2174" s="73"/>
      <c r="D2174" s="95"/>
      <c r="E2174" s="73"/>
      <c r="F2174" s="73"/>
      <c r="G2174" s="73"/>
      <c r="H2174" s="73"/>
      <c r="I2174" s="95"/>
      <c r="J2174" s="73"/>
      <c r="K2174" s="95"/>
      <c r="L2174" s="95"/>
      <c r="M2174" s="22"/>
      <c r="N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</row>
    <row r="2175">
      <c r="A2175" s="26"/>
      <c r="B2175" s="73"/>
      <c r="C2175" s="73"/>
      <c r="D2175" s="95"/>
      <c r="E2175" s="73"/>
      <c r="F2175" s="73"/>
      <c r="G2175" s="73"/>
      <c r="H2175" s="73"/>
      <c r="I2175" s="95"/>
      <c r="J2175" s="73"/>
      <c r="K2175" s="95"/>
      <c r="L2175" s="95"/>
      <c r="M2175" s="22"/>
      <c r="N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</row>
    <row r="2176">
      <c r="A2176" s="26"/>
      <c r="B2176" s="73"/>
      <c r="C2176" s="73"/>
      <c r="D2176" s="95"/>
      <c r="E2176" s="73"/>
      <c r="F2176" s="73"/>
      <c r="G2176" s="73"/>
      <c r="H2176" s="73"/>
      <c r="I2176" s="95"/>
      <c r="J2176" s="73"/>
      <c r="K2176" s="95"/>
      <c r="L2176" s="95"/>
      <c r="M2176" s="22"/>
      <c r="N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</row>
    <row r="2177">
      <c r="A2177" s="26"/>
      <c r="B2177" s="73"/>
      <c r="C2177" s="73"/>
      <c r="D2177" s="95"/>
      <c r="E2177" s="73"/>
      <c r="F2177" s="73"/>
      <c r="G2177" s="73"/>
      <c r="H2177" s="73"/>
      <c r="I2177" s="95"/>
      <c r="J2177" s="73"/>
      <c r="K2177" s="95"/>
      <c r="L2177" s="95"/>
      <c r="M2177" s="22"/>
      <c r="N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</row>
    <row r="2178">
      <c r="A2178" s="26"/>
      <c r="B2178" s="73"/>
      <c r="C2178" s="73"/>
      <c r="D2178" s="95"/>
      <c r="E2178" s="73"/>
      <c r="F2178" s="73"/>
      <c r="G2178" s="73"/>
      <c r="H2178" s="73"/>
      <c r="I2178" s="95"/>
      <c r="J2178" s="73"/>
      <c r="K2178" s="95"/>
      <c r="L2178" s="95"/>
      <c r="M2178" s="22"/>
      <c r="N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</row>
    <row r="2179">
      <c r="A2179" s="26"/>
      <c r="B2179" s="73"/>
      <c r="C2179" s="73"/>
      <c r="D2179" s="95"/>
      <c r="E2179" s="73"/>
      <c r="F2179" s="73"/>
      <c r="G2179" s="73"/>
      <c r="H2179" s="73"/>
      <c r="I2179" s="95"/>
      <c r="J2179" s="73"/>
      <c r="K2179" s="95"/>
      <c r="L2179" s="95"/>
      <c r="M2179" s="22"/>
      <c r="N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6"/>
    </row>
    <row r="2180">
      <c r="A2180" s="26"/>
      <c r="B2180" s="73"/>
      <c r="C2180" s="73"/>
      <c r="D2180" s="95"/>
      <c r="E2180" s="73"/>
      <c r="F2180" s="73"/>
      <c r="G2180" s="73"/>
      <c r="H2180" s="73"/>
      <c r="I2180" s="95"/>
      <c r="J2180" s="73"/>
      <c r="K2180" s="95"/>
      <c r="L2180" s="95"/>
      <c r="M2180" s="22"/>
      <c r="N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</row>
    <row r="2181">
      <c r="A2181" s="26"/>
      <c r="B2181" s="73"/>
      <c r="C2181" s="73"/>
      <c r="D2181" s="95"/>
      <c r="E2181" s="73"/>
      <c r="F2181" s="73"/>
      <c r="G2181" s="73"/>
      <c r="H2181" s="73"/>
      <c r="I2181" s="95"/>
      <c r="J2181" s="73"/>
      <c r="K2181" s="95"/>
      <c r="L2181" s="95"/>
      <c r="M2181" s="22"/>
      <c r="N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</row>
    <row r="2182">
      <c r="A2182" s="26"/>
      <c r="B2182" s="73"/>
      <c r="C2182" s="73"/>
      <c r="D2182" s="95"/>
      <c r="E2182" s="73"/>
      <c r="F2182" s="73"/>
      <c r="G2182" s="73"/>
      <c r="H2182" s="73"/>
      <c r="I2182" s="95"/>
      <c r="J2182" s="73"/>
      <c r="K2182" s="95"/>
      <c r="L2182" s="95"/>
      <c r="M2182" s="22"/>
      <c r="N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</row>
    <row r="2183">
      <c r="A2183" s="26"/>
      <c r="B2183" s="73"/>
      <c r="C2183" s="73"/>
      <c r="D2183" s="95"/>
      <c r="E2183" s="73"/>
      <c r="F2183" s="73"/>
      <c r="G2183" s="73"/>
      <c r="H2183" s="73"/>
      <c r="I2183" s="95"/>
      <c r="J2183" s="73"/>
      <c r="K2183" s="95"/>
      <c r="L2183" s="95"/>
      <c r="M2183" s="22"/>
      <c r="N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6"/>
    </row>
    <row r="2184">
      <c r="A2184" s="26"/>
      <c r="B2184" s="73"/>
      <c r="C2184" s="73"/>
      <c r="D2184" s="95"/>
      <c r="E2184" s="73"/>
      <c r="F2184" s="73"/>
      <c r="G2184" s="73"/>
      <c r="H2184" s="73"/>
      <c r="I2184" s="95"/>
      <c r="J2184" s="73"/>
      <c r="K2184" s="95"/>
      <c r="L2184" s="95"/>
      <c r="M2184" s="22"/>
      <c r="N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</row>
    <row r="2185">
      <c r="A2185" s="26"/>
      <c r="B2185" s="73"/>
      <c r="C2185" s="73"/>
      <c r="D2185" s="95"/>
      <c r="E2185" s="73"/>
      <c r="F2185" s="73"/>
      <c r="G2185" s="73"/>
      <c r="H2185" s="73"/>
      <c r="I2185" s="95"/>
      <c r="J2185" s="73"/>
      <c r="K2185" s="95"/>
      <c r="L2185" s="95"/>
      <c r="M2185" s="22"/>
      <c r="N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</row>
    <row r="2186">
      <c r="A2186" s="26"/>
      <c r="B2186" s="73"/>
      <c r="C2186" s="73"/>
      <c r="D2186" s="95"/>
      <c r="E2186" s="73"/>
      <c r="F2186" s="73"/>
      <c r="G2186" s="73"/>
      <c r="H2186" s="73"/>
      <c r="I2186" s="95"/>
      <c r="J2186" s="73"/>
      <c r="K2186" s="95"/>
      <c r="L2186" s="95"/>
      <c r="M2186" s="22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</row>
    <row r="2187">
      <c r="A2187" s="26"/>
      <c r="B2187" s="73"/>
      <c r="C2187" s="73"/>
      <c r="D2187" s="95"/>
      <c r="E2187" s="73"/>
      <c r="F2187" s="73"/>
      <c r="G2187" s="73"/>
      <c r="H2187" s="73"/>
      <c r="I2187" s="95"/>
      <c r="J2187" s="73"/>
      <c r="K2187" s="95"/>
      <c r="L2187" s="95"/>
      <c r="M2187" s="22"/>
      <c r="N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</row>
    <row r="2188">
      <c r="A2188" s="26"/>
      <c r="B2188" s="73"/>
      <c r="C2188" s="73"/>
      <c r="D2188" s="95"/>
      <c r="E2188" s="73"/>
      <c r="F2188" s="73"/>
      <c r="G2188" s="73"/>
      <c r="H2188" s="73"/>
      <c r="I2188" s="95"/>
      <c r="J2188" s="73"/>
      <c r="K2188" s="95"/>
      <c r="L2188" s="95"/>
      <c r="M2188" s="22"/>
      <c r="N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6"/>
    </row>
    <row r="2189">
      <c r="A2189" s="26"/>
      <c r="B2189" s="73"/>
      <c r="C2189" s="73"/>
      <c r="D2189" s="95"/>
      <c r="E2189" s="73"/>
      <c r="F2189" s="73"/>
      <c r="G2189" s="73"/>
      <c r="H2189" s="73"/>
      <c r="I2189" s="95"/>
      <c r="J2189" s="73"/>
      <c r="K2189" s="95"/>
      <c r="L2189" s="95"/>
      <c r="M2189" s="22"/>
      <c r="N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</row>
    <row r="2190">
      <c r="A2190" s="26"/>
      <c r="B2190" s="73"/>
      <c r="C2190" s="73"/>
      <c r="D2190" s="95"/>
      <c r="E2190" s="73"/>
      <c r="F2190" s="73"/>
      <c r="G2190" s="73"/>
      <c r="H2190" s="73"/>
      <c r="I2190" s="95"/>
      <c r="J2190" s="73"/>
      <c r="K2190" s="95"/>
      <c r="L2190" s="95"/>
      <c r="M2190" s="22"/>
      <c r="N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</row>
    <row r="2191">
      <c r="A2191" s="26"/>
      <c r="B2191" s="73"/>
      <c r="C2191" s="73"/>
      <c r="D2191" s="95"/>
      <c r="E2191" s="73"/>
      <c r="F2191" s="73"/>
      <c r="G2191" s="73"/>
      <c r="H2191" s="73"/>
      <c r="I2191" s="95"/>
      <c r="J2191" s="73"/>
      <c r="K2191" s="95"/>
      <c r="L2191" s="95"/>
      <c r="M2191" s="22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</row>
    <row r="2192">
      <c r="A2192" s="26"/>
      <c r="B2192" s="73"/>
      <c r="C2192" s="73"/>
      <c r="D2192" s="95"/>
      <c r="E2192" s="73"/>
      <c r="F2192" s="73"/>
      <c r="G2192" s="73"/>
      <c r="H2192" s="73"/>
      <c r="I2192" s="95"/>
      <c r="J2192" s="73"/>
      <c r="K2192" s="95"/>
      <c r="L2192" s="95"/>
      <c r="M2192" s="22"/>
      <c r="N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</row>
    <row r="2193">
      <c r="A2193" s="26"/>
      <c r="B2193" s="73"/>
      <c r="C2193" s="73"/>
      <c r="D2193" s="95"/>
      <c r="E2193" s="73"/>
      <c r="F2193" s="73"/>
      <c r="G2193" s="73"/>
      <c r="H2193" s="73"/>
      <c r="I2193" s="95"/>
      <c r="J2193" s="73"/>
      <c r="K2193" s="95"/>
      <c r="L2193" s="95"/>
      <c r="M2193" s="22"/>
      <c r="N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</row>
    <row r="2194">
      <c r="A2194" s="26"/>
      <c r="B2194" s="73"/>
      <c r="C2194" s="73"/>
      <c r="D2194" s="95"/>
      <c r="E2194" s="73"/>
      <c r="F2194" s="73"/>
      <c r="G2194" s="73"/>
      <c r="H2194" s="73"/>
      <c r="I2194" s="95"/>
      <c r="J2194" s="73"/>
      <c r="K2194" s="95"/>
      <c r="L2194" s="95"/>
      <c r="M2194" s="22"/>
      <c r="N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</row>
    <row r="2195">
      <c r="A2195" s="26"/>
      <c r="B2195" s="73"/>
      <c r="C2195" s="73"/>
      <c r="D2195" s="95"/>
      <c r="E2195" s="73"/>
      <c r="F2195" s="73"/>
      <c r="G2195" s="73"/>
      <c r="H2195" s="73"/>
      <c r="I2195" s="95"/>
      <c r="J2195" s="73"/>
      <c r="K2195" s="95"/>
      <c r="L2195" s="95"/>
      <c r="M2195" s="22"/>
      <c r="N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</row>
    <row r="2196">
      <c r="A2196" s="26"/>
      <c r="B2196" s="73"/>
      <c r="C2196" s="73"/>
      <c r="D2196" s="95"/>
      <c r="E2196" s="73"/>
      <c r="F2196" s="73"/>
      <c r="G2196" s="73"/>
      <c r="H2196" s="73"/>
      <c r="I2196" s="95"/>
      <c r="J2196" s="73"/>
      <c r="K2196" s="95"/>
      <c r="L2196" s="95"/>
      <c r="M2196" s="22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</row>
    <row r="2197">
      <c r="A2197" s="26"/>
      <c r="B2197" s="73"/>
      <c r="C2197" s="73"/>
      <c r="D2197" s="95"/>
      <c r="E2197" s="73"/>
      <c r="F2197" s="73"/>
      <c r="G2197" s="73"/>
      <c r="H2197" s="73"/>
      <c r="I2197" s="95"/>
      <c r="J2197" s="73"/>
      <c r="K2197" s="95"/>
      <c r="L2197" s="95"/>
      <c r="M2197" s="22"/>
      <c r="N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</row>
    <row r="2198">
      <c r="A2198" s="26"/>
      <c r="B2198" s="73"/>
      <c r="C2198" s="73"/>
      <c r="D2198" s="95"/>
      <c r="E2198" s="73"/>
      <c r="F2198" s="73"/>
      <c r="G2198" s="73"/>
      <c r="H2198" s="73"/>
      <c r="I2198" s="95"/>
      <c r="J2198" s="73"/>
      <c r="K2198" s="95"/>
      <c r="L2198" s="95"/>
      <c r="M2198" s="22"/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</row>
    <row r="2199">
      <c r="A2199" s="26"/>
      <c r="B2199" s="73"/>
      <c r="C2199" s="73"/>
      <c r="D2199" s="95"/>
      <c r="E2199" s="73"/>
      <c r="F2199" s="73"/>
      <c r="G2199" s="73"/>
      <c r="H2199" s="73"/>
      <c r="I2199" s="95"/>
      <c r="J2199" s="73"/>
      <c r="K2199" s="95"/>
      <c r="L2199" s="95"/>
      <c r="M2199" s="22"/>
      <c r="N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</row>
    <row r="2200">
      <c r="A2200" s="26"/>
      <c r="B2200" s="73"/>
      <c r="C2200" s="73"/>
      <c r="D2200" s="95"/>
      <c r="E2200" s="73"/>
      <c r="F2200" s="73"/>
      <c r="G2200" s="73"/>
      <c r="H2200" s="73"/>
      <c r="I2200" s="95"/>
      <c r="J2200" s="73"/>
      <c r="K2200" s="95"/>
      <c r="L2200" s="95"/>
      <c r="M2200" s="22"/>
      <c r="N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</row>
    <row r="2201">
      <c r="A2201" s="26"/>
      <c r="B2201" s="73"/>
      <c r="C2201" s="73"/>
      <c r="D2201" s="95"/>
      <c r="E2201" s="73"/>
      <c r="F2201" s="73"/>
      <c r="G2201" s="73"/>
      <c r="H2201" s="73"/>
      <c r="I2201" s="95"/>
      <c r="J2201" s="73"/>
      <c r="K2201" s="95"/>
      <c r="L2201" s="95"/>
      <c r="M2201" s="22"/>
      <c r="N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</row>
    <row r="2202">
      <c r="A2202" s="26"/>
      <c r="B2202" s="73"/>
      <c r="C2202" s="73"/>
      <c r="D2202" s="95"/>
      <c r="E2202" s="73"/>
      <c r="F2202" s="73"/>
      <c r="G2202" s="73"/>
      <c r="H2202" s="73"/>
      <c r="I2202" s="95"/>
      <c r="J2202" s="73"/>
      <c r="K2202" s="95"/>
      <c r="L2202" s="95"/>
      <c r="M2202" s="22"/>
      <c r="N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</row>
    <row r="2203">
      <c r="A2203" s="26"/>
      <c r="B2203" s="73"/>
      <c r="C2203" s="73"/>
      <c r="D2203" s="95"/>
      <c r="E2203" s="73"/>
      <c r="F2203" s="73"/>
      <c r="G2203" s="73"/>
      <c r="H2203" s="73"/>
      <c r="I2203" s="95"/>
      <c r="J2203" s="73"/>
      <c r="K2203" s="95"/>
      <c r="L2203" s="95"/>
      <c r="M2203" s="22"/>
      <c r="N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</row>
    <row r="2204">
      <c r="A2204" s="26"/>
      <c r="B2204" s="73"/>
      <c r="C2204" s="73"/>
      <c r="D2204" s="95"/>
      <c r="E2204" s="73"/>
      <c r="F2204" s="73"/>
      <c r="G2204" s="73"/>
      <c r="H2204" s="73"/>
      <c r="I2204" s="95"/>
      <c r="J2204" s="73"/>
      <c r="K2204" s="95"/>
      <c r="L2204" s="95"/>
      <c r="M2204" s="22"/>
      <c r="N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</row>
    <row r="2205">
      <c r="A2205" s="26"/>
      <c r="B2205" s="73"/>
      <c r="C2205" s="73"/>
      <c r="D2205" s="95"/>
      <c r="E2205" s="73"/>
      <c r="F2205" s="73"/>
      <c r="G2205" s="73"/>
      <c r="H2205" s="73"/>
      <c r="I2205" s="95"/>
      <c r="J2205" s="73"/>
      <c r="K2205" s="95"/>
      <c r="L2205" s="95"/>
      <c r="M2205" s="22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</row>
    <row r="2206">
      <c r="A2206" s="26"/>
      <c r="B2206" s="73"/>
      <c r="C2206" s="73"/>
      <c r="D2206" s="95"/>
      <c r="E2206" s="73"/>
      <c r="F2206" s="73"/>
      <c r="G2206" s="73"/>
      <c r="H2206" s="73"/>
      <c r="I2206" s="95"/>
      <c r="J2206" s="73"/>
      <c r="K2206" s="95"/>
      <c r="L2206" s="95"/>
      <c r="M2206" s="22"/>
      <c r="N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</row>
    <row r="2207">
      <c r="A2207" s="26"/>
      <c r="B2207" s="73"/>
      <c r="C2207" s="73"/>
      <c r="D2207" s="95"/>
      <c r="E2207" s="73"/>
      <c r="F2207" s="73"/>
      <c r="G2207" s="73"/>
      <c r="H2207" s="73"/>
      <c r="I2207" s="95"/>
      <c r="J2207" s="73"/>
      <c r="K2207" s="95"/>
      <c r="L2207" s="95"/>
      <c r="M2207" s="22"/>
      <c r="N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</row>
    <row r="2208">
      <c r="A2208" s="26"/>
      <c r="B2208" s="73"/>
      <c r="C2208" s="73"/>
      <c r="D2208" s="95"/>
      <c r="E2208" s="73"/>
      <c r="F2208" s="73"/>
      <c r="G2208" s="73"/>
      <c r="H2208" s="73"/>
      <c r="I2208" s="95"/>
      <c r="J2208" s="73"/>
      <c r="K2208" s="95"/>
      <c r="L2208" s="95"/>
      <c r="M2208" s="22"/>
      <c r="N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</row>
    <row r="2209">
      <c r="A2209" s="26"/>
      <c r="B2209" s="73"/>
      <c r="C2209" s="73"/>
      <c r="D2209" s="95"/>
      <c r="E2209" s="73"/>
      <c r="F2209" s="73"/>
      <c r="G2209" s="73"/>
      <c r="H2209" s="73"/>
      <c r="I2209" s="95"/>
      <c r="J2209" s="73"/>
      <c r="K2209" s="95"/>
      <c r="L2209" s="95"/>
      <c r="M2209" s="22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</row>
    <row r="2210">
      <c r="A2210" s="26"/>
      <c r="B2210" s="73"/>
      <c r="C2210" s="73"/>
      <c r="D2210" s="95"/>
      <c r="E2210" s="73"/>
      <c r="F2210" s="73"/>
      <c r="G2210" s="73"/>
      <c r="H2210" s="73"/>
      <c r="I2210" s="95"/>
      <c r="J2210" s="73"/>
      <c r="K2210" s="95"/>
      <c r="L2210" s="95"/>
      <c r="M2210" s="22"/>
      <c r="N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</row>
    <row r="2211">
      <c r="A2211" s="26"/>
      <c r="B2211" s="73"/>
      <c r="C2211" s="73"/>
      <c r="D2211" s="95"/>
      <c r="E2211" s="73"/>
      <c r="F2211" s="73"/>
      <c r="G2211" s="73"/>
      <c r="H2211" s="73"/>
      <c r="I2211" s="95"/>
      <c r="J2211" s="73"/>
      <c r="K2211" s="95"/>
      <c r="L2211" s="95"/>
      <c r="M2211" s="22"/>
      <c r="N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</row>
    <row r="2212">
      <c r="A2212" s="26"/>
      <c r="B2212" s="73"/>
      <c r="C2212" s="73"/>
      <c r="D2212" s="95"/>
      <c r="E2212" s="73"/>
      <c r="F2212" s="73"/>
      <c r="G2212" s="73"/>
      <c r="H2212" s="73"/>
      <c r="I2212" s="95"/>
      <c r="J2212" s="73"/>
      <c r="K2212" s="95"/>
      <c r="L2212" s="95"/>
      <c r="M2212" s="22"/>
      <c r="N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</row>
    <row r="2213">
      <c r="A2213" s="26"/>
      <c r="B2213" s="73"/>
      <c r="C2213" s="73"/>
      <c r="D2213" s="95"/>
      <c r="E2213" s="73"/>
      <c r="F2213" s="73"/>
      <c r="G2213" s="73"/>
      <c r="H2213" s="73"/>
      <c r="I2213" s="95"/>
      <c r="J2213" s="73"/>
      <c r="K2213" s="95"/>
      <c r="L2213" s="95"/>
      <c r="M2213" s="22"/>
      <c r="N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</row>
    <row r="2214">
      <c r="A2214" s="26"/>
      <c r="B2214" s="73"/>
      <c r="C2214" s="73"/>
      <c r="D2214" s="95"/>
      <c r="E2214" s="73"/>
      <c r="F2214" s="73"/>
      <c r="G2214" s="73"/>
      <c r="H2214" s="73"/>
      <c r="I2214" s="95"/>
      <c r="J2214" s="73"/>
      <c r="K2214" s="95"/>
      <c r="L2214" s="95"/>
      <c r="M2214" s="22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</row>
    <row r="2215">
      <c r="A2215" s="26"/>
      <c r="B2215" s="73"/>
      <c r="C2215" s="73"/>
      <c r="D2215" s="95"/>
      <c r="E2215" s="73"/>
      <c r="F2215" s="73"/>
      <c r="G2215" s="73"/>
      <c r="H2215" s="73"/>
      <c r="I2215" s="95"/>
      <c r="J2215" s="73"/>
      <c r="K2215" s="95"/>
      <c r="L2215" s="95"/>
      <c r="M2215" s="22"/>
      <c r="N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</row>
    <row r="2216">
      <c r="A2216" s="26"/>
      <c r="B2216" s="73"/>
      <c r="C2216" s="73"/>
      <c r="D2216" s="95"/>
      <c r="E2216" s="73"/>
      <c r="F2216" s="73"/>
      <c r="G2216" s="73"/>
      <c r="H2216" s="73"/>
      <c r="I2216" s="95"/>
      <c r="J2216" s="73"/>
      <c r="K2216" s="95"/>
      <c r="L2216" s="95"/>
      <c r="M2216" s="22"/>
      <c r="N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</row>
    <row r="2217">
      <c r="A2217" s="26"/>
      <c r="B2217" s="73"/>
      <c r="C2217" s="73"/>
      <c r="D2217" s="95"/>
      <c r="E2217" s="73"/>
      <c r="F2217" s="73"/>
      <c r="G2217" s="73"/>
      <c r="H2217" s="73"/>
      <c r="I2217" s="95"/>
      <c r="J2217" s="73"/>
      <c r="K2217" s="95"/>
      <c r="L2217" s="95"/>
      <c r="M2217" s="22"/>
      <c r="N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</row>
    <row r="2218">
      <c r="A2218" s="26"/>
      <c r="B2218" s="73"/>
      <c r="C2218" s="73"/>
      <c r="D2218" s="95"/>
      <c r="E2218" s="73"/>
      <c r="F2218" s="73"/>
      <c r="G2218" s="73"/>
      <c r="H2218" s="73"/>
      <c r="I2218" s="95"/>
      <c r="J2218" s="73"/>
      <c r="K2218" s="95"/>
      <c r="L2218" s="95"/>
      <c r="M2218" s="22"/>
      <c r="N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</row>
    <row r="2219">
      <c r="A2219" s="26"/>
      <c r="B2219" s="73"/>
      <c r="C2219" s="73"/>
      <c r="D2219" s="95"/>
      <c r="E2219" s="73"/>
      <c r="F2219" s="73"/>
      <c r="G2219" s="73"/>
      <c r="H2219" s="73"/>
      <c r="I2219" s="95"/>
      <c r="J2219" s="73"/>
      <c r="K2219" s="95"/>
      <c r="L2219" s="95"/>
      <c r="M2219" s="22"/>
      <c r="N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</row>
    <row r="2220">
      <c r="A2220" s="26"/>
      <c r="B2220" s="73"/>
      <c r="C2220" s="73"/>
      <c r="D2220" s="95"/>
      <c r="E2220" s="73"/>
      <c r="F2220" s="73"/>
      <c r="G2220" s="73"/>
      <c r="H2220" s="73"/>
      <c r="I2220" s="95"/>
      <c r="J2220" s="73"/>
      <c r="K2220" s="95"/>
      <c r="L2220" s="95"/>
      <c r="M2220" s="22"/>
      <c r="N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</row>
    <row r="2221">
      <c r="A2221" s="26"/>
      <c r="B2221" s="73"/>
      <c r="C2221" s="73"/>
      <c r="D2221" s="95"/>
      <c r="E2221" s="73"/>
      <c r="F2221" s="73"/>
      <c r="G2221" s="73"/>
      <c r="H2221" s="73"/>
      <c r="I2221" s="95"/>
      <c r="J2221" s="73"/>
      <c r="K2221" s="95"/>
      <c r="L2221" s="95"/>
      <c r="M2221" s="22"/>
      <c r="N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</row>
    <row r="2222">
      <c r="A2222" s="26"/>
      <c r="B2222" s="73"/>
      <c r="C2222" s="73"/>
      <c r="D2222" s="95"/>
      <c r="E2222" s="73"/>
      <c r="F2222" s="73"/>
      <c r="G2222" s="73"/>
      <c r="H2222" s="73"/>
      <c r="I2222" s="95"/>
      <c r="J2222" s="73"/>
      <c r="K2222" s="95"/>
      <c r="L2222" s="95"/>
      <c r="M2222" s="22"/>
      <c r="N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</row>
    <row r="2223">
      <c r="A2223" s="26"/>
      <c r="B2223" s="73"/>
      <c r="C2223" s="73"/>
      <c r="D2223" s="95"/>
      <c r="E2223" s="73"/>
      <c r="F2223" s="73"/>
      <c r="G2223" s="73"/>
      <c r="H2223" s="73"/>
      <c r="I2223" s="95"/>
      <c r="J2223" s="73"/>
      <c r="K2223" s="95"/>
      <c r="L2223" s="95"/>
      <c r="M2223" s="22"/>
      <c r="N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</row>
    <row r="2224">
      <c r="A2224" s="26"/>
      <c r="B2224" s="73"/>
      <c r="C2224" s="73"/>
      <c r="D2224" s="95"/>
      <c r="E2224" s="73"/>
      <c r="F2224" s="73"/>
      <c r="G2224" s="73"/>
      <c r="H2224" s="73"/>
      <c r="I2224" s="95"/>
      <c r="J2224" s="73"/>
      <c r="K2224" s="95"/>
      <c r="L2224" s="95"/>
      <c r="M2224" s="22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</row>
    <row r="2225">
      <c r="A2225" s="26"/>
      <c r="B2225" s="73"/>
      <c r="C2225" s="73"/>
      <c r="D2225" s="95"/>
      <c r="E2225" s="73"/>
      <c r="F2225" s="73"/>
      <c r="G2225" s="73"/>
      <c r="H2225" s="73"/>
      <c r="I2225" s="95"/>
      <c r="J2225" s="73"/>
      <c r="K2225" s="95"/>
      <c r="L2225" s="95"/>
      <c r="M2225" s="22"/>
      <c r="N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</row>
    <row r="2226">
      <c r="A2226" s="26"/>
      <c r="B2226" s="73"/>
      <c r="C2226" s="73"/>
      <c r="D2226" s="95"/>
      <c r="E2226" s="73"/>
      <c r="F2226" s="73"/>
      <c r="G2226" s="73"/>
      <c r="H2226" s="73"/>
      <c r="I2226" s="95"/>
      <c r="J2226" s="73"/>
      <c r="K2226" s="95"/>
      <c r="L2226" s="95"/>
      <c r="M2226" s="22"/>
      <c r="N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</row>
    <row r="2227">
      <c r="A2227" s="26"/>
      <c r="B2227" s="73"/>
      <c r="C2227" s="73"/>
      <c r="D2227" s="95"/>
      <c r="E2227" s="73"/>
      <c r="F2227" s="73"/>
      <c r="G2227" s="73"/>
      <c r="H2227" s="73"/>
      <c r="I2227" s="95"/>
      <c r="J2227" s="73"/>
      <c r="K2227" s="95"/>
      <c r="L2227" s="95"/>
      <c r="M2227" s="22"/>
      <c r="N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</row>
    <row r="2228">
      <c r="A2228" s="26"/>
      <c r="B2228" s="73"/>
      <c r="C2228" s="73"/>
      <c r="D2228" s="95"/>
      <c r="E2228" s="73"/>
      <c r="F2228" s="73"/>
      <c r="G2228" s="73"/>
      <c r="H2228" s="73"/>
      <c r="I2228" s="95"/>
      <c r="J2228" s="73"/>
      <c r="K2228" s="95"/>
      <c r="L2228" s="95"/>
      <c r="M2228" s="22"/>
      <c r="N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</row>
    <row r="2229">
      <c r="A2229" s="26"/>
      <c r="B2229" s="73"/>
      <c r="C2229" s="73"/>
      <c r="D2229" s="95"/>
      <c r="E2229" s="73"/>
      <c r="F2229" s="73"/>
      <c r="G2229" s="73"/>
      <c r="H2229" s="73"/>
      <c r="I2229" s="95"/>
      <c r="J2229" s="73"/>
      <c r="K2229" s="95"/>
      <c r="L2229" s="95"/>
      <c r="M2229" s="22"/>
      <c r="N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</row>
    <row r="2230">
      <c r="A2230" s="26"/>
      <c r="B2230" s="73"/>
      <c r="C2230" s="73"/>
      <c r="D2230" s="95"/>
      <c r="E2230" s="73"/>
      <c r="F2230" s="73"/>
      <c r="G2230" s="73"/>
      <c r="H2230" s="73"/>
      <c r="I2230" s="95"/>
      <c r="J2230" s="73"/>
      <c r="K2230" s="95"/>
      <c r="L2230" s="95"/>
      <c r="M2230" s="22"/>
      <c r="N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</row>
    <row r="2231">
      <c r="A2231" s="26"/>
      <c r="B2231" s="73"/>
      <c r="C2231" s="73"/>
      <c r="D2231" s="95"/>
      <c r="E2231" s="73"/>
      <c r="F2231" s="73"/>
      <c r="G2231" s="73"/>
      <c r="H2231" s="73"/>
      <c r="I2231" s="95"/>
      <c r="J2231" s="73"/>
      <c r="K2231" s="95"/>
      <c r="L2231" s="95"/>
      <c r="M2231" s="22"/>
      <c r="N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</row>
    <row r="2232">
      <c r="A2232" s="26"/>
      <c r="B2232" s="73"/>
      <c r="C2232" s="73"/>
      <c r="D2232" s="95"/>
      <c r="E2232" s="73"/>
      <c r="F2232" s="73"/>
      <c r="G2232" s="73"/>
      <c r="H2232" s="73"/>
      <c r="I2232" s="95"/>
      <c r="J2232" s="73"/>
      <c r="K2232" s="95"/>
      <c r="L2232" s="95"/>
      <c r="M2232" s="22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</row>
    <row r="2233">
      <c r="A2233" s="26"/>
      <c r="B2233" s="73"/>
      <c r="C2233" s="73"/>
      <c r="D2233" s="95"/>
      <c r="E2233" s="73"/>
      <c r="F2233" s="73"/>
      <c r="G2233" s="73"/>
      <c r="H2233" s="73"/>
      <c r="I2233" s="95"/>
      <c r="J2233" s="73"/>
      <c r="K2233" s="95"/>
      <c r="L2233" s="95"/>
      <c r="M2233" s="22"/>
      <c r="N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</row>
    <row r="2234">
      <c r="A2234" s="26"/>
      <c r="B2234" s="73"/>
      <c r="C2234" s="73"/>
      <c r="D2234" s="95"/>
      <c r="E2234" s="73"/>
      <c r="F2234" s="73"/>
      <c r="G2234" s="73"/>
      <c r="H2234" s="73"/>
      <c r="I2234" s="95"/>
      <c r="J2234" s="73"/>
      <c r="K2234" s="95"/>
      <c r="L2234" s="95"/>
      <c r="M2234" s="22"/>
      <c r="N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6"/>
    </row>
    <row r="2235">
      <c r="A2235" s="26"/>
      <c r="B2235" s="73"/>
      <c r="C2235" s="73"/>
      <c r="D2235" s="95"/>
      <c r="E2235" s="73"/>
      <c r="F2235" s="73"/>
      <c r="G2235" s="73"/>
      <c r="H2235" s="73"/>
      <c r="I2235" s="95"/>
      <c r="J2235" s="73"/>
      <c r="K2235" s="95"/>
      <c r="L2235" s="95"/>
      <c r="M2235" s="22"/>
      <c r="N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</row>
    <row r="2236">
      <c r="A2236" s="26"/>
      <c r="B2236" s="73"/>
      <c r="C2236" s="73"/>
      <c r="D2236" s="95"/>
      <c r="E2236" s="73"/>
      <c r="F2236" s="73"/>
      <c r="G2236" s="73"/>
      <c r="H2236" s="73"/>
      <c r="I2236" s="95"/>
      <c r="J2236" s="73"/>
      <c r="K2236" s="95"/>
      <c r="L2236" s="95"/>
      <c r="M2236" s="22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</row>
    <row r="2237">
      <c r="A2237" s="26"/>
      <c r="B2237" s="73"/>
      <c r="C2237" s="73"/>
      <c r="D2237" s="95"/>
      <c r="E2237" s="73"/>
      <c r="F2237" s="73"/>
      <c r="G2237" s="73"/>
      <c r="H2237" s="73"/>
      <c r="I2237" s="95"/>
      <c r="J2237" s="73"/>
      <c r="K2237" s="95"/>
      <c r="L2237" s="95"/>
      <c r="M2237" s="22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</row>
    <row r="2238">
      <c r="A2238" s="26"/>
      <c r="B2238" s="73"/>
      <c r="C2238" s="73"/>
      <c r="D2238" s="95"/>
      <c r="E2238" s="73"/>
      <c r="F2238" s="73"/>
      <c r="G2238" s="73"/>
      <c r="H2238" s="73"/>
      <c r="I2238" s="95"/>
      <c r="J2238" s="73"/>
      <c r="K2238" s="95"/>
      <c r="L2238" s="95"/>
      <c r="M2238" s="22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</row>
    <row r="2239">
      <c r="A2239" s="26"/>
      <c r="B2239" s="73"/>
      <c r="C2239" s="73"/>
      <c r="D2239" s="95"/>
      <c r="E2239" s="73"/>
      <c r="F2239" s="73"/>
      <c r="G2239" s="73"/>
      <c r="H2239" s="73"/>
      <c r="I2239" s="95"/>
      <c r="J2239" s="73"/>
      <c r="K2239" s="95"/>
      <c r="L2239" s="95"/>
      <c r="M2239" s="22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</row>
    <row r="2240">
      <c r="A2240" s="26"/>
      <c r="B2240" s="73"/>
      <c r="C2240" s="73"/>
      <c r="D2240" s="95"/>
      <c r="E2240" s="73"/>
      <c r="F2240" s="73"/>
      <c r="G2240" s="73"/>
      <c r="H2240" s="73"/>
      <c r="I2240" s="95"/>
      <c r="J2240" s="73"/>
      <c r="K2240" s="95"/>
      <c r="L2240" s="95"/>
      <c r="M2240" s="22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</row>
    <row r="2241">
      <c r="A2241" s="26"/>
      <c r="B2241" s="73"/>
      <c r="C2241" s="73"/>
      <c r="D2241" s="95"/>
      <c r="E2241" s="73"/>
      <c r="F2241" s="73"/>
      <c r="G2241" s="73"/>
      <c r="H2241" s="73"/>
      <c r="I2241" s="95"/>
      <c r="J2241" s="73"/>
      <c r="K2241" s="95"/>
      <c r="L2241" s="95"/>
      <c r="M2241" s="22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</row>
    <row r="2242">
      <c r="A2242" s="26"/>
      <c r="B2242" s="73"/>
      <c r="C2242" s="73"/>
      <c r="D2242" s="95"/>
      <c r="E2242" s="73"/>
      <c r="F2242" s="73"/>
      <c r="G2242" s="73"/>
      <c r="H2242" s="73"/>
      <c r="I2242" s="95"/>
      <c r="J2242" s="73"/>
      <c r="K2242" s="95"/>
      <c r="L2242" s="95"/>
      <c r="M2242" s="22"/>
      <c r="N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6"/>
    </row>
    <row r="2243">
      <c r="A2243" s="26"/>
      <c r="B2243" s="73"/>
      <c r="C2243" s="73"/>
      <c r="D2243" s="95"/>
      <c r="E2243" s="73"/>
      <c r="F2243" s="73"/>
      <c r="G2243" s="73"/>
      <c r="H2243" s="73"/>
      <c r="I2243" s="95"/>
      <c r="J2243" s="73"/>
      <c r="K2243" s="95"/>
      <c r="L2243" s="95"/>
      <c r="M2243" s="22"/>
      <c r="N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6"/>
    </row>
    <row r="2244">
      <c r="A2244" s="26"/>
      <c r="B2244" s="73"/>
      <c r="C2244" s="73"/>
      <c r="D2244" s="95"/>
      <c r="E2244" s="73"/>
      <c r="F2244" s="73"/>
      <c r="G2244" s="73"/>
      <c r="H2244" s="73"/>
      <c r="I2244" s="95"/>
      <c r="J2244" s="73"/>
      <c r="K2244" s="95"/>
      <c r="L2244" s="95"/>
      <c r="M2244" s="22"/>
      <c r="N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6"/>
    </row>
    <row r="2245">
      <c r="A2245" s="26"/>
      <c r="B2245" s="73"/>
      <c r="C2245" s="73"/>
      <c r="D2245" s="95"/>
      <c r="E2245" s="73"/>
      <c r="F2245" s="73"/>
      <c r="G2245" s="73"/>
      <c r="H2245" s="73"/>
      <c r="I2245" s="95"/>
      <c r="J2245" s="73"/>
      <c r="K2245" s="95"/>
      <c r="L2245" s="95"/>
      <c r="M2245" s="22"/>
      <c r="N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6"/>
    </row>
    <row r="2246">
      <c r="A2246" s="26"/>
      <c r="B2246" s="73"/>
      <c r="C2246" s="73"/>
      <c r="D2246" s="95"/>
      <c r="E2246" s="73"/>
      <c r="F2246" s="73"/>
      <c r="G2246" s="73"/>
      <c r="H2246" s="73"/>
      <c r="I2246" s="95"/>
      <c r="J2246" s="73"/>
      <c r="K2246" s="95"/>
      <c r="L2246" s="95"/>
      <c r="M2246" s="22"/>
      <c r="N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6"/>
    </row>
    <row r="2247">
      <c r="A2247" s="26"/>
      <c r="B2247" s="73"/>
      <c r="C2247" s="73"/>
      <c r="D2247" s="95"/>
      <c r="E2247" s="73"/>
      <c r="F2247" s="73"/>
      <c r="G2247" s="73"/>
      <c r="H2247" s="73"/>
      <c r="I2247" s="95"/>
      <c r="J2247" s="73"/>
      <c r="K2247" s="95"/>
      <c r="L2247" s="95"/>
      <c r="M2247" s="22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</row>
    <row r="2248">
      <c r="A2248" s="26"/>
      <c r="B2248" s="73"/>
      <c r="C2248" s="73"/>
      <c r="D2248" s="95"/>
      <c r="E2248" s="73"/>
      <c r="F2248" s="73"/>
      <c r="G2248" s="73"/>
      <c r="H2248" s="73"/>
      <c r="I2248" s="95"/>
      <c r="J2248" s="73"/>
      <c r="K2248" s="95"/>
      <c r="L2248" s="95"/>
      <c r="M2248" s="22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</row>
    <row r="2249">
      <c r="A2249" s="26"/>
      <c r="B2249" s="73"/>
      <c r="C2249" s="73"/>
      <c r="D2249" s="95"/>
      <c r="E2249" s="73"/>
      <c r="F2249" s="73"/>
      <c r="G2249" s="73"/>
      <c r="H2249" s="73"/>
      <c r="I2249" s="95"/>
      <c r="J2249" s="73"/>
      <c r="K2249" s="95"/>
      <c r="L2249" s="95"/>
      <c r="M2249" s="22"/>
      <c r="N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6"/>
    </row>
    <row r="2250">
      <c r="A2250" s="26"/>
      <c r="B2250" s="73"/>
      <c r="C2250" s="73"/>
      <c r="D2250" s="95"/>
      <c r="E2250" s="73"/>
      <c r="F2250" s="73"/>
      <c r="G2250" s="73"/>
      <c r="H2250" s="73"/>
      <c r="I2250" s="95"/>
      <c r="J2250" s="73"/>
      <c r="K2250" s="95"/>
      <c r="L2250" s="95"/>
      <c r="M2250" s="22"/>
      <c r="N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6"/>
    </row>
    <row r="2251">
      <c r="A2251" s="26"/>
      <c r="B2251" s="73"/>
      <c r="C2251" s="73"/>
      <c r="D2251" s="95"/>
      <c r="E2251" s="73"/>
      <c r="F2251" s="73"/>
      <c r="G2251" s="73"/>
      <c r="H2251" s="73"/>
      <c r="I2251" s="95"/>
      <c r="J2251" s="73"/>
      <c r="K2251" s="95"/>
      <c r="L2251" s="95"/>
      <c r="M2251" s="22"/>
      <c r="N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6"/>
    </row>
    <row r="2252">
      <c r="A2252" s="26"/>
      <c r="B2252" s="73"/>
      <c r="C2252" s="73"/>
      <c r="D2252" s="95"/>
      <c r="E2252" s="73"/>
      <c r="F2252" s="73"/>
      <c r="G2252" s="73"/>
      <c r="H2252" s="73"/>
      <c r="I2252" s="95"/>
      <c r="J2252" s="73"/>
      <c r="K2252" s="95"/>
      <c r="L2252" s="95"/>
      <c r="M2252" s="22"/>
      <c r="N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6"/>
    </row>
    <row r="2253">
      <c r="A2253" s="26"/>
      <c r="B2253" s="73"/>
      <c r="C2253" s="73"/>
      <c r="D2253" s="95"/>
      <c r="E2253" s="73"/>
      <c r="F2253" s="73"/>
      <c r="G2253" s="73"/>
      <c r="H2253" s="73"/>
      <c r="I2253" s="95"/>
      <c r="J2253" s="73"/>
      <c r="K2253" s="95"/>
      <c r="L2253" s="95"/>
      <c r="M2253" s="22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</row>
    <row r="2254">
      <c r="A2254" s="26"/>
      <c r="B2254" s="73"/>
      <c r="C2254" s="73"/>
      <c r="D2254" s="95"/>
      <c r="E2254" s="73"/>
      <c r="F2254" s="73"/>
      <c r="G2254" s="73"/>
      <c r="H2254" s="73"/>
      <c r="I2254" s="95"/>
      <c r="J2254" s="73"/>
      <c r="K2254" s="95"/>
      <c r="L2254" s="95"/>
      <c r="M2254" s="22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</row>
    <row r="2255">
      <c r="A2255" s="26"/>
      <c r="B2255" s="73"/>
      <c r="C2255" s="73"/>
      <c r="D2255" s="95"/>
      <c r="E2255" s="73"/>
      <c r="F2255" s="73"/>
      <c r="G2255" s="73"/>
      <c r="H2255" s="73"/>
      <c r="I2255" s="95"/>
      <c r="J2255" s="73"/>
      <c r="K2255" s="95"/>
      <c r="L2255" s="95"/>
      <c r="M2255" s="22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</row>
    <row r="2256">
      <c r="A2256" s="26"/>
      <c r="B2256" s="73"/>
      <c r="C2256" s="73"/>
      <c r="D2256" s="95"/>
      <c r="E2256" s="73"/>
      <c r="F2256" s="73"/>
      <c r="G2256" s="73"/>
      <c r="H2256" s="73"/>
      <c r="I2256" s="95"/>
      <c r="J2256" s="73"/>
      <c r="K2256" s="95"/>
      <c r="L2256" s="95"/>
      <c r="M2256" s="22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</row>
    <row r="2257">
      <c r="A2257" s="26"/>
      <c r="B2257" s="73"/>
      <c r="C2257" s="73"/>
      <c r="D2257" s="95"/>
      <c r="E2257" s="73"/>
      <c r="F2257" s="73"/>
      <c r="G2257" s="73"/>
      <c r="H2257" s="73"/>
      <c r="I2257" s="95"/>
      <c r="J2257" s="73"/>
      <c r="K2257" s="95"/>
      <c r="L2257" s="95"/>
      <c r="M2257" s="22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</row>
    <row r="2258">
      <c r="A2258" s="26"/>
      <c r="B2258" s="73"/>
      <c r="C2258" s="73"/>
      <c r="D2258" s="95"/>
      <c r="E2258" s="73"/>
      <c r="F2258" s="73"/>
      <c r="G2258" s="73"/>
      <c r="H2258" s="73"/>
      <c r="I2258" s="95"/>
      <c r="J2258" s="73"/>
      <c r="K2258" s="95"/>
      <c r="L2258" s="95"/>
      <c r="M2258" s="22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</row>
    <row r="2259">
      <c r="A2259" s="26"/>
      <c r="B2259" s="73"/>
      <c r="C2259" s="73"/>
      <c r="D2259" s="95"/>
      <c r="E2259" s="73"/>
      <c r="F2259" s="73"/>
      <c r="G2259" s="73"/>
      <c r="H2259" s="73"/>
      <c r="I2259" s="95"/>
      <c r="J2259" s="73"/>
      <c r="K2259" s="95"/>
      <c r="L2259" s="95"/>
      <c r="M2259" s="22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</row>
    <row r="2260">
      <c r="A2260" s="26"/>
      <c r="B2260" s="73"/>
      <c r="C2260" s="73"/>
      <c r="D2260" s="95"/>
      <c r="E2260" s="73"/>
      <c r="F2260" s="73"/>
      <c r="G2260" s="73"/>
      <c r="H2260" s="73"/>
      <c r="I2260" s="95"/>
      <c r="J2260" s="73"/>
      <c r="K2260" s="95"/>
      <c r="L2260" s="95"/>
      <c r="M2260" s="22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</row>
    <row r="2261">
      <c r="A2261" s="26"/>
      <c r="B2261" s="73"/>
      <c r="C2261" s="73"/>
      <c r="D2261" s="95"/>
      <c r="E2261" s="73"/>
      <c r="F2261" s="73"/>
      <c r="G2261" s="73"/>
      <c r="H2261" s="73"/>
      <c r="I2261" s="95"/>
      <c r="J2261" s="73"/>
      <c r="K2261" s="95"/>
      <c r="L2261" s="95"/>
      <c r="M2261" s="22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</row>
    <row r="2262">
      <c r="A2262" s="26"/>
      <c r="B2262" s="73"/>
      <c r="C2262" s="73"/>
      <c r="D2262" s="95"/>
      <c r="E2262" s="73"/>
      <c r="F2262" s="73"/>
      <c r="G2262" s="73"/>
      <c r="H2262" s="73"/>
      <c r="I2262" s="95"/>
      <c r="J2262" s="73"/>
      <c r="K2262" s="95"/>
      <c r="L2262" s="95"/>
      <c r="M2262" s="22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</row>
    <row r="2263">
      <c r="A2263" s="26"/>
      <c r="B2263" s="73"/>
      <c r="C2263" s="73"/>
      <c r="D2263" s="95"/>
      <c r="E2263" s="73"/>
      <c r="F2263" s="73"/>
      <c r="G2263" s="73"/>
      <c r="H2263" s="73"/>
      <c r="I2263" s="95"/>
      <c r="J2263" s="73"/>
      <c r="K2263" s="95"/>
      <c r="L2263" s="95"/>
      <c r="M2263" s="22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</row>
    <row r="2264">
      <c r="A2264" s="26"/>
      <c r="B2264" s="73"/>
      <c r="C2264" s="73"/>
      <c r="D2264" s="95"/>
      <c r="E2264" s="73"/>
      <c r="F2264" s="73"/>
      <c r="G2264" s="73"/>
      <c r="H2264" s="73"/>
      <c r="I2264" s="95"/>
      <c r="J2264" s="73"/>
      <c r="K2264" s="95"/>
      <c r="L2264" s="95"/>
      <c r="M2264" s="22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</row>
    <row r="2265">
      <c r="A2265" s="26"/>
      <c r="B2265" s="73"/>
      <c r="C2265" s="73"/>
      <c r="D2265" s="95"/>
      <c r="E2265" s="73"/>
      <c r="F2265" s="73"/>
      <c r="G2265" s="73"/>
      <c r="H2265" s="73"/>
      <c r="I2265" s="95"/>
      <c r="J2265" s="73"/>
      <c r="K2265" s="95"/>
      <c r="L2265" s="95"/>
      <c r="M2265" s="22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</row>
    <row r="2266">
      <c r="A2266" s="26"/>
      <c r="B2266" s="73"/>
      <c r="C2266" s="73"/>
      <c r="D2266" s="95"/>
      <c r="E2266" s="73"/>
      <c r="F2266" s="73"/>
      <c r="G2266" s="73"/>
      <c r="H2266" s="73"/>
      <c r="I2266" s="95"/>
      <c r="J2266" s="73"/>
      <c r="K2266" s="95"/>
      <c r="L2266" s="95"/>
      <c r="M2266" s="22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</row>
    <row r="2267">
      <c r="A2267" s="26"/>
      <c r="B2267" s="73"/>
      <c r="C2267" s="73"/>
      <c r="D2267" s="95"/>
      <c r="E2267" s="73"/>
      <c r="F2267" s="73"/>
      <c r="G2267" s="73"/>
      <c r="H2267" s="73"/>
      <c r="I2267" s="95"/>
      <c r="J2267" s="73"/>
      <c r="K2267" s="95"/>
      <c r="L2267" s="95"/>
      <c r="M2267" s="22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</row>
    <row r="2268">
      <c r="A2268" s="26"/>
      <c r="B2268" s="73"/>
      <c r="C2268" s="73"/>
      <c r="D2268" s="95"/>
      <c r="E2268" s="73"/>
      <c r="F2268" s="73"/>
      <c r="G2268" s="73"/>
      <c r="H2268" s="73"/>
      <c r="I2268" s="95"/>
      <c r="J2268" s="73"/>
      <c r="K2268" s="95"/>
      <c r="L2268" s="95"/>
      <c r="M2268" s="22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</row>
    <row r="2269">
      <c r="A2269" s="26"/>
      <c r="B2269" s="73"/>
      <c r="C2269" s="73"/>
      <c r="D2269" s="95"/>
      <c r="E2269" s="73"/>
      <c r="F2269" s="73"/>
      <c r="G2269" s="73"/>
      <c r="H2269" s="73"/>
      <c r="I2269" s="95"/>
      <c r="J2269" s="73"/>
      <c r="K2269" s="95"/>
      <c r="L2269" s="95"/>
      <c r="M2269" s="22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</row>
    <row r="2270">
      <c r="A2270" s="26"/>
      <c r="B2270" s="73"/>
      <c r="C2270" s="73"/>
      <c r="D2270" s="95"/>
      <c r="E2270" s="73"/>
      <c r="F2270" s="73"/>
      <c r="G2270" s="73"/>
      <c r="H2270" s="73"/>
      <c r="I2270" s="95"/>
      <c r="J2270" s="73"/>
      <c r="K2270" s="95"/>
      <c r="L2270" s="95"/>
      <c r="M2270" s="22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</row>
    <row r="2271">
      <c r="A2271" s="26"/>
      <c r="B2271" s="73"/>
      <c r="C2271" s="73"/>
      <c r="D2271" s="95"/>
      <c r="E2271" s="73"/>
      <c r="F2271" s="73"/>
      <c r="G2271" s="73"/>
      <c r="H2271" s="73"/>
      <c r="I2271" s="95"/>
      <c r="J2271" s="73"/>
      <c r="K2271" s="95"/>
      <c r="L2271" s="95"/>
      <c r="M2271" s="22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</row>
    <row r="2272">
      <c r="A2272" s="26"/>
      <c r="B2272" s="73"/>
      <c r="C2272" s="73"/>
      <c r="D2272" s="95"/>
      <c r="E2272" s="73"/>
      <c r="F2272" s="73"/>
      <c r="G2272" s="73"/>
      <c r="H2272" s="73"/>
      <c r="I2272" s="95"/>
      <c r="J2272" s="73"/>
      <c r="K2272" s="95"/>
      <c r="L2272" s="95"/>
      <c r="M2272" s="22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</row>
    <row r="2273">
      <c r="A2273" s="26"/>
      <c r="B2273" s="73"/>
      <c r="C2273" s="73"/>
      <c r="D2273" s="95"/>
      <c r="E2273" s="73"/>
      <c r="F2273" s="73"/>
      <c r="G2273" s="73"/>
      <c r="H2273" s="73"/>
      <c r="I2273" s="95"/>
      <c r="J2273" s="73"/>
      <c r="K2273" s="95"/>
      <c r="L2273" s="95"/>
      <c r="M2273" s="22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</row>
    <row r="2274">
      <c r="A2274" s="26"/>
      <c r="B2274" s="73"/>
      <c r="C2274" s="73"/>
      <c r="D2274" s="95"/>
      <c r="E2274" s="73"/>
      <c r="F2274" s="73"/>
      <c r="G2274" s="73"/>
      <c r="H2274" s="73"/>
      <c r="I2274" s="95"/>
      <c r="J2274" s="73"/>
      <c r="K2274" s="95"/>
      <c r="L2274" s="95"/>
      <c r="M2274" s="22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</row>
    <row r="2275">
      <c r="A2275" s="26"/>
      <c r="B2275" s="73"/>
      <c r="C2275" s="73"/>
      <c r="D2275" s="95"/>
      <c r="E2275" s="73"/>
      <c r="F2275" s="73"/>
      <c r="G2275" s="73"/>
      <c r="H2275" s="73"/>
      <c r="I2275" s="95"/>
      <c r="J2275" s="73"/>
      <c r="K2275" s="95"/>
      <c r="L2275" s="95"/>
      <c r="M2275" s="22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</row>
    <row r="2276">
      <c r="A2276" s="26"/>
      <c r="B2276" s="73"/>
      <c r="C2276" s="73"/>
      <c r="D2276" s="95"/>
      <c r="E2276" s="73"/>
      <c r="F2276" s="73"/>
      <c r="G2276" s="73"/>
      <c r="H2276" s="73"/>
      <c r="I2276" s="95"/>
      <c r="J2276" s="73"/>
      <c r="K2276" s="95"/>
      <c r="L2276" s="95"/>
      <c r="M2276" s="22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</row>
    <row r="2277">
      <c r="A2277" s="26"/>
      <c r="B2277" s="73"/>
      <c r="C2277" s="73"/>
      <c r="D2277" s="95"/>
      <c r="E2277" s="73"/>
      <c r="F2277" s="73"/>
      <c r="G2277" s="73"/>
      <c r="H2277" s="73"/>
      <c r="I2277" s="95"/>
      <c r="J2277" s="73"/>
      <c r="K2277" s="95"/>
      <c r="L2277" s="95"/>
      <c r="M2277" s="22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</row>
    <row r="2278">
      <c r="A2278" s="26"/>
      <c r="B2278" s="73"/>
      <c r="C2278" s="73"/>
      <c r="D2278" s="95"/>
      <c r="E2278" s="73"/>
      <c r="F2278" s="73"/>
      <c r="G2278" s="73"/>
      <c r="H2278" s="73"/>
      <c r="I2278" s="95"/>
      <c r="J2278" s="73"/>
      <c r="K2278" s="95"/>
      <c r="L2278" s="95"/>
      <c r="M2278" s="22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</row>
    <row r="2279">
      <c r="A2279" s="26"/>
      <c r="B2279" s="73"/>
      <c r="C2279" s="73"/>
      <c r="D2279" s="95"/>
      <c r="E2279" s="73"/>
      <c r="F2279" s="73"/>
      <c r="G2279" s="73"/>
      <c r="H2279" s="73"/>
      <c r="I2279" s="95"/>
      <c r="J2279" s="73"/>
      <c r="K2279" s="95"/>
      <c r="L2279" s="95"/>
      <c r="M2279" s="22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</row>
    <row r="2280">
      <c r="A2280" s="26"/>
      <c r="B2280" s="73"/>
      <c r="C2280" s="73"/>
      <c r="D2280" s="95"/>
      <c r="E2280" s="73"/>
      <c r="F2280" s="73"/>
      <c r="G2280" s="73"/>
      <c r="H2280" s="73"/>
      <c r="I2280" s="95"/>
      <c r="J2280" s="73"/>
      <c r="K2280" s="95"/>
      <c r="L2280" s="95"/>
      <c r="M2280" s="22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</row>
    <row r="2281">
      <c r="A2281" s="26"/>
      <c r="B2281" s="73"/>
      <c r="C2281" s="73"/>
      <c r="D2281" s="95"/>
      <c r="E2281" s="73"/>
      <c r="F2281" s="73"/>
      <c r="G2281" s="73"/>
      <c r="H2281" s="73"/>
      <c r="I2281" s="95"/>
      <c r="J2281" s="73"/>
      <c r="K2281" s="95"/>
      <c r="L2281" s="95"/>
      <c r="M2281" s="22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</row>
    <row r="2282">
      <c r="A2282" s="26"/>
      <c r="B2282" s="73"/>
      <c r="C2282" s="73"/>
      <c r="D2282" s="95"/>
      <c r="E2282" s="73"/>
      <c r="F2282" s="73"/>
      <c r="G2282" s="73"/>
      <c r="H2282" s="73"/>
      <c r="I2282" s="95"/>
      <c r="J2282" s="73"/>
      <c r="K2282" s="95"/>
      <c r="L2282" s="95"/>
      <c r="M2282" s="22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</row>
    <row r="2283">
      <c r="A2283" s="26"/>
      <c r="B2283" s="73"/>
      <c r="C2283" s="73"/>
      <c r="D2283" s="95"/>
      <c r="E2283" s="73"/>
      <c r="F2283" s="73"/>
      <c r="G2283" s="73"/>
      <c r="H2283" s="73"/>
      <c r="I2283" s="95"/>
      <c r="J2283" s="73"/>
      <c r="K2283" s="95"/>
      <c r="L2283" s="95"/>
      <c r="M2283" s="22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</row>
    <row r="2284">
      <c r="A2284" s="26"/>
      <c r="B2284" s="73"/>
      <c r="C2284" s="73"/>
      <c r="D2284" s="95"/>
      <c r="E2284" s="73"/>
      <c r="F2284" s="73"/>
      <c r="G2284" s="73"/>
      <c r="H2284" s="73"/>
      <c r="I2284" s="95"/>
      <c r="J2284" s="73"/>
      <c r="K2284" s="95"/>
      <c r="L2284" s="95"/>
      <c r="M2284" s="22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</row>
    <row r="2285">
      <c r="A2285" s="26"/>
      <c r="B2285" s="73"/>
      <c r="C2285" s="73"/>
      <c r="D2285" s="95"/>
      <c r="E2285" s="73"/>
      <c r="F2285" s="73"/>
      <c r="G2285" s="73"/>
      <c r="H2285" s="73"/>
      <c r="I2285" s="95"/>
      <c r="J2285" s="73"/>
      <c r="K2285" s="95"/>
      <c r="L2285" s="95"/>
      <c r="M2285" s="22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</row>
    <row r="2286">
      <c r="A2286" s="26"/>
      <c r="B2286" s="73"/>
      <c r="C2286" s="73"/>
      <c r="D2286" s="95"/>
      <c r="E2286" s="73"/>
      <c r="F2286" s="73"/>
      <c r="G2286" s="73"/>
      <c r="H2286" s="73"/>
      <c r="I2286" s="95"/>
      <c r="J2286" s="73"/>
      <c r="K2286" s="95"/>
      <c r="L2286" s="95"/>
      <c r="M2286" s="22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</row>
    <row r="2287">
      <c r="A2287" s="26"/>
      <c r="B2287" s="73"/>
      <c r="C2287" s="73"/>
      <c r="D2287" s="95"/>
      <c r="E2287" s="73"/>
      <c r="F2287" s="73"/>
      <c r="G2287" s="73"/>
      <c r="H2287" s="73"/>
      <c r="I2287" s="95"/>
      <c r="J2287" s="73"/>
      <c r="K2287" s="95"/>
      <c r="L2287" s="95"/>
      <c r="M2287" s="22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</row>
    <row r="2288">
      <c r="A2288" s="26"/>
      <c r="B2288" s="73"/>
      <c r="C2288" s="73"/>
      <c r="D2288" s="95"/>
      <c r="E2288" s="73"/>
      <c r="F2288" s="73"/>
      <c r="G2288" s="73"/>
      <c r="H2288" s="73"/>
      <c r="I2288" s="95"/>
      <c r="J2288" s="73"/>
      <c r="K2288" s="95"/>
      <c r="L2288" s="95"/>
      <c r="M2288" s="22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</row>
    <row r="2289">
      <c r="A2289" s="26"/>
      <c r="B2289" s="73"/>
      <c r="C2289" s="73"/>
      <c r="D2289" s="95"/>
      <c r="E2289" s="73"/>
      <c r="F2289" s="73"/>
      <c r="G2289" s="73"/>
      <c r="H2289" s="73"/>
      <c r="I2289" s="95"/>
      <c r="J2289" s="73"/>
      <c r="K2289" s="95"/>
      <c r="L2289" s="95"/>
      <c r="M2289" s="22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</row>
    <row r="2290">
      <c r="A2290" s="26"/>
      <c r="B2290" s="73"/>
      <c r="C2290" s="73"/>
      <c r="D2290" s="95"/>
      <c r="E2290" s="73"/>
      <c r="F2290" s="73"/>
      <c r="G2290" s="73"/>
      <c r="H2290" s="73"/>
      <c r="I2290" s="95"/>
      <c r="J2290" s="73"/>
      <c r="K2290" s="95"/>
      <c r="L2290" s="95"/>
      <c r="M2290" s="22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</row>
    <row r="2291">
      <c r="A2291" s="26"/>
      <c r="B2291" s="73"/>
      <c r="C2291" s="73"/>
      <c r="D2291" s="95"/>
      <c r="E2291" s="73"/>
      <c r="F2291" s="73"/>
      <c r="G2291" s="73"/>
      <c r="H2291" s="73"/>
      <c r="I2291" s="95"/>
      <c r="J2291" s="73"/>
      <c r="K2291" s="95"/>
      <c r="L2291" s="95"/>
      <c r="M2291" s="22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</row>
    <row r="2292">
      <c r="A2292" s="26"/>
      <c r="B2292" s="73"/>
      <c r="C2292" s="73"/>
      <c r="D2292" s="95"/>
      <c r="E2292" s="73"/>
      <c r="F2292" s="73"/>
      <c r="G2292" s="73"/>
      <c r="H2292" s="73"/>
      <c r="I2292" s="95"/>
      <c r="J2292" s="73"/>
      <c r="K2292" s="95"/>
      <c r="L2292" s="95"/>
      <c r="M2292" s="22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</row>
    <row r="2293">
      <c r="A2293" s="26"/>
      <c r="B2293" s="73"/>
      <c r="C2293" s="73"/>
      <c r="D2293" s="95"/>
      <c r="E2293" s="73"/>
      <c r="F2293" s="73"/>
      <c r="G2293" s="73"/>
      <c r="H2293" s="73"/>
      <c r="I2293" s="95"/>
      <c r="J2293" s="73"/>
      <c r="K2293" s="95"/>
      <c r="L2293" s="95"/>
      <c r="M2293" s="22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</row>
    <row r="2294">
      <c r="A2294" s="26"/>
      <c r="B2294" s="73"/>
      <c r="C2294" s="73"/>
      <c r="D2294" s="95"/>
      <c r="E2294" s="73"/>
      <c r="F2294" s="73"/>
      <c r="G2294" s="73"/>
      <c r="H2294" s="73"/>
      <c r="I2294" s="95"/>
      <c r="J2294" s="73"/>
      <c r="K2294" s="95"/>
      <c r="L2294" s="95"/>
      <c r="M2294" s="22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</row>
    <row r="2295">
      <c r="A2295" s="26"/>
      <c r="B2295" s="73"/>
      <c r="C2295" s="73"/>
      <c r="D2295" s="95"/>
      <c r="E2295" s="73"/>
      <c r="F2295" s="73"/>
      <c r="G2295" s="73"/>
      <c r="H2295" s="73"/>
      <c r="I2295" s="95"/>
      <c r="J2295" s="73"/>
      <c r="K2295" s="95"/>
      <c r="L2295" s="95"/>
      <c r="M2295" s="22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</row>
    <row r="2296">
      <c r="A2296" s="26"/>
      <c r="B2296" s="73"/>
      <c r="C2296" s="73"/>
      <c r="D2296" s="95"/>
      <c r="E2296" s="73"/>
      <c r="F2296" s="73"/>
      <c r="G2296" s="73"/>
      <c r="H2296" s="73"/>
      <c r="I2296" s="95"/>
      <c r="J2296" s="73"/>
      <c r="K2296" s="95"/>
      <c r="L2296" s="95"/>
      <c r="M2296" s="22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</row>
    <row r="2297">
      <c r="A2297" s="26"/>
      <c r="B2297" s="73"/>
      <c r="C2297" s="73"/>
      <c r="D2297" s="95"/>
      <c r="E2297" s="73"/>
      <c r="F2297" s="73"/>
      <c r="G2297" s="73"/>
      <c r="H2297" s="73"/>
      <c r="I2297" s="95"/>
      <c r="J2297" s="73"/>
      <c r="K2297" s="95"/>
      <c r="L2297" s="95"/>
      <c r="M2297" s="22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</row>
    <row r="2298">
      <c r="A2298" s="26"/>
      <c r="B2298" s="73"/>
      <c r="C2298" s="73"/>
      <c r="D2298" s="95"/>
      <c r="E2298" s="73"/>
      <c r="F2298" s="73"/>
      <c r="G2298" s="73"/>
      <c r="H2298" s="73"/>
      <c r="I2298" s="95"/>
      <c r="J2298" s="73"/>
      <c r="K2298" s="95"/>
      <c r="L2298" s="95"/>
      <c r="M2298" s="22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</row>
    <row r="2299">
      <c r="A2299" s="26"/>
      <c r="B2299" s="73"/>
      <c r="C2299" s="73"/>
      <c r="D2299" s="95"/>
      <c r="E2299" s="73"/>
      <c r="F2299" s="73"/>
      <c r="G2299" s="73"/>
      <c r="H2299" s="73"/>
      <c r="I2299" s="95"/>
      <c r="J2299" s="73"/>
      <c r="K2299" s="95"/>
      <c r="L2299" s="95"/>
      <c r="M2299" s="22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</row>
    <row r="2300">
      <c r="A2300" s="26"/>
      <c r="B2300" s="73"/>
      <c r="C2300" s="73"/>
      <c r="D2300" s="95"/>
      <c r="E2300" s="73"/>
      <c r="F2300" s="73"/>
      <c r="G2300" s="73"/>
      <c r="H2300" s="73"/>
      <c r="I2300" s="95"/>
      <c r="J2300" s="73"/>
      <c r="K2300" s="95"/>
      <c r="L2300" s="95"/>
      <c r="M2300" s="22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</row>
    <row r="2301">
      <c r="A2301" s="26"/>
      <c r="B2301" s="73"/>
      <c r="C2301" s="73"/>
      <c r="D2301" s="95"/>
      <c r="E2301" s="73"/>
      <c r="F2301" s="73"/>
      <c r="G2301" s="73"/>
      <c r="H2301" s="73"/>
      <c r="I2301" s="95"/>
      <c r="J2301" s="73"/>
      <c r="K2301" s="95"/>
      <c r="L2301" s="95"/>
      <c r="M2301" s="22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</row>
    <row r="2302">
      <c r="A2302" s="26"/>
      <c r="B2302" s="73"/>
      <c r="C2302" s="73"/>
      <c r="D2302" s="95"/>
      <c r="E2302" s="73"/>
      <c r="F2302" s="73"/>
      <c r="G2302" s="73"/>
      <c r="H2302" s="73"/>
      <c r="I2302" s="95"/>
      <c r="J2302" s="73"/>
      <c r="K2302" s="95"/>
      <c r="L2302" s="95"/>
      <c r="M2302" s="22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</row>
    <row r="2303">
      <c r="A2303" s="26"/>
      <c r="B2303" s="73"/>
      <c r="C2303" s="73"/>
      <c r="D2303" s="95"/>
      <c r="E2303" s="73"/>
      <c r="F2303" s="73"/>
      <c r="G2303" s="73"/>
      <c r="H2303" s="73"/>
      <c r="I2303" s="95"/>
      <c r="J2303" s="73"/>
      <c r="K2303" s="95"/>
      <c r="L2303" s="95"/>
      <c r="M2303" s="22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</row>
    <row r="2304">
      <c r="A2304" s="26"/>
      <c r="B2304" s="73"/>
      <c r="C2304" s="73"/>
      <c r="D2304" s="95"/>
      <c r="E2304" s="73"/>
      <c r="F2304" s="73"/>
      <c r="G2304" s="73"/>
      <c r="H2304" s="73"/>
      <c r="I2304" s="95"/>
      <c r="J2304" s="73"/>
      <c r="K2304" s="95"/>
      <c r="L2304" s="95"/>
      <c r="M2304" s="22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</row>
    <row r="2305">
      <c r="A2305" s="26"/>
      <c r="B2305" s="73"/>
      <c r="C2305" s="73"/>
      <c r="D2305" s="95"/>
      <c r="E2305" s="73"/>
      <c r="F2305" s="73"/>
      <c r="G2305" s="73"/>
      <c r="H2305" s="73"/>
      <c r="I2305" s="95"/>
      <c r="J2305" s="73"/>
      <c r="K2305" s="95"/>
      <c r="L2305" s="95"/>
      <c r="M2305" s="22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</row>
    <row r="2306">
      <c r="A2306" s="26"/>
      <c r="B2306" s="73"/>
      <c r="C2306" s="73"/>
      <c r="D2306" s="95"/>
      <c r="E2306" s="73"/>
      <c r="F2306" s="73"/>
      <c r="G2306" s="73"/>
      <c r="H2306" s="73"/>
      <c r="I2306" s="95"/>
      <c r="J2306" s="73"/>
      <c r="K2306" s="95"/>
      <c r="L2306" s="95"/>
      <c r="M2306" s="22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</row>
    <row r="2307">
      <c r="A2307" s="26"/>
      <c r="B2307" s="73"/>
      <c r="C2307" s="73"/>
      <c r="D2307" s="95"/>
      <c r="E2307" s="73"/>
      <c r="F2307" s="73"/>
      <c r="G2307" s="73"/>
      <c r="H2307" s="73"/>
      <c r="I2307" s="95"/>
      <c r="J2307" s="73"/>
      <c r="K2307" s="95"/>
      <c r="L2307" s="95"/>
      <c r="M2307" s="22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</row>
    <row r="2308">
      <c r="A2308" s="26"/>
      <c r="B2308" s="73"/>
      <c r="C2308" s="73"/>
      <c r="D2308" s="95"/>
      <c r="E2308" s="73"/>
      <c r="F2308" s="73"/>
      <c r="G2308" s="73"/>
      <c r="H2308" s="73"/>
      <c r="I2308" s="95"/>
      <c r="J2308" s="73"/>
      <c r="K2308" s="95"/>
      <c r="L2308" s="95"/>
      <c r="M2308" s="22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</row>
    <row r="2309">
      <c r="A2309" s="26"/>
      <c r="B2309" s="73"/>
      <c r="C2309" s="73"/>
      <c r="D2309" s="95"/>
      <c r="E2309" s="73"/>
      <c r="F2309" s="73"/>
      <c r="G2309" s="73"/>
      <c r="H2309" s="73"/>
      <c r="I2309" s="95"/>
      <c r="J2309" s="73"/>
      <c r="K2309" s="95"/>
      <c r="L2309" s="95"/>
      <c r="M2309" s="22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</row>
    <row r="2310">
      <c r="A2310" s="26"/>
      <c r="B2310" s="73"/>
      <c r="C2310" s="73"/>
      <c r="D2310" s="95"/>
      <c r="E2310" s="73"/>
      <c r="F2310" s="73"/>
      <c r="G2310" s="73"/>
      <c r="H2310" s="73"/>
      <c r="I2310" s="95"/>
      <c r="J2310" s="73"/>
      <c r="K2310" s="95"/>
      <c r="L2310" s="95"/>
      <c r="M2310" s="22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</row>
    <row r="2311">
      <c r="A2311" s="26"/>
      <c r="B2311" s="73"/>
      <c r="C2311" s="73"/>
      <c r="D2311" s="95"/>
      <c r="E2311" s="73"/>
      <c r="F2311" s="73"/>
      <c r="G2311" s="73"/>
      <c r="H2311" s="73"/>
      <c r="I2311" s="95"/>
      <c r="J2311" s="73"/>
      <c r="K2311" s="95"/>
      <c r="L2311" s="95"/>
      <c r="M2311" s="22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</row>
    <row r="2312">
      <c r="A2312" s="26"/>
      <c r="B2312" s="73"/>
      <c r="C2312" s="73"/>
      <c r="D2312" s="95"/>
      <c r="E2312" s="73"/>
      <c r="F2312" s="73"/>
      <c r="G2312" s="73"/>
      <c r="H2312" s="73"/>
      <c r="I2312" s="95"/>
      <c r="J2312" s="73"/>
      <c r="K2312" s="95"/>
      <c r="L2312" s="95"/>
      <c r="M2312" s="22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</row>
    <row r="2313">
      <c r="A2313" s="26"/>
      <c r="B2313" s="73"/>
      <c r="C2313" s="73"/>
      <c r="D2313" s="95"/>
      <c r="E2313" s="73"/>
      <c r="F2313" s="73"/>
      <c r="G2313" s="73"/>
      <c r="H2313" s="73"/>
      <c r="I2313" s="95"/>
      <c r="J2313" s="73"/>
      <c r="K2313" s="95"/>
      <c r="L2313" s="95"/>
      <c r="M2313" s="22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</row>
    <row r="2314">
      <c r="A2314" s="26"/>
      <c r="B2314" s="73"/>
      <c r="C2314" s="73"/>
      <c r="D2314" s="95"/>
      <c r="E2314" s="73"/>
      <c r="F2314" s="73"/>
      <c r="G2314" s="73"/>
      <c r="H2314" s="73"/>
      <c r="I2314" s="95"/>
      <c r="J2314" s="73"/>
      <c r="K2314" s="95"/>
      <c r="L2314" s="95"/>
      <c r="M2314" s="22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</row>
    <row r="2315">
      <c r="A2315" s="26"/>
      <c r="B2315" s="73"/>
      <c r="C2315" s="73"/>
      <c r="D2315" s="95"/>
      <c r="E2315" s="73"/>
      <c r="F2315" s="73"/>
      <c r="G2315" s="73"/>
      <c r="H2315" s="73"/>
      <c r="I2315" s="95"/>
      <c r="J2315" s="73"/>
      <c r="K2315" s="95"/>
      <c r="L2315" s="95"/>
      <c r="M2315" s="22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</row>
    <row r="2316">
      <c r="A2316" s="26"/>
      <c r="B2316" s="73"/>
      <c r="C2316" s="73"/>
      <c r="D2316" s="95"/>
      <c r="E2316" s="73"/>
      <c r="F2316" s="73"/>
      <c r="G2316" s="73"/>
      <c r="H2316" s="73"/>
      <c r="I2316" s="95"/>
      <c r="J2316" s="73"/>
      <c r="K2316" s="95"/>
      <c r="L2316" s="95"/>
      <c r="M2316" s="22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</row>
    <row r="2317">
      <c r="A2317" s="26"/>
      <c r="B2317" s="73"/>
      <c r="C2317" s="73"/>
      <c r="D2317" s="95"/>
      <c r="E2317" s="73"/>
      <c r="F2317" s="73"/>
      <c r="G2317" s="73"/>
      <c r="H2317" s="73"/>
      <c r="I2317" s="95"/>
      <c r="J2317" s="73"/>
      <c r="K2317" s="95"/>
      <c r="L2317" s="95"/>
      <c r="M2317" s="22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</row>
    <row r="2318">
      <c r="A2318" s="26"/>
      <c r="B2318" s="73"/>
      <c r="C2318" s="73"/>
      <c r="D2318" s="95"/>
      <c r="E2318" s="73"/>
      <c r="F2318" s="73"/>
      <c r="G2318" s="73"/>
      <c r="H2318" s="73"/>
      <c r="I2318" s="95"/>
      <c r="J2318" s="73"/>
      <c r="K2318" s="95"/>
      <c r="L2318" s="95"/>
      <c r="M2318" s="22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</row>
    <row r="2319">
      <c r="A2319" s="26"/>
      <c r="B2319" s="73"/>
      <c r="C2319" s="73"/>
      <c r="D2319" s="95"/>
      <c r="E2319" s="73"/>
      <c r="F2319" s="73"/>
      <c r="G2319" s="73"/>
      <c r="H2319" s="73"/>
      <c r="I2319" s="95"/>
      <c r="J2319" s="73"/>
      <c r="K2319" s="95"/>
      <c r="L2319" s="95"/>
      <c r="M2319" s="22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</row>
    <row r="2320">
      <c r="A2320" s="26"/>
      <c r="B2320" s="73"/>
      <c r="C2320" s="73"/>
      <c r="D2320" s="95"/>
      <c r="E2320" s="73"/>
      <c r="F2320" s="73"/>
      <c r="G2320" s="73"/>
      <c r="H2320" s="73"/>
      <c r="I2320" s="95"/>
      <c r="J2320" s="73"/>
      <c r="K2320" s="95"/>
      <c r="L2320" s="95"/>
      <c r="M2320" s="22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</row>
    <row r="2321">
      <c r="A2321" s="26"/>
      <c r="B2321" s="73"/>
      <c r="C2321" s="73"/>
      <c r="D2321" s="95"/>
      <c r="E2321" s="73"/>
      <c r="F2321" s="73"/>
      <c r="G2321" s="73"/>
      <c r="H2321" s="73"/>
      <c r="I2321" s="95"/>
      <c r="J2321" s="73"/>
      <c r="K2321" s="95"/>
      <c r="L2321" s="95"/>
      <c r="M2321" s="22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</row>
    <row r="2322">
      <c r="A2322" s="26"/>
      <c r="B2322" s="73"/>
      <c r="C2322" s="73"/>
      <c r="D2322" s="95"/>
      <c r="E2322" s="73"/>
      <c r="F2322" s="73"/>
      <c r="G2322" s="73"/>
      <c r="H2322" s="73"/>
      <c r="I2322" s="95"/>
      <c r="J2322" s="73"/>
      <c r="K2322" s="95"/>
      <c r="L2322" s="95"/>
      <c r="M2322" s="22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</row>
    <row r="2323">
      <c r="A2323" s="26"/>
      <c r="B2323" s="73"/>
      <c r="C2323" s="73"/>
      <c r="D2323" s="95"/>
      <c r="E2323" s="73"/>
      <c r="F2323" s="73"/>
      <c r="G2323" s="73"/>
      <c r="H2323" s="73"/>
      <c r="I2323" s="95"/>
      <c r="J2323" s="73"/>
      <c r="K2323" s="95"/>
      <c r="L2323" s="95"/>
      <c r="M2323" s="22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</row>
    <row r="2324">
      <c r="A2324" s="26"/>
      <c r="B2324" s="73"/>
      <c r="C2324" s="73"/>
      <c r="D2324" s="95"/>
      <c r="E2324" s="73"/>
      <c r="F2324" s="73"/>
      <c r="G2324" s="73"/>
      <c r="H2324" s="73"/>
      <c r="I2324" s="95"/>
      <c r="J2324" s="73"/>
      <c r="K2324" s="95"/>
      <c r="L2324" s="95"/>
      <c r="M2324" s="22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</row>
    <row r="2325">
      <c r="A2325" s="26"/>
      <c r="B2325" s="73"/>
      <c r="C2325" s="73"/>
      <c r="D2325" s="95"/>
      <c r="E2325" s="73"/>
      <c r="F2325" s="73"/>
      <c r="G2325" s="73"/>
      <c r="H2325" s="73"/>
      <c r="I2325" s="95"/>
      <c r="J2325" s="73"/>
      <c r="K2325" s="95"/>
      <c r="L2325" s="95"/>
      <c r="M2325" s="22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</row>
    <row r="2326">
      <c r="A2326" s="26"/>
      <c r="B2326" s="73"/>
      <c r="C2326" s="73"/>
      <c r="D2326" s="95"/>
      <c r="E2326" s="73"/>
      <c r="F2326" s="73"/>
      <c r="G2326" s="73"/>
      <c r="H2326" s="73"/>
      <c r="I2326" s="95"/>
      <c r="J2326" s="73"/>
      <c r="K2326" s="95"/>
      <c r="L2326" s="95"/>
      <c r="M2326" s="22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</row>
    <row r="2327">
      <c r="A2327" s="26"/>
      <c r="B2327" s="73"/>
      <c r="C2327" s="73"/>
      <c r="D2327" s="95"/>
      <c r="E2327" s="73"/>
      <c r="F2327" s="73"/>
      <c r="G2327" s="73"/>
      <c r="H2327" s="73"/>
      <c r="I2327" s="95"/>
      <c r="J2327" s="73"/>
      <c r="K2327" s="95"/>
      <c r="L2327" s="95"/>
      <c r="M2327" s="22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</row>
    <row r="2328">
      <c r="A2328" s="26"/>
      <c r="B2328" s="73"/>
      <c r="C2328" s="73"/>
      <c r="D2328" s="95"/>
      <c r="E2328" s="73"/>
      <c r="F2328" s="73"/>
      <c r="G2328" s="73"/>
      <c r="H2328" s="73"/>
      <c r="I2328" s="95"/>
      <c r="J2328" s="73"/>
      <c r="K2328" s="95"/>
      <c r="L2328" s="95"/>
      <c r="M2328" s="22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</row>
    <row r="2329">
      <c r="A2329" s="26"/>
      <c r="B2329" s="73"/>
      <c r="C2329" s="73"/>
      <c r="D2329" s="95"/>
      <c r="E2329" s="73"/>
      <c r="F2329" s="73"/>
      <c r="G2329" s="73"/>
      <c r="H2329" s="73"/>
      <c r="I2329" s="95"/>
      <c r="J2329" s="73"/>
      <c r="K2329" s="95"/>
      <c r="L2329" s="95"/>
      <c r="M2329" s="22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</row>
    <row r="2330">
      <c r="A2330" s="26"/>
      <c r="B2330" s="73"/>
      <c r="C2330" s="73"/>
      <c r="D2330" s="95"/>
      <c r="E2330" s="73"/>
      <c r="F2330" s="73"/>
      <c r="G2330" s="73"/>
      <c r="H2330" s="73"/>
      <c r="I2330" s="95"/>
      <c r="J2330" s="73"/>
      <c r="K2330" s="95"/>
      <c r="L2330" s="95"/>
      <c r="M2330" s="22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</row>
    <row r="2331">
      <c r="A2331" s="26"/>
      <c r="B2331" s="73"/>
      <c r="C2331" s="73"/>
      <c r="D2331" s="95"/>
      <c r="E2331" s="73"/>
      <c r="F2331" s="73"/>
      <c r="G2331" s="73"/>
      <c r="H2331" s="73"/>
      <c r="I2331" s="95"/>
      <c r="J2331" s="73"/>
      <c r="K2331" s="95"/>
      <c r="L2331" s="95"/>
      <c r="M2331" s="22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</row>
    <row r="2332">
      <c r="A2332" s="26"/>
      <c r="B2332" s="73"/>
      <c r="C2332" s="73"/>
      <c r="D2332" s="95"/>
      <c r="E2332" s="73"/>
      <c r="F2332" s="73"/>
      <c r="G2332" s="73"/>
      <c r="H2332" s="73"/>
      <c r="I2332" s="95"/>
      <c r="J2332" s="73"/>
      <c r="K2332" s="95"/>
      <c r="L2332" s="95"/>
      <c r="M2332" s="22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</row>
    <row r="2333">
      <c r="A2333" s="26"/>
      <c r="B2333" s="73"/>
      <c r="C2333" s="73"/>
      <c r="D2333" s="95"/>
      <c r="E2333" s="73"/>
      <c r="F2333" s="73"/>
      <c r="G2333" s="73"/>
      <c r="H2333" s="73"/>
      <c r="I2333" s="95"/>
      <c r="J2333" s="73"/>
      <c r="K2333" s="95"/>
      <c r="L2333" s="95"/>
      <c r="M2333" s="22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</row>
    <row r="2334">
      <c r="A2334" s="26"/>
      <c r="B2334" s="73"/>
      <c r="C2334" s="73"/>
      <c r="D2334" s="95"/>
      <c r="E2334" s="73"/>
      <c r="F2334" s="73"/>
      <c r="G2334" s="73"/>
      <c r="H2334" s="73"/>
      <c r="I2334" s="95"/>
      <c r="J2334" s="73"/>
      <c r="K2334" s="95"/>
      <c r="L2334" s="95"/>
      <c r="M2334" s="22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</row>
    <row r="2335">
      <c r="A2335" s="26"/>
      <c r="B2335" s="73"/>
      <c r="C2335" s="73"/>
      <c r="D2335" s="95"/>
      <c r="E2335" s="73"/>
      <c r="F2335" s="73"/>
      <c r="G2335" s="73"/>
      <c r="H2335" s="73"/>
      <c r="I2335" s="95"/>
      <c r="J2335" s="73"/>
      <c r="K2335" s="95"/>
      <c r="L2335" s="95"/>
      <c r="M2335" s="22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</row>
    <row r="2336">
      <c r="A2336" s="26"/>
      <c r="B2336" s="73"/>
      <c r="C2336" s="73"/>
      <c r="D2336" s="95"/>
      <c r="E2336" s="73"/>
      <c r="F2336" s="73"/>
      <c r="G2336" s="73"/>
      <c r="H2336" s="73"/>
      <c r="I2336" s="95"/>
      <c r="J2336" s="73"/>
      <c r="K2336" s="95"/>
      <c r="L2336" s="95"/>
      <c r="M2336" s="22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</row>
    <row r="2337">
      <c r="A2337" s="26"/>
      <c r="B2337" s="73"/>
      <c r="C2337" s="73"/>
      <c r="D2337" s="95"/>
      <c r="E2337" s="73"/>
      <c r="F2337" s="73"/>
      <c r="G2337" s="73"/>
      <c r="H2337" s="73"/>
      <c r="I2337" s="95"/>
      <c r="J2337" s="73"/>
      <c r="K2337" s="95"/>
      <c r="L2337" s="95"/>
      <c r="M2337" s="22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</row>
    <row r="2338">
      <c r="A2338" s="26"/>
      <c r="B2338" s="73"/>
      <c r="C2338" s="73"/>
      <c r="D2338" s="95"/>
      <c r="E2338" s="73"/>
      <c r="F2338" s="73"/>
      <c r="G2338" s="73"/>
      <c r="H2338" s="73"/>
      <c r="I2338" s="95"/>
      <c r="J2338" s="73"/>
      <c r="K2338" s="95"/>
      <c r="L2338" s="95"/>
      <c r="M2338" s="22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</row>
    <row r="2339">
      <c r="A2339" s="26"/>
      <c r="B2339" s="73"/>
      <c r="C2339" s="73"/>
      <c r="D2339" s="95"/>
      <c r="E2339" s="73"/>
      <c r="F2339" s="73"/>
      <c r="G2339" s="73"/>
      <c r="H2339" s="73"/>
      <c r="I2339" s="95"/>
      <c r="J2339" s="73"/>
      <c r="K2339" s="95"/>
      <c r="L2339" s="95"/>
      <c r="M2339" s="22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</row>
    <row r="2340">
      <c r="A2340" s="26"/>
      <c r="B2340" s="73"/>
      <c r="C2340" s="73"/>
      <c r="D2340" s="95"/>
      <c r="E2340" s="73"/>
      <c r="F2340" s="73"/>
      <c r="G2340" s="73"/>
      <c r="H2340" s="73"/>
      <c r="I2340" s="95"/>
      <c r="J2340" s="73"/>
      <c r="K2340" s="95"/>
      <c r="L2340" s="95"/>
      <c r="M2340" s="22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</row>
    <row r="2341">
      <c r="A2341" s="26"/>
      <c r="B2341" s="73"/>
      <c r="C2341" s="73"/>
      <c r="D2341" s="95"/>
      <c r="E2341" s="73"/>
      <c r="F2341" s="73"/>
      <c r="G2341" s="73"/>
      <c r="H2341" s="73"/>
      <c r="I2341" s="95"/>
      <c r="J2341" s="73"/>
      <c r="K2341" s="95"/>
      <c r="L2341" s="95"/>
      <c r="M2341" s="22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</row>
    <row r="2342">
      <c r="A2342" s="26"/>
      <c r="B2342" s="73"/>
      <c r="C2342" s="73"/>
      <c r="D2342" s="95"/>
      <c r="E2342" s="73"/>
      <c r="F2342" s="73"/>
      <c r="G2342" s="73"/>
      <c r="H2342" s="73"/>
      <c r="I2342" s="95"/>
      <c r="J2342" s="73"/>
      <c r="K2342" s="95"/>
      <c r="L2342" s="95"/>
      <c r="M2342" s="22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</row>
    <row r="2343">
      <c r="A2343" s="26"/>
      <c r="B2343" s="73"/>
      <c r="C2343" s="73"/>
      <c r="D2343" s="95"/>
      <c r="E2343" s="73"/>
      <c r="F2343" s="73"/>
      <c r="G2343" s="73"/>
      <c r="H2343" s="73"/>
      <c r="I2343" s="95"/>
      <c r="J2343" s="73"/>
      <c r="K2343" s="95"/>
      <c r="L2343" s="95"/>
      <c r="M2343" s="22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</row>
    <row r="2344">
      <c r="A2344" s="26"/>
      <c r="B2344" s="73"/>
      <c r="C2344" s="73"/>
      <c r="D2344" s="95"/>
      <c r="E2344" s="73"/>
      <c r="F2344" s="73"/>
      <c r="G2344" s="73"/>
      <c r="H2344" s="73"/>
      <c r="I2344" s="95"/>
      <c r="J2344" s="73"/>
      <c r="K2344" s="95"/>
      <c r="L2344" s="95"/>
      <c r="M2344" s="22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</row>
    <row r="2345">
      <c r="A2345" s="26"/>
      <c r="B2345" s="73"/>
      <c r="C2345" s="73"/>
      <c r="D2345" s="95"/>
      <c r="E2345" s="73"/>
      <c r="F2345" s="73"/>
      <c r="G2345" s="73"/>
      <c r="H2345" s="73"/>
      <c r="I2345" s="95"/>
      <c r="J2345" s="73"/>
      <c r="K2345" s="95"/>
      <c r="L2345" s="95"/>
      <c r="M2345" s="22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</row>
    <row r="2346">
      <c r="A2346" s="26"/>
      <c r="B2346" s="73"/>
      <c r="C2346" s="73"/>
      <c r="D2346" s="95"/>
      <c r="E2346" s="73"/>
      <c r="F2346" s="73"/>
      <c r="G2346" s="73"/>
      <c r="H2346" s="73"/>
      <c r="I2346" s="95"/>
      <c r="J2346" s="73"/>
      <c r="K2346" s="95"/>
      <c r="L2346" s="95"/>
      <c r="M2346" s="22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</row>
    <row r="2347">
      <c r="A2347" s="26"/>
      <c r="B2347" s="73"/>
      <c r="C2347" s="73"/>
      <c r="D2347" s="95"/>
      <c r="E2347" s="73"/>
      <c r="F2347" s="73"/>
      <c r="G2347" s="73"/>
      <c r="H2347" s="73"/>
      <c r="I2347" s="95"/>
      <c r="J2347" s="73"/>
      <c r="K2347" s="95"/>
      <c r="L2347" s="95"/>
      <c r="M2347" s="22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</row>
    <row r="2348">
      <c r="A2348" s="26"/>
      <c r="B2348" s="73"/>
      <c r="C2348" s="73"/>
      <c r="D2348" s="95"/>
      <c r="E2348" s="73"/>
      <c r="F2348" s="73"/>
      <c r="G2348" s="73"/>
      <c r="H2348" s="73"/>
      <c r="I2348" s="95"/>
      <c r="J2348" s="73"/>
      <c r="K2348" s="95"/>
      <c r="L2348" s="95"/>
      <c r="M2348" s="22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</row>
    <row r="2349">
      <c r="A2349" s="26"/>
      <c r="B2349" s="73"/>
      <c r="C2349" s="73"/>
      <c r="D2349" s="95"/>
      <c r="E2349" s="73"/>
      <c r="F2349" s="73"/>
      <c r="G2349" s="73"/>
      <c r="H2349" s="73"/>
      <c r="I2349" s="95"/>
      <c r="J2349" s="73"/>
      <c r="K2349" s="95"/>
      <c r="L2349" s="95"/>
      <c r="M2349" s="22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</row>
    <row r="2350">
      <c r="A2350" s="26"/>
      <c r="B2350" s="73"/>
      <c r="C2350" s="73"/>
      <c r="D2350" s="95"/>
      <c r="E2350" s="73"/>
      <c r="F2350" s="73"/>
      <c r="G2350" s="73"/>
      <c r="H2350" s="73"/>
      <c r="I2350" s="95"/>
      <c r="J2350" s="73"/>
      <c r="K2350" s="95"/>
      <c r="L2350" s="95"/>
      <c r="M2350" s="22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</row>
    <row r="2351">
      <c r="A2351" s="26"/>
      <c r="B2351" s="73"/>
      <c r="C2351" s="73"/>
      <c r="D2351" s="95"/>
      <c r="E2351" s="73"/>
      <c r="F2351" s="73"/>
      <c r="G2351" s="73"/>
      <c r="H2351" s="73"/>
      <c r="I2351" s="95"/>
      <c r="J2351" s="73"/>
      <c r="K2351" s="95"/>
      <c r="L2351" s="95"/>
      <c r="M2351" s="22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</row>
    <row r="2352">
      <c r="A2352" s="26"/>
      <c r="B2352" s="73"/>
      <c r="C2352" s="73"/>
      <c r="D2352" s="95"/>
      <c r="E2352" s="73"/>
      <c r="F2352" s="73"/>
      <c r="G2352" s="73"/>
      <c r="H2352" s="73"/>
      <c r="I2352" s="95"/>
      <c r="J2352" s="73"/>
      <c r="K2352" s="95"/>
      <c r="L2352" s="95"/>
      <c r="M2352" s="22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</row>
    <row r="2353">
      <c r="A2353" s="26"/>
      <c r="B2353" s="73"/>
      <c r="C2353" s="73"/>
      <c r="D2353" s="95"/>
      <c r="E2353" s="73"/>
      <c r="F2353" s="73"/>
      <c r="G2353" s="73"/>
      <c r="H2353" s="73"/>
      <c r="I2353" s="95"/>
      <c r="J2353" s="73"/>
      <c r="K2353" s="95"/>
      <c r="L2353" s="95"/>
      <c r="M2353" s="22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</row>
    <row r="2354">
      <c r="A2354" s="26"/>
      <c r="B2354" s="73"/>
      <c r="C2354" s="73"/>
      <c r="D2354" s="95"/>
      <c r="E2354" s="73"/>
      <c r="F2354" s="73"/>
      <c r="G2354" s="73"/>
      <c r="H2354" s="73"/>
      <c r="I2354" s="95"/>
      <c r="J2354" s="73"/>
      <c r="K2354" s="95"/>
      <c r="L2354" s="95"/>
      <c r="M2354" s="22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</row>
    <row r="2355">
      <c r="A2355" s="26"/>
      <c r="B2355" s="73"/>
      <c r="C2355" s="73"/>
      <c r="D2355" s="95"/>
      <c r="E2355" s="73"/>
      <c r="F2355" s="73"/>
      <c r="G2355" s="73"/>
      <c r="H2355" s="73"/>
      <c r="I2355" s="95"/>
      <c r="J2355" s="73"/>
      <c r="K2355" s="95"/>
      <c r="L2355" s="95"/>
      <c r="M2355" s="22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</row>
    <row r="2356">
      <c r="A2356" s="26"/>
      <c r="B2356" s="73"/>
      <c r="C2356" s="73"/>
      <c r="D2356" s="95"/>
      <c r="E2356" s="73"/>
      <c r="F2356" s="73"/>
      <c r="G2356" s="73"/>
      <c r="H2356" s="73"/>
      <c r="I2356" s="95"/>
      <c r="J2356" s="73"/>
      <c r="K2356" s="95"/>
      <c r="L2356" s="95"/>
      <c r="M2356" s="22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</row>
    <row r="2357">
      <c r="A2357" s="26"/>
      <c r="B2357" s="73"/>
      <c r="C2357" s="73"/>
      <c r="D2357" s="95"/>
      <c r="E2357" s="73"/>
      <c r="F2357" s="73"/>
      <c r="G2357" s="73"/>
      <c r="H2357" s="73"/>
      <c r="I2357" s="95"/>
      <c r="J2357" s="73"/>
      <c r="K2357" s="95"/>
      <c r="L2357" s="95"/>
      <c r="M2357" s="22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</row>
    <row r="2358">
      <c r="A2358" s="26"/>
      <c r="B2358" s="73"/>
      <c r="C2358" s="73"/>
      <c r="D2358" s="95"/>
      <c r="E2358" s="73"/>
      <c r="F2358" s="73"/>
      <c r="G2358" s="73"/>
      <c r="H2358" s="73"/>
      <c r="I2358" s="95"/>
      <c r="J2358" s="73"/>
      <c r="K2358" s="95"/>
      <c r="L2358" s="95"/>
      <c r="M2358" s="22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</row>
    <row r="2359">
      <c r="A2359" s="26"/>
      <c r="B2359" s="73"/>
      <c r="C2359" s="73"/>
      <c r="D2359" s="95"/>
      <c r="E2359" s="73"/>
      <c r="F2359" s="73"/>
      <c r="G2359" s="73"/>
      <c r="H2359" s="73"/>
      <c r="I2359" s="95"/>
      <c r="J2359" s="73"/>
      <c r="K2359" s="95"/>
      <c r="L2359" s="95"/>
      <c r="M2359" s="22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</row>
    <row r="2360">
      <c r="A2360" s="26"/>
      <c r="B2360" s="73"/>
      <c r="C2360" s="73"/>
      <c r="D2360" s="95"/>
      <c r="E2360" s="73"/>
      <c r="F2360" s="73"/>
      <c r="G2360" s="73"/>
      <c r="H2360" s="73"/>
      <c r="I2360" s="95"/>
      <c r="J2360" s="73"/>
      <c r="K2360" s="95"/>
      <c r="L2360" s="95"/>
      <c r="M2360" s="22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</row>
    <row r="2361">
      <c r="A2361" s="26"/>
      <c r="B2361" s="73"/>
      <c r="C2361" s="73"/>
      <c r="D2361" s="95"/>
      <c r="E2361" s="73"/>
      <c r="F2361" s="73"/>
      <c r="G2361" s="73"/>
      <c r="H2361" s="73"/>
      <c r="I2361" s="95"/>
      <c r="J2361" s="73"/>
      <c r="K2361" s="95"/>
      <c r="L2361" s="95"/>
      <c r="M2361" s="22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</row>
    <row r="2362">
      <c r="A2362" s="26"/>
      <c r="B2362" s="73"/>
      <c r="C2362" s="73"/>
      <c r="D2362" s="95"/>
      <c r="E2362" s="73"/>
      <c r="F2362" s="73"/>
      <c r="G2362" s="73"/>
      <c r="H2362" s="73"/>
      <c r="I2362" s="95"/>
      <c r="J2362" s="73"/>
      <c r="K2362" s="95"/>
      <c r="L2362" s="95"/>
      <c r="M2362" s="22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</row>
    <row r="2363">
      <c r="A2363" s="26"/>
      <c r="B2363" s="73"/>
      <c r="C2363" s="73"/>
      <c r="D2363" s="95"/>
      <c r="E2363" s="73"/>
      <c r="F2363" s="73"/>
      <c r="G2363" s="73"/>
      <c r="H2363" s="73"/>
      <c r="I2363" s="95"/>
      <c r="J2363" s="73"/>
      <c r="K2363" s="95"/>
      <c r="L2363" s="95"/>
      <c r="M2363" s="22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</row>
    <row r="2364">
      <c r="A2364" s="26"/>
      <c r="B2364" s="73"/>
      <c r="C2364" s="73"/>
      <c r="D2364" s="95"/>
      <c r="E2364" s="73"/>
      <c r="F2364" s="73"/>
      <c r="G2364" s="73"/>
      <c r="H2364" s="73"/>
      <c r="I2364" s="95"/>
      <c r="J2364" s="73"/>
      <c r="K2364" s="95"/>
      <c r="L2364" s="95"/>
      <c r="M2364" s="22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</row>
    <row r="2365">
      <c r="A2365" s="26"/>
      <c r="B2365" s="73"/>
      <c r="C2365" s="73"/>
      <c r="D2365" s="95"/>
      <c r="E2365" s="73"/>
      <c r="F2365" s="73"/>
      <c r="G2365" s="73"/>
      <c r="H2365" s="73"/>
      <c r="I2365" s="95"/>
      <c r="J2365" s="73"/>
      <c r="K2365" s="95"/>
      <c r="L2365" s="95"/>
      <c r="M2365" s="22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</row>
    <row r="2366">
      <c r="A2366" s="26"/>
      <c r="B2366" s="73"/>
      <c r="C2366" s="73"/>
      <c r="D2366" s="95"/>
      <c r="E2366" s="73"/>
      <c r="F2366" s="73"/>
      <c r="G2366" s="73"/>
      <c r="H2366" s="73"/>
      <c r="I2366" s="95"/>
      <c r="J2366" s="73"/>
      <c r="K2366" s="95"/>
      <c r="L2366" s="95"/>
      <c r="M2366" s="22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</row>
    <row r="2367">
      <c r="A2367" s="26"/>
      <c r="B2367" s="73"/>
      <c r="C2367" s="73"/>
      <c r="D2367" s="95"/>
      <c r="E2367" s="73"/>
      <c r="F2367" s="73"/>
      <c r="G2367" s="73"/>
      <c r="H2367" s="73"/>
      <c r="I2367" s="95"/>
      <c r="J2367" s="73"/>
      <c r="K2367" s="95"/>
      <c r="L2367" s="95"/>
      <c r="M2367" s="22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</row>
    <row r="2368">
      <c r="A2368" s="26"/>
      <c r="B2368" s="73"/>
      <c r="C2368" s="73"/>
      <c r="D2368" s="95"/>
      <c r="E2368" s="73"/>
      <c r="F2368" s="73"/>
      <c r="G2368" s="73"/>
      <c r="H2368" s="73"/>
      <c r="I2368" s="95"/>
      <c r="J2368" s="73"/>
      <c r="K2368" s="95"/>
      <c r="L2368" s="95"/>
      <c r="M2368" s="22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</row>
    <row r="2369">
      <c r="A2369" s="26"/>
      <c r="B2369" s="73"/>
      <c r="C2369" s="73"/>
      <c r="D2369" s="95"/>
      <c r="E2369" s="73"/>
      <c r="F2369" s="73"/>
      <c r="G2369" s="73"/>
      <c r="H2369" s="73"/>
      <c r="I2369" s="95"/>
      <c r="J2369" s="73"/>
      <c r="K2369" s="95"/>
      <c r="L2369" s="95"/>
      <c r="M2369" s="22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</row>
    <row r="2370">
      <c r="A2370" s="26"/>
      <c r="B2370" s="73"/>
      <c r="C2370" s="73"/>
      <c r="D2370" s="95"/>
      <c r="E2370" s="73"/>
      <c r="F2370" s="73"/>
      <c r="G2370" s="73"/>
      <c r="H2370" s="73"/>
      <c r="I2370" s="95"/>
      <c r="J2370" s="73"/>
      <c r="K2370" s="95"/>
      <c r="L2370" s="95"/>
      <c r="M2370" s="22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</row>
    <row r="2371">
      <c r="A2371" s="26"/>
      <c r="B2371" s="73"/>
      <c r="C2371" s="73"/>
      <c r="D2371" s="95"/>
      <c r="E2371" s="73"/>
      <c r="F2371" s="73"/>
      <c r="G2371" s="73"/>
      <c r="H2371" s="73"/>
      <c r="I2371" s="95"/>
      <c r="J2371" s="73"/>
      <c r="K2371" s="95"/>
      <c r="L2371" s="95"/>
      <c r="M2371" s="22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</row>
    <row r="2372">
      <c r="A2372" s="26"/>
      <c r="B2372" s="73"/>
      <c r="C2372" s="73"/>
      <c r="D2372" s="95"/>
      <c r="E2372" s="73"/>
      <c r="F2372" s="73"/>
      <c r="G2372" s="73"/>
      <c r="H2372" s="73"/>
      <c r="I2372" s="95"/>
      <c r="J2372" s="73"/>
      <c r="K2372" s="95"/>
      <c r="L2372" s="95"/>
      <c r="M2372" s="22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</row>
    <row r="2373">
      <c r="A2373" s="26"/>
      <c r="B2373" s="73"/>
      <c r="C2373" s="73"/>
      <c r="D2373" s="95"/>
      <c r="E2373" s="73"/>
      <c r="F2373" s="73"/>
      <c r="G2373" s="73"/>
      <c r="H2373" s="73"/>
      <c r="I2373" s="95"/>
      <c r="J2373" s="73"/>
      <c r="K2373" s="95"/>
      <c r="L2373" s="95"/>
      <c r="M2373" s="22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</row>
    <row r="2374">
      <c r="A2374" s="26"/>
      <c r="B2374" s="73"/>
      <c r="C2374" s="73"/>
      <c r="D2374" s="95"/>
      <c r="E2374" s="73"/>
      <c r="F2374" s="73"/>
      <c r="G2374" s="73"/>
      <c r="H2374" s="73"/>
      <c r="I2374" s="95"/>
      <c r="J2374" s="73"/>
      <c r="K2374" s="95"/>
      <c r="L2374" s="95"/>
      <c r="M2374" s="22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</row>
    <row r="2375">
      <c r="A2375" s="26"/>
      <c r="B2375" s="73"/>
      <c r="C2375" s="73"/>
      <c r="D2375" s="95"/>
      <c r="E2375" s="73"/>
      <c r="F2375" s="73"/>
      <c r="G2375" s="73"/>
      <c r="H2375" s="73"/>
      <c r="I2375" s="95"/>
      <c r="J2375" s="73"/>
      <c r="K2375" s="95"/>
      <c r="L2375" s="95"/>
      <c r="M2375" s="22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</row>
    <row r="2376">
      <c r="A2376" s="26"/>
      <c r="B2376" s="73"/>
      <c r="C2376" s="73"/>
      <c r="D2376" s="95"/>
      <c r="E2376" s="73"/>
      <c r="F2376" s="73"/>
      <c r="G2376" s="73"/>
      <c r="H2376" s="73"/>
      <c r="I2376" s="95"/>
      <c r="J2376" s="73"/>
      <c r="K2376" s="95"/>
      <c r="L2376" s="95"/>
      <c r="M2376" s="22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</row>
    <row r="2377">
      <c r="A2377" s="26"/>
      <c r="B2377" s="73"/>
      <c r="C2377" s="73"/>
      <c r="D2377" s="95"/>
      <c r="E2377" s="73"/>
      <c r="F2377" s="73"/>
      <c r="G2377" s="73"/>
      <c r="H2377" s="73"/>
      <c r="I2377" s="95"/>
      <c r="J2377" s="73"/>
      <c r="K2377" s="95"/>
      <c r="L2377" s="95"/>
      <c r="M2377" s="22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</row>
    <row r="2378">
      <c r="A2378" s="26"/>
      <c r="B2378" s="73"/>
      <c r="C2378" s="73"/>
      <c r="D2378" s="95"/>
      <c r="E2378" s="73"/>
      <c r="F2378" s="73"/>
      <c r="G2378" s="73"/>
      <c r="H2378" s="73"/>
      <c r="I2378" s="95"/>
      <c r="J2378" s="73"/>
      <c r="K2378" s="95"/>
      <c r="L2378" s="95"/>
      <c r="M2378" s="22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</row>
    <row r="2379">
      <c r="A2379" s="26"/>
      <c r="B2379" s="73"/>
      <c r="C2379" s="73"/>
      <c r="D2379" s="95"/>
      <c r="E2379" s="73"/>
      <c r="F2379" s="73"/>
      <c r="G2379" s="73"/>
      <c r="H2379" s="73"/>
      <c r="I2379" s="95"/>
      <c r="J2379" s="73"/>
      <c r="K2379" s="95"/>
      <c r="L2379" s="95"/>
      <c r="M2379" s="22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</row>
    <row r="2380">
      <c r="A2380" s="26"/>
      <c r="B2380" s="73"/>
      <c r="C2380" s="73"/>
      <c r="D2380" s="95"/>
      <c r="E2380" s="73"/>
      <c r="F2380" s="73"/>
      <c r="G2380" s="73"/>
      <c r="H2380" s="73"/>
      <c r="I2380" s="95"/>
      <c r="J2380" s="73"/>
      <c r="K2380" s="95"/>
      <c r="L2380" s="95"/>
      <c r="M2380" s="22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</row>
    <row r="2381">
      <c r="A2381" s="26"/>
      <c r="B2381" s="73"/>
      <c r="C2381" s="73"/>
      <c r="D2381" s="95"/>
      <c r="E2381" s="73"/>
      <c r="F2381" s="73"/>
      <c r="G2381" s="73"/>
      <c r="H2381" s="73"/>
      <c r="I2381" s="95"/>
      <c r="J2381" s="73"/>
      <c r="K2381" s="95"/>
      <c r="L2381" s="95"/>
      <c r="M2381" s="22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</row>
    <row r="2382">
      <c r="A2382" s="26"/>
      <c r="B2382" s="73"/>
      <c r="C2382" s="73"/>
      <c r="D2382" s="95"/>
      <c r="E2382" s="73"/>
      <c r="F2382" s="73"/>
      <c r="G2382" s="73"/>
      <c r="H2382" s="73"/>
      <c r="I2382" s="95"/>
      <c r="J2382" s="73"/>
      <c r="K2382" s="95"/>
      <c r="L2382" s="95"/>
      <c r="M2382" s="22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</row>
    <row r="2383">
      <c r="A2383" s="26"/>
      <c r="B2383" s="73"/>
      <c r="C2383" s="73"/>
      <c r="D2383" s="95"/>
      <c r="E2383" s="73"/>
      <c r="F2383" s="73"/>
      <c r="G2383" s="73"/>
      <c r="H2383" s="73"/>
      <c r="I2383" s="95"/>
      <c r="J2383" s="73"/>
      <c r="K2383" s="95"/>
      <c r="L2383" s="95"/>
      <c r="M2383" s="22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</row>
    <row r="2384">
      <c r="A2384" s="26"/>
      <c r="B2384" s="73"/>
      <c r="C2384" s="73"/>
      <c r="D2384" s="95"/>
      <c r="E2384" s="73"/>
      <c r="F2384" s="73"/>
      <c r="G2384" s="73"/>
      <c r="H2384" s="73"/>
      <c r="I2384" s="95"/>
      <c r="J2384" s="73"/>
      <c r="K2384" s="95"/>
      <c r="L2384" s="95"/>
      <c r="M2384" s="22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</row>
    <row r="2385">
      <c r="A2385" s="26"/>
      <c r="B2385" s="73"/>
      <c r="C2385" s="73"/>
      <c r="D2385" s="95"/>
      <c r="E2385" s="73"/>
      <c r="F2385" s="73"/>
      <c r="G2385" s="73"/>
      <c r="H2385" s="73"/>
      <c r="I2385" s="95"/>
      <c r="J2385" s="73"/>
      <c r="K2385" s="95"/>
      <c r="L2385" s="95"/>
      <c r="M2385" s="22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</row>
    <row r="2386">
      <c r="A2386" s="26"/>
      <c r="B2386" s="73"/>
      <c r="C2386" s="73"/>
      <c r="D2386" s="95"/>
      <c r="E2386" s="73"/>
      <c r="F2386" s="73"/>
      <c r="G2386" s="73"/>
      <c r="H2386" s="73"/>
      <c r="I2386" s="95"/>
      <c r="J2386" s="73"/>
      <c r="K2386" s="95"/>
      <c r="L2386" s="95"/>
      <c r="M2386" s="22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</row>
    <row r="2387">
      <c r="A2387" s="26"/>
      <c r="B2387" s="73"/>
      <c r="C2387" s="73"/>
      <c r="D2387" s="95"/>
      <c r="E2387" s="73"/>
      <c r="F2387" s="73"/>
      <c r="G2387" s="73"/>
      <c r="H2387" s="73"/>
      <c r="I2387" s="95"/>
      <c r="J2387" s="73"/>
      <c r="K2387" s="95"/>
      <c r="L2387" s="95"/>
      <c r="M2387" s="22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</row>
    <row r="2388">
      <c r="A2388" s="26"/>
      <c r="B2388" s="73"/>
      <c r="C2388" s="73"/>
      <c r="D2388" s="95"/>
      <c r="E2388" s="73"/>
      <c r="F2388" s="73"/>
      <c r="G2388" s="73"/>
      <c r="H2388" s="73"/>
      <c r="I2388" s="95"/>
      <c r="J2388" s="73"/>
      <c r="K2388" s="95"/>
      <c r="L2388" s="95"/>
      <c r="M2388" s="22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</row>
    <row r="2389">
      <c r="A2389" s="26"/>
      <c r="B2389" s="73"/>
      <c r="C2389" s="73"/>
      <c r="D2389" s="95"/>
      <c r="E2389" s="73"/>
      <c r="F2389" s="73"/>
      <c r="G2389" s="73"/>
      <c r="H2389" s="73"/>
      <c r="I2389" s="95"/>
      <c r="J2389" s="73"/>
      <c r="K2389" s="95"/>
      <c r="L2389" s="95"/>
      <c r="M2389" s="22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</row>
    <row r="2390">
      <c r="A2390" s="26"/>
      <c r="B2390" s="73"/>
      <c r="C2390" s="73"/>
      <c r="D2390" s="95"/>
      <c r="E2390" s="73"/>
      <c r="F2390" s="73"/>
      <c r="G2390" s="73"/>
      <c r="H2390" s="73"/>
      <c r="I2390" s="95"/>
      <c r="J2390" s="73"/>
      <c r="K2390" s="95"/>
      <c r="L2390" s="95"/>
      <c r="M2390" s="22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</row>
    <row r="2391">
      <c r="A2391" s="26"/>
      <c r="B2391" s="73"/>
      <c r="C2391" s="73"/>
      <c r="D2391" s="95"/>
      <c r="E2391" s="73"/>
      <c r="F2391" s="73"/>
      <c r="G2391" s="73"/>
      <c r="H2391" s="73"/>
      <c r="I2391" s="95"/>
      <c r="J2391" s="73"/>
      <c r="K2391" s="95"/>
      <c r="L2391" s="95"/>
      <c r="M2391" s="22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</row>
    <row r="2392">
      <c r="A2392" s="26"/>
      <c r="B2392" s="73"/>
      <c r="C2392" s="73"/>
      <c r="D2392" s="95"/>
      <c r="E2392" s="73"/>
      <c r="F2392" s="73"/>
      <c r="G2392" s="73"/>
      <c r="H2392" s="73"/>
      <c r="I2392" s="95"/>
      <c r="J2392" s="73"/>
      <c r="K2392" s="95"/>
      <c r="L2392" s="95"/>
      <c r="M2392" s="22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</row>
    <row r="2393">
      <c r="A2393" s="26"/>
      <c r="B2393" s="73"/>
      <c r="C2393" s="73"/>
      <c r="D2393" s="95"/>
      <c r="E2393" s="73"/>
      <c r="F2393" s="73"/>
      <c r="G2393" s="73"/>
      <c r="H2393" s="73"/>
      <c r="I2393" s="95"/>
      <c r="J2393" s="73"/>
      <c r="K2393" s="95"/>
      <c r="L2393" s="95"/>
      <c r="M2393" s="22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</row>
    <row r="2394">
      <c r="A2394" s="26"/>
      <c r="B2394" s="73"/>
      <c r="C2394" s="73"/>
      <c r="D2394" s="95"/>
      <c r="E2394" s="73"/>
      <c r="F2394" s="73"/>
      <c r="G2394" s="73"/>
      <c r="H2394" s="73"/>
      <c r="I2394" s="95"/>
      <c r="J2394" s="73"/>
      <c r="K2394" s="95"/>
      <c r="L2394" s="95"/>
      <c r="M2394" s="22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</row>
    <row r="2395">
      <c r="A2395" s="26"/>
      <c r="B2395" s="73"/>
      <c r="C2395" s="73"/>
      <c r="D2395" s="95"/>
      <c r="E2395" s="73"/>
      <c r="F2395" s="73"/>
      <c r="G2395" s="73"/>
      <c r="H2395" s="73"/>
      <c r="I2395" s="95"/>
      <c r="J2395" s="73"/>
      <c r="K2395" s="95"/>
      <c r="L2395" s="95"/>
      <c r="M2395" s="22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</row>
    <row r="2396">
      <c r="A2396" s="26"/>
      <c r="B2396" s="73"/>
      <c r="C2396" s="73"/>
      <c r="D2396" s="95"/>
      <c r="E2396" s="73"/>
      <c r="F2396" s="73"/>
      <c r="G2396" s="73"/>
      <c r="H2396" s="73"/>
      <c r="I2396" s="95"/>
      <c r="J2396" s="73"/>
      <c r="K2396" s="95"/>
      <c r="L2396" s="95"/>
      <c r="M2396" s="22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</row>
    <row r="2397">
      <c r="A2397" s="26"/>
      <c r="B2397" s="73"/>
      <c r="C2397" s="73"/>
      <c r="D2397" s="95"/>
      <c r="E2397" s="73"/>
      <c r="F2397" s="73"/>
      <c r="G2397" s="73"/>
      <c r="H2397" s="73"/>
      <c r="I2397" s="95"/>
      <c r="J2397" s="73"/>
      <c r="K2397" s="95"/>
      <c r="L2397" s="95"/>
      <c r="M2397" s="22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</row>
    <row r="2398">
      <c r="A2398" s="26"/>
      <c r="B2398" s="73"/>
      <c r="C2398" s="73"/>
      <c r="D2398" s="95"/>
      <c r="E2398" s="73"/>
      <c r="F2398" s="73"/>
      <c r="G2398" s="73"/>
      <c r="H2398" s="73"/>
      <c r="I2398" s="95"/>
      <c r="J2398" s="73"/>
      <c r="K2398" s="95"/>
      <c r="L2398" s="95"/>
      <c r="M2398" s="22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</row>
    <row r="2399">
      <c r="A2399" s="26"/>
      <c r="B2399" s="73"/>
      <c r="C2399" s="73"/>
      <c r="D2399" s="95"/>
      <c r="E2399" s="73"/>
      <c r="F2399" s="73"/>
      <c r="G2399" s="73"/>
      <c r="H2399" s="73"/>
      <c r="I2399" s="95"/>
      <c r="J2399" s="73"/>
      <c r="K2399" s="95"/>
      <c r="L2399" s="95"/>
      <c r="M2399" s="22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</row>
    <row r="2400">
      <c r="A2400" s="26"/>
      <c r="B2400" s="73"/>
      <c r="C2400" s="73"/>
      <c r="D2400" s="95"/>
      <c r="E2400" s="73"/>
      <c r="F2400" s="73"/>
      <c r="G2400" s="73"/>
      <c r="H2400" s="73"/>
      <c r="I2400" s="95"/>
      <c r="J2400" s="73"/>
      <c r="K2400" s="95"/>
      <c r="L2400" s="95"/>
      <c r="M2400" s="22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</row>
    <row r="2401">
      <c r="A2401" s="26"/>
      <c r="B2401" s="73"/>
      <c r="C2401" s="73"/>
      <c r="D2401" s="95"/>
      <c r="E2401" s="73"/>
      <c r="F2401" s="73"/>
      <c r="G2401" s="73"/>
      <c r="H2401" s="73"/>
      <c r="I2401" s="95"/>
      <c r="J2401" s="73"/>
      <c r="K2401" s="95"/>
      <c r="L2401" s="95"/>
      <c r="M2401" s="22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</row>
    <row r="2402">
      <c r="A2402" s="26"/>
      <c r="B2402" s="73"/>
      <c r="C2402" s="73"/>
      <c r="D2402" s="95"/>
      <c r="E2402" s="73"/>
      <c r="F2402" s="73"/>
      <c r="G2402" s="73"/>
      <c r="H2402" s="73"/>
      <c r="I2402" s="95"/>
      <c r="J2402" s="73"/>
      <c r="K2402" s="95"/>
      <c r="L2402" s="95"/>
      <c r="M2402" s="22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</row>
    <row r="2403">
      <c r="A2403" s="26"/>
      <c r="B2403" s="73"/>
      <c r="C2403" s="73"/>
      <c r="D2403" s="95"/>
      <c r="E2403" s="73"/>
      <c r="F2403" s="73"/>
      <c r="G2403" s="73"/>
      <c r="H2403" s="73"/>
      <c r="I2403" s="95"/>
      <c r="J2403" s="73"/>
      <c r="K2403" s="95"/>
      <c r="L2403" s="95"/>
      <c r="M2403" s="22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</row>
    <row r="2404">
      <c r="A2404" s="26"/>
      <c r="B2404" s="73"/>
      <c r="C2404" s="73"/>
      <c r="D2404" s="95"/>
      <c r="E2404" s="73"/>
      <c r="F2404" s="73"/>
      <c r="G2404" s="73"/>
      <c r="H2404" s="73"/>
      <c r="I2404" s="95"/>
      <c r="J2404" s="73"/>
      <c r="K2404" s="95"/>
      <c r="L2404" s="95"/>
      <c r="M2404" s="22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</row>
    <row r="2405">
      <c r="A2405" s="26"/>
      <c r="B2405" s="73"/>
      <c r="C2405" s="73"/>
      <c r="D2405" s="95"/>
      <c r="E2405" s="73"/>
      <c r="F2405" s="73"/>
      <c r="G2405" s="73"/>
      <c r="H2405" s="73"/>
      <c r="I2405" s="95"/>
      <c r="J2405" s="73"/>
      <c r="K2405" s="95"/>
      <c r="L2405" s="95"/>
      <c r="M2405" s="22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</row>
    <row r="2406">
      <c r="A2406" s="26"/>
      <c r="B2406" s="73"/>
      <c r="C2406" s="73"/>
      <c r="D2406" s="95"/>
      <c r="E2406" s="73"/>
      <c r="F2406" s="73"/>
      <c r="G2406" s="73"/>
      <c r="H2406" s="73"/>
      <c r="I2406" s="95"/>
      <c r="J2406" s="73"/>
      <c r="K2406" s="95"/>
      <c r="L2406" s="95"/>
      <c r="M2406" s="22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</row>
    <row r="2407">
      <c r="A2407" s="26"/>
      <c r="B2407" s="73"/>
      <c r="C2407" s="73"/>
      <c r="D2407" s="95"/>
      <c r="E2407" s="73"/>
      <c r="F2407" s="73"/>
      <c r="G2407" s="73"/>
      <c r="H2407" s="73"/>
      <c r="I2407" s="95"/>
      <c r="J2407" s="73"/>
      <c r="K2407" s="95"/>
      <c r="L2407" s="95"/>
      <c r="M2407" s="22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</row>
    <row r="2408">
      <c r="A2408" s="26"/>
      <c r="B2408" s="73"/>
      <c r="C2408" s="73"/>
      <c r="D2408" s="95"/>
      <c r="E2408" s="73"/>
      <c r="F2408" s="73"/>
      <c r="G2408" s="73"/>
      <c r="H2408" s="73"/>
      <c r="I2408" s="95"/>
      <c r="J2408" s="73"/>
      <c r="K2408" s="95"/>
      <c r="L2408" s="95"/>
      <c r="M2408" s="22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</row>
    <row r="2409">
      <c r="A2409" s="26"/>
      <c r="B2409" s="73"/>
      <c r="C2409" s="73"/>
      <c r="D2409" s="95"/>
      <c r="E2409" s="73"/>
      <c r="F2409" s="73"/>
      <c r="G2409" s="73"/>
      <c r="H2409" s="73"/>
      <c r="I2409" s="95"/>
      <c r="J2409" s="73"/>
      <c r="K2409" s="95"/>
      <c r="L2409" s="95"/>
      <c r="M2409" s="22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</row>
    <row r="2410">
      <c r="A2410" s="26"/>
      <c r="B2410" s="73"/>
      <c r="C2410" s="73"/>
      <c r="D2410" s="95"/>
      <c r="E2410" s="73"/>
      <c r="F2410" s="73"/>
      <c r="G2410" s="73"/>
      <c r="H2410" s="73"/>
      <c r="I2410" s="95"/>
      <c r="J2410" s="73"/>
      <c r="K2410" s="95"/>
      <c r="L2410" s="95"/>
      <c r="M2410" s="22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</row>
    <row r="2411">
      <c r="A2411" s="26"/>
      <c r="B2411" s="73"/>
      <c r="C2411" s="73"/>
      <c r="D2411" s="95"/>
      <c r="E2411" s="73"/>
      <c r="F2411" s="73"/>
      <c r="G2411" s="73"/>
      <c r="H2411" s="73"/>
      <c r="I2411" s="95"/>
      <c r="J2411" s="73"/>
      <c r="K2411" s="95"/>
      <c r="L2411" s="95"/>
      <c r="M2411" s="22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</row>
    <row r="2412">
      <c r="A2412" s="26"/>
      <c r="B2412" s="73"/>
      <c r="C2412" s="73"/>
      <c r="D2412" s="95"/>
      <c r="E2412" s="73"/>
      <c r="F2412" s="73"/>
      <c r="G2412" s="73"/>
      <c r="H2412" s="73"/>
      <c r="I2412" s="95"/>
      <c r="J2412" s="73"/>
      <c r="K2412" s="95"/>
      <c r="L2412" s="95"/>
      <c r="M2412" s="22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</row>
    <row r="2413">
      <c r="A2413" s="26"/>
      <c r="B2413" s="73"/>
      <c r="C2413" s="73"/>
      <c r="D2413" s="95"/>
      <c r="E2413" s="73"/>
      <c r="F2413" s="73"/>
      <c r="G2413" s="73"/>
      <c r="H2413" s="73"/>
      <c r="I2413" s="95"/>
      <c r="J2413" s="73"/>
      <c r="K2413" s="95"/>
      <c r="L2413" s="95"/>
      <c r="M2413" s="22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</row>
    <row r="2414">
      <c r="A2414" s="26"/>
      <c r="B2414" s="73"/>
      <c r="C2414" s="73"/>
      <c r="D2414" s="95"/>
      <c r="E2414" s="73"/>
      <c r="F2414" s="73"/>
      <c r="G2414" s="73"/>
      <c r="H2414" s="73"/>
      <c r="I2414" s="95"/>
      <c r="J2414" s="73"/>
      <c r="K2414" s="95"/>
      <c r="L2414" s="95"/>
      <c r="M2414" s="22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</row>
    <row r="2415">
      <c r="A2415" s="26"/>
      <c r="B2415" s="73"/>
      <c r="C2415" s="73"/>
      <c r="D2415" s="95"/>
      <c r="E2415" s="73"/>
      <c r="F2415" s="73"/>
      <c r="G2415" s="73"/>
      <c r="H2415" s="73"/>
      <c r="I2415" s="95"/>
      <c r="J2415" s="73"/>
      <c r="K2415" s="95"/>
      <c r="L2415" s="95"/>
      <c r="M2415" s="22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</row>
    <row r="2416">
      <c r="A2416" s="26"/>
      <c r="B2416" s="73"/>
      <c r="C2416" s="73"/>
      <c r="D2416" s="95"/>
      <c r="E2416" s="73"/>
      <c r="F2416" s="73"/>
      <c r="G2416" s="73"/>
      <c r="H2416" s="73"/>
      <c r="I2416" s="95"/>
      <c r="J2416" s="73"/>
      <c r="K2416" s="95"/>
      <c r="L2416" s="95"/>
      <c r="M2416" s="22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</row>
    <row r="2417">
      <c r="A2417" s="26"/>
      <c r="B2417" s="73"/>
      <c r="C2417" s="73"/>
      <c r="D2417" s="95"/>
      <c r="E2417" s="73"/>
      <c r="F2417" s="73"/>
      <c r="G2417" s="73"/>
      <c r="H2417" s="73"/>
      <c r="I2417" s="95"/>
      <c r="J2417" s="73"/>
      <c r="K2417" s="95"/>
      <c r="L2417" s="95"/>
      <c r="M2417" s="22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</row>
    <row r="2418">
      <c r="A2418" s="26"/>
      <c r="B2418" s="73"/>
      <c r="C2418" s="73"/>
      <c r="D2418" s="95"/>
      <c r="E2418" s="73"/>
      <c r="F2418" s="73"/>
      <c r="G2418" s="73"/>
      <c r="H2418" s="73"/>
      <c r="I2418" s="95"/>
      <c r="J2418" s="73"/>
      <c r="K2418" s="95"/>
      <c r="L2418" s="95"/>
      <c r="M2418" s="22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</row>
    <row r="2419">
      <c r="A2419" s="26"/>
      <c r="B2419" s="73"/>
      <c r="C2419" s="73"/>
      <c r="D2419" s="95"/>
      <c r="E2419" s="73"/>
      <c r="F2419" s="73"/>
      <c r="G2419" s="73"/>
      <c r="H2419" s="73"/>
      <c r="I2419" s="95"/>
      <c r="J2419" s="73"/>
      <c r="K2419" s="95"/>
      <c r="L2419" s="95"/>
      <c r="M2419" s="22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</row>
    <row r="2420">
      <c r="A2420" s="26"/>
      <c r="B2420" s="73"/>
      <c r="C2420" s="73"/>
      <c r="D2420" s="95"/>
      <c r="E2420" s="73"/>
      <c r="F2420" s="73"/>
      <c r="G2420" s="73"/>
      <c r="H2420" s="73"/>
      <c r="I2420" s="95"/>
      <c r="J2420" s="73"/>
      <c r="K2420" s="95"/>
      <c r="L2420" s="95"/>
      <c r="M2420" s="22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</row>
    <row r="2421">
      <c r="A2421" s="26"/>
      <c r="B2421" s="73"/>
      <c r="C2421" s="73"/>
      <c r="D2421" s="95"/>
      <c r="E2421" s="73"/>
      <c r="F2421" s="73"/>
      <c r="G2421" s="73"/>
      <c r="H2421" s="73"/>
      <c r="I2421" s="95"/>
      <c r="J2421" s="73"/>
      <c r="K2421" s="95"/>
      <c r="L2421" s="95"/>
      <c r="M2421" s="22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</row>
    <row r="2422">
      <c r="A2422" s="26"/>
      <c r="B2422" s="73"/>
      <c r="C2422" s="73"/>
      <c r="D2422" s="95"/>
      <c r="E2422" s="73"/>
      <c r="F2422" s="73"/>
      <c r="G2422" s="73"/>
      <c r="H2422" s="73"/>
      <c r="I2422" s="95"/>
      <c r="J2422" s="73"/>
      <c r="K2422" s="95"/>
      <c r="L2422" s="95"/>
      <c r="M2422" s="22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</row>
    <row r="2423">
      <c r="A2423" s="26"/>
      <c r="B2423" s="73"/>
      <c r="C2423" s="73"/>
      <c r="D2423" s="95"/>
      <c r="E2423" s="73"/>
      <c r="F2423" s="73"/>
      <c r="G2423" s="73"/>
      <c r="H2423" s="73"/>
      <c r="I2423" s="95"/>
      <c r="J2423" s="73"/>
      <c r="K2423" s="95"/>
      <c r="L2423" s="95"/>
      <c r="M2423" s="22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</row>
    <row r="2424">
      <c r="A2424" s="26"/>
      <c r="B2424" s="73"/>
      <c r="C2424" s="73"/>
      <c r="D2424" s="95"/>
      <c r="E2424" s="73"/>
      <c r="F2424" s="73"/>
      <c r="G2424" s="73"/>
      <c r="H2424" s="73"/>
      <c r="I2424" s="95"/>
      <c r="J2424" s="73"/>
      <c r="K2424" s="95"/>
      <c r="L2424" s="95"/>
      <c r="M2424" s="22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</row>
    <row r="2425">
      <c r="A2425" s="26"/>
      <c r="B2425" s="73"/>
      <c r="C2425" s="73"/>
      <c r="D2425" s="95"/>
      <c r="E2425" s="73"/>
      <c r="F2425" s="73"/>
      <c r="G2425" s="73"/>
      <c r="H2425" s="73"/>
      <c r="I2425" s="95"/>
      <c r="J2425" s="73"/>
      <c r="K2425" s="95"/>
      <c r="L2425" s="95"/>
      <c r="M2425" s="22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</row>
    <row r="2426">
      <c r="A2426" s="26"/>
      <c r="B2426" s="73"/>
      <c r="C2426" s="73"/>
      <c r="D2426" s="95"/>
      <c r="E2426" s="73"/>
      <c r="F2426" s="73"/>
      <c r="G2426" s="73"/>
      <c r="H2426" s="73"/>
      <c r="I2426" s="95"/>
      <c r="J2426" s="73"/>
      <c r="K2426" s="95"/>
      <c r="L2426" s="95"/>
      <c r="M2426" s="22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</row>
    <row r="2427">
      <c r="A2427" s="26"/>
      <c r="B2427" s="73"/>
      <c r="C2427" s="73"/>
      <c r="D2427" s="95"/>
      <c r="E2427" s="73"/>
      <c r="F2427" s="73"/>
      <c r="G2427" s="73"/>
      <c r="H2427" s="73"/>
      <c r="I2427" s="95"/>
      <c r="J2427" s="73"/>
      <c r="K2427" s="95"/>
      <c r="L2427" s="95"/>
      <c r="M2427" s="22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</row>
    <row r="2428">
      <c r="A2428" s="26"/>
      <c r="B2428" s="73"/>
      <c r="C2428" s="73"/>
      <c r="D2428" s="95"/>
      <c r="E2428" s="73"/>
      <c r="F2428" s="73"/>
      <c r="G2428" s="73"/>
      <c r="H2428" s="73"/>
      <c r="I2428" s="95"/>
      <c r="J2428" s="73"/>
      <c r="K2428" s="95"/>
      <c r="L2428" s="95"/>
      <c r="M2428" s="22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</row>
    <row r="2429">
      <c r="A2429" s="26"/>
      <c r="B2429" s="73"/>
      <c r="C2429" s="73"/>
      <c r="D2429" s="95"/>
      <c r="E2429" s="73"/>
      <c r="F2429" s="73"/>
      <c r="G2429" s="73"/>
      <c r="H2429" s="73"/>
      <c r="I2429" s="95"/>
      <c r="J2429" s="73"/>
      <c r="K2429" s="95"/>
      <c r="L2429" s="95"/>
      <c r="M2429" s="22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</row>
    <row r="2430">
      <c r="A2430" s="26"/>
      <c r="B2430" s="73"/>
      <c r="C2430" s="73"/>
      <c r="D2430" s="95"/>
      <c r="E2430" s="73"/>
      <c r="F2430" s="73"/>
      <c r="G2430" s="73"/>
      <c r="H2430" s="73"/>
      <c r="I2430" s="95"/>
      <c r="J2430" s="73"/>
      <c r="K2430" s="95"/>
      <c r="L2430" s="95"/>
      <c r="M2430" s="22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</row>
    <row r="2431">
      <c r="A2431" s="26"/>
      <c r="B2431" s="73"/>
      <c r="C2431" s="73"/>
      <c r="D2431" s="95"/>
      <c r="E2431" s="73"/>
      <c r="F2431" s="73"/>
      <c r="G2431" s="73"/>
      <c r="H2431" s="73"/>
      <c r="I2431" s="95"/>
      <c r="J2431" s="73"/>
      <c r="K2431" s="95"/>
      <c r="L2431" s="95"/>
      <c r="M2431" s="22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</row>
    <row r="2432">
      <c r="A2432" s="26"/>
      <c r="B2432" s="73"/>
      <c r="C2432" s="73"/>
      <c r="D2432" s="95"/>
      <c r="E2432" s="73"/>
      <c r="F2432" s="73"/>
      <c r="G2432" s="73"/>
      <c r="H2432" s="73"/>
      <c r="I2432" s="95"/>
      <c r="J2432" s="73"/>
      <c r="K2432" s="95"/>
      <c r="L2432" s="95"/>
      <c r="M2432" s="22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</row>
    <row r="2433">
      <c r="A2433" s="26"/>
      <c r="B2433" s="73"/>
      <c r="C2433" s="73"/>
      <c r="D2433" s="95"/>
      <c r="E2433" s="73"/>
      <c r="F2433" s="73"/>
      <c r="G2433" s="73"/>
      <c r="H2433" s="73"/>
      <c r="I2433" s="95"/>
      <c r="J2433" s="73"/>
      <c r="K2433" s="95"/>
      <c r="L2433" s="95"/>
      <c r="M2433" s="22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</row>
    <row r="2434">
      <c r="A2434" s="26"/>
      <c r="B2434" s="73"/>
      <c r="C2434" s="73"/>
      <c r="D2434" s="95"/>
      <c r="E2434" s="73"/>
      <c r="F2434" s="73"/>
      <c r="G2434" s="73"/>
      <c r="H2434" s="73"/>
      <c r="I2434" s="95"/>
      <c r="J2434" s="73"/>
      <c r="K2434" s="95"/>
      <c r="L2434" s="95"/>
      <c r="M2434" s="22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</row>
    <row r="2435">
      <c r="A2435" s="26"/>
      <c r="B2435" s="73"/>
      <c r="C2435" s="73"/>
      <c r="D2435" s="95"/>
      <c r="E2435" s="73"/>
      <c r="F2435" s="73"/>
      <c r="G2435" s="73"/>
      <c r="H2435" s="73"/>
      <c r="I2435" s="95"/>
      <c r="J2435" s="73"/>
      <c r="K2435" s="95"/>
      <c r="L2435" s="95"/>
      <c r="M2435" s="22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</row>
    <row r="2436">
      <c r="A2436" s="26"/>
      <c r="B2436" s="73"/>
      <c r="C2436" s="73"/>
      <c r="D2436" s="95"/>
      <c r="E2436" s="73"/>
      <c r="F2436" s="73"/>
      <c r="G2436" s="73"/>
      <c r="H2436" s="73"/>
      <c r="I2436" s="95"/>
      <c r="J2436" s="73"/>
      <c r="K2436" s="95"/>
      <c r="L2436" s="95"/>
      <c r="M2436" s="22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</row>
    <row r="2437">
      <c r="A2437" s="26"/>
      <c r="B2437" s="73"/>
      <c r="C2437" s="73"/>
      <c r="D2437" s="95"/>
      <c r="E2437" s="73"/>
      <c r="F2437" s="73"/>
      <c r="G2437" s="73"/>
      <c r="H2437" s="73"/>
      <c r="I2437" s="95"/>
      <c r="J2437" s="73"/>
      <c r="K2437" s="95"/>
      <c r="L2437" s="95"/>
      <c r="M2437" s="22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</row>
    <row r="2438">
      <c r="A2438" s="26"/>
      <c r="B2438" s="73"/>
      <c r="C2438" s="73"/>
      <c r="D2438" s="95"/>
      <c r="E2438" s="73"/>
      <c r="F2438" s="73"/>
      <c r="G2438" s="73"/>
      <c r="H2438" s="73"/>
      <c r="I2438" s="95"/>
      <c r="J2438" s="73"/>
      <c r="K2438" s="95"/>
      <c r="L2438" s="95"/>
      <c r="M2438" s="22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</row>
    <row r="2439">
      <c r="A2439" s="26"/>
      <c r="B2439" s="73"/>
      <c r="C2439" s="73"/>
      <c r="D2439" s="95"/>
      <c r="E2439" s="73"/>
      <c r="F2439" s="73"/>
      <c r="G2439" s="73"/>
      <c r="H2439" s="73"/>
      <c r="I2439" s="95"/>
      <c r="J2439" s="73"/>
      <c r="K2439" s="95"/>
      <c r="L2439" s="95"/>
      <c r="M2439" s="22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</row>
    <row r="2440">
      <c r="A2440" s="26"/>
      <c r="B2440" s="73"/>
      <c r="C2440" s="73"/>
      <c r="D2440" s="95"/>
      <c r="E2440" s="73"/>
      <c r="F2440" s="73"/>
      <c r="G2440" s="73"/>
      <c r="H2440" s="73"/>
      <c r="I2440" s="95"/>
      <c r="J2440" s="73"/>
      <c r="K2440" s="95"/>
      <c r="L2440" s="95"/>
      <c r="M2440" s="22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</row>
    <row r="2441">
      <c r="A2441" s="26"/>
      <c r="B2441" s="73"/>
      <c r="C2441" s="73"/>
      <c r="D2441" s="95"/>
      <c r="E2441" s="73"/>
      <c r="F2441" s="73"/>
      <c r="G2441" s="73"/>
      <c r="H2441" s="73"/>
      <c r="I2441" s="95"/>
      <c r="J2441" s="73"/>
      <c r="K2441" s="95"/>
      <c r="L2441" s="95"/>
      <c r="M2441" s="22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</row>
    <row r="2442">
      <c r="A2442" s="26"/>
      <c r="B2442" s="73"/>
      <c r="C2442" s="73"/>
      <c r="D2442" s="95"/>
      <c r="E2442" s="73"/>
      <c r="F2442" s="73"/>
      <c r="G2442" s="73"/>
      <c r="H2442" s="73"/>
      <c r="I2442" s="95"/>
      <c r="J2442" s="73"/>
      <c r="K2442" s="95"/>
      <c r="L2442" s="95"/>
      <c r="M2442" s="22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</row>
    <row r="2443">
      <c r="A2443" s="26"/>
      <c r="B2443" s="73"/>
      <c r="C2443" s="73"/>
      <c r="D2443" s="95"/>
      <c r="E2443" s="73"/>
      <c r="F2443" s="73"/>
      <c r="G2443" s="73"/>
      <c r="H2443" s="73"/>
      <c r="I2443" s="95"/>
      <c r="J2443" s="73"/>
      <c r="K2443" s="95"/>
      <c r="L2443" s="95"/>
      <c r="M2443" s="22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</row>
    <row r="2444">
      <c r="A2444" s="26"/>
      <c r="B2444" s="73"/>
      <c r="C2444" s="73"/>
      <c r="D2444" s="95"/>
      <c r="E2444" s="73"/>
      <c r="F2444" s="73"/>
      <c r="G2444" s="73"/>
      <c r="H2444" s="73"/>
      <c r="I2444" s="95"/>
      <c r="J2444" s="73"/>
      <c r="K2444" s="95"/>
      <c r="L2444" s="95"/>
      <c r="M2444" s="22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</row>
    <row r="2445">
      <c r="A2445" s="26"/>
      <c r="B2445" s="73"/>
      <c r="C2445" s="73"/>
      <c r="D2445" s="95"/>
      <c r="E2445" s="73"/>
      <c r="F2445" s="73"/>
      <c r="G2445" s="73"/>
      <c r="H2445" s="73"/>
      <c r="I2445" s="95"/>
      <c r="J2445" s="73"/>
      <c r="K2445" s="95"/>
      <c r="L2445" s="95"/>
      <c r="M2445" s="22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</row>
    <row r="2446">
      <c r="A2446" s="26"/>
      <c r="B2446" s="73"/>
      <c r="C2446" s="73"/>
      <c r="D2446" s="95"/>
      <c r="E2446" s="73"/>
      <c r="F2446" s="73"/>
      <c r="G2446" s="73"/>
      <c r="H2446" s="73"/>
      <c r="I2446" s="95"/>
      <c r="J2446" s="73"/>
      <c r="K2446" s="95"/>
      <c r="L2446" s="95"/>
      <c r="M2446" s="22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</row>
    <row r="2447">
      <c r="A2447" s="26"/>
      <c r="B2447" s="73"/>
      <c r="C2447" s="73"/>
      <c r="D2447" s="95"/>
      <c r="E2447" s="73"/>
      <c r="F2447" s="73"/>
      <c r="G2447" s="73"/>
      <c r="H2447" s="73"/>
      <c r="I2447" s="95"/>
      <c r="J2447" s="73"/>
      <c r="K2447" s="95"/>
      <c r="L2447" s="95"/>
      <c r="M2447" s="22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</row>
    <row r="2448">
      <c r="A2448" s="26"/>
      <c r="B2448" s="73"/>
      <c r="C2448" s="73"/>
      <c r="D2448" s="95"/>
      <c r="E2448" s="73"/>
      <c r="F2448" s="73"/>
      <c r="G2448" s="73"/>
      <c r="H2448" s="73"/>
      <c r="I2448" s="95"/>
      <c r="J2448" s="73"/>
      <c r="K2448" s="95"/>
      <c r="L2448" s="95"/>
      <c r="M2448" s="22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</row>
    <row r="2449">
      <c r="A2449" s="26"/>
      <c r="B2449" s="73"/>
      <c r="C2449" s="73"/>
      <c r="D2449" s="95"/>
      <c r="E2449" s="73"/>
      <c r="F2449" s="73"/>
      <c r="G2449" s="73"/>
      <c r="H2449" s="73"/>
      <c r="I2449" s="95"/>
      <c r="J2449" s="73"/>
      <c r="K2449" s="95"/>
      <c r="L2449" s="95"/>
      <c r="M2449" s="22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</row>
    <row r="2450">
      <c r="A2450" s="26"/>
      <c r="B2450" s="73"/>
      <c r="C2450" s="73"/>
      <c r="D2450" s="95"/>
      <c r="E2450" s="73"/>
      <c r="F2450" s="73"/>
      <c r="G2450" s="73"/>
      <c r="H2450" s="73"/>
      <c r="I2450" s="95"/>
      <c r="J2450" s="73"/>
      <c r="K2450" s="95"/>
      <c r="L2450" s="95"/>
      <c r="M2450" s="22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</row>
    <row r="2451">
      <c r="A2451" s="26"/>
      <c r="B2451" s="73"/>
      <c r="C2451" s="73"/>
      <c r="D2451" s="95"/>
      <c r="E2451" s="73"/>
      <c r="F2451" s="73"/>
      <c r="G2451" s="73"/>
      <c r="H2451" s="73"/>
      <c r="I2451" s="95"/>
      <c r="J2451" s="73"/>
      <c r="K2451" s="95"/>
      <c r="L2451" s="95"/>
      <c r="M2451" s="22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</row>
    <row r="2452">
      <c r="A2452" s="26"/>
      <c r="B2452" s="73"/>
      <c r="C2452" s="73"/>
      <c r="D2452" s="95"/>
      <c r="E2452" s="73"/>
      <c r="F2452" s="73"/>
      <c r="G2452" s="73"/>
      <c r="H2452" s="73"/>
      <c r="I2452" s="95"/>
      <c r="J2452" s="73"/>
      <c r="K2452" s="95"/>
      <c r="L2452" s="95"/>
      <c r="M2452" s="22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</row>
    <row r="2453">
      <c r="A2453" s="26"/>
      <c r="B2453" s="73"/>
      <c r="C2453" s="73"/>
      <c r="D2453" s="95"/>
      <c r="E2453" s="73"/>
      <c r="F2453" s="73"/>
      <c r="G2453" s="73"/>
      <c r="H2453" s="73"/>
      <c r="I2453" s="95"/>
      <c r="J2453" s="73"/>
      <c r="K2453" s="95"/>
      <c r="L2453" s="95"/>
      <c r="M2453" s="22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</row>
    <row r="2454">
      <c r="A2454" s="26"/>
      <c r="B2454" s="73"/>
      <c r="C2454" s="73"/>
      <c r="D2454" s="95"/>
      <c r="E2454" s="73"/>
      <c r="F2454" s="73"/>
      <c r="G2454" s="73"/>
      <c r="H2454" s="73"/>
      <c r="I2454" s="95"/>
      <c r="J2454" s="73"/>
      <c r="K2454" s="95"/>
      <c r="L2454" s="95"/>
      <c r="M2454" s="22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</row>
    <row r="2455">
      <c r="A2455" s="26"/>
      <c r="B2455" s="73"/>
      <c r="C2455" s="73"/>
      <c r="D2455" s="95"/>
      <c r="E2455" s="73"/>
      <c r="F2455" s="73"/>
      <c r="G2455" s="73"/>
      <c r="H2455" s="73"/>
      <c r="I2455" s="95"/>
      <c r="J2455" s="73"/>
      <c r="K2455" s="95"/>
      <c r="L2455" s="95"/>
      <c r="M2455" s="22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</row>
    <row r="2456">
      <c r="A2456" s="26"/>
      <c r="B2456" s="73"/>
      <c r="C2456" s="73"/>
      <c r="D2456" s="95"/>
      <c r="E2456" s="73"/>
      <c r="F2456" s="73"/>
      <c r="G2456" s="73"/>
      <c r="H2456" s="73"/>
      <c r="I2456" s="95"/>
      <c r="J2456" s="73"/>
      <c r="K2456" s="95"/>
      <c r="L2456" s="95"/>
      <c r="M2456" s="22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</row>
    <row r="2457">
      <c r="A2457" s="26"/>
      <c r="B2457" s="73"/>
      <c r="C2457" s="73"/>
      <c r="D2457" s="95"/>
      <c r="E2457" s="73"/>
      <c r="F2457" s="73"/>
      <c r="G2457" s="73"/>
      <c r="H2457" s="73"/>
      <c r="I2457" s="95"/>
      <c r="J2457" s="73"/>
      <c r="K2457" s="95"/>
      <c r="L2457" s="95"/>
      <c r="M2457" s="22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</row>
    <row r="2458">
      <c r="A2458" s="26"/>
      <c r="B2458" s="73"/>
      <c r="C2458" s="73"/>
      <c r="D2458" s="95"/>
      <c r="E2458" s="73"/>
      <c r="F2458" s="73"/>
      <c r="G2458" s="73"/>
      <c r="H2458" s="73"/>
      <c r="I2458" s="95"/>
      <c r="J2458" s="73"/>
      <c r="K2458" s="95"/>
      <c r="L2458" s="95"/>
      <c r="M2458" s="22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</row>
    <row r="2459">
      <c r="A2459" s="26"/>
      <c r="B2459" s="73"/>
      <c r="C2459" s="73"/>
      <c r="D2459" s="95"/>
      <c r="E2459" s="73"/>
      <c r="F2459" s="73"/>
      <c r="G2459" s="73"/>
      <c r="H2459" s="73"/>
      <c r="I2459" s="95"/>
      <c r="J2459" s="73"/>
      <c r="K2459" s="95"/>
      <c r="L2459" s="95"/>
      <c r="M2459" s="22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</row>
    <row r="2460">
      <c r="A2460" s="26"/>
      <c r="B2460" s="73"/>
      <c r="C2460" s="73"/>
      <c r="D2460" s="95"/>
      <c r="E2460" s="73"/>
      <c r="F2460" s="73"/>
      <c r="G2460" s="73"/>
      <c r="H2460" s="73"/>
      <c r="I2460" s="95"/>
      <c r="J2460" s="73"/>
      <c r="K2460" s="95"/>
      <c r="L2460" s="95"/>
      <c r="M2460" s="22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</row>
    <row r="2461">
      <c r="A2461" s="26"/>
      <c r="B2461" s="73"/>
      <c r="C2461" s="73"/>
      <c r="D2461" s="95"/>
      <c r="E2461" s="73"/>
      <c r="F2461" s="73"/>
      <c r="G2461" s="73"/>
      <c r="H2461" s="73"/>
      <c r="I2461" s="95"/>
      <c r="J2461" s="73"/>
      <c r="K2461" s="95"/>
      <c r="L2461" s="95"/>
      <c r="M2461" s="22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</row>
    <row r="2462">
      <c r="A2462" s="26"/>
      <c r="B2462" s="73"/>
      <c r="C2462" s="73"/>
      <c r="D2462" s="95"/>
      <c r="E2462" s="73"/>
      <c r="F2462" s="73"/>
      <c r="G2462" s="73"/>
      <c r="H2462" s="73"/>
      <c r="I2462" s="95"/>
      <c r="J2462" s="73"/>
      <c r="K2462" s="95"/>
      <c r="L2462" s="95"/>
      <c r="M2462" s="22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</row>
    <row r="2463">
      <c r="A2463" s="26"/>
      <c r="B2463" s="73"/>
      <c r="C2463" s="73"/>
      <c r="D2463" s="95"/>
      <c r="E2463" s="73"/>
      <c r="F2463" s="73"/>
      <c r="G2463" s="73"/>
      <c r="H2463" s="73"/>
      <c r="I2463" s="95"/>
      <c r="J2463" s="73"/>
      <c r="K2463" s="95"/>
      <c r="L2463" s="95"/>
      <c r="M2463" s="22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</row>
    <row r="2464">
      <c r="A2464" s="26"/>
      <c r="B2464" s="73"/>
      <c r="C2464" s="73"/>
      <c r="D2464" s="95"/>
      <c r="E2464" s="73"/>
      <c r="F2464" s="73"/>
      <c r="G2464" s="73"/>
      <c r="H2464" s="73"/>
      <c r="I2464" s="95"/>
      <c r="J2464" s="73"/>
      <c r="K2464" s="95"/>
      <c r="L2464" s="95"/>
      <c r="M2464" s="22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</row>
    <row r="2465">
      <c r="A2465" s="26"/>
      <c r="B2465" s="73"/>
      <c r="C2465" s="73"/>
      <c r="D2465" s="95"/>
      <c r="E2465" s="73"/>
      <c r="F2465" s="73"/>
      <c r="G2465" s="73"/>
      <c r="H2465" s="73"/>
      <c r="I2465" s="95"/>
      <c r="J2465" s="73"/>
      <c r="K2465" s="95"/>
      <c r="L2465" s="95"/>
      <c r="M2465" s="22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</row>
    <row r="2466">
      <c r="A2466" s="26"/>
      <c r="B2466" s="73"/>
      <c r="C2466" s="73"/>
      <c r="D2466" s="95"/>
      <c r="E2466" s="73"/>
      <c r="F2466" s="73"/>
      <c r="G2466" s="73"/>
      <c r="H2466" s="73"/>
      <c r="I2466" s="95"/>
      <c r="J2466" s="73"/>
      <c r="K2466" s="95"/>
      <c r="L2466" s="95"/>
      <c r="M2466" s="22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</row>
    <row r="2467">
      <c r="A2467" s="26"/>
      <c r="B2467" s="73"/>
      <c r="C2467" s="73"/>
      <c r="D2467" s="95"/>
      <c r="E2467" s="73"/>
      <c r="F2467" s="73"/>
      <c r="G2467" s="73"/>
      <c r="H2467" s="73"/>
      <c r="I2467" s="95"/>
      <c r="J2467" s="73"/>
      <c r="K2467" s="95"/>
      <c r="L2467" s="95"/>
      <c r="M2467" s="22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</row>
    <row r="2468">
      <c r="A2468" s="26"/>
      <c r="B2468" s="73"/>
      <c r="C2468" s="73"/>
      <c r="D2468" s="95"/>
      <c r="E2468" s="73"/>
      <c r="F2468" s="73"/>
      <c r="G2468" s="73"/>
      <c r="H2468" s="73"/>
      <c r="I2468" s="95"/>
      <c r="J2468" s="73"/>
      <c r="K2468" s="95"/>
      <c r="L2468" s="95"/>
      <c r="M2468" s="22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</row>
    <row r="2469">
      <c r="A2469" s="26"/>
      <c r="B2469" s="73"/>
      <c r="C2469" s="73"/>
      <c r="D2469" s="95"/>
      <c r="E2469" s="73"/>
      <c r="F2469" s="73"/>
      <c r="G2469" s="73"/>
      <c r="H2469" s="73"/>
      <c r="I2469" s="95"/>
      <c r="J2469" s="73"/>
      <c r="K2469" s="95"/>
      <c r="L2469" s="95"/>
      <c r="M2469" s="22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</row>
    <row r="2470">
      <c r="A2470" s="26"/>
      <c r="B2470" s="73"/>
      <c r="C2470" s="73"/>
      <c r="D2470" s="95"/>
      <c r="E2470" s="73"/>
      <c r="F2470" s="73"/>
      <c r="G2470" s="73"/>
      <c r="H2470" s="73"/>
      <c r="I2470" s="95"/>
      <c r="J2470" s="73"/>
      <c r="K2470" s="95"/>
      <c r="L2470" s="95"/>
      <c r="M2470" s="22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</row>
    <row r="2471">
      <c r="A2471" s="26"/>
      <c r="B2471" s="73"/>
      <c r="C2471" s="73"/>
      <c r="D2471" s="95"/>
      <c r="E2471" s="73"/>
      <c r="F2471" s="73"/>
      <c r="G2471" s="73"/>
      <c r="H2471" s="73"/>
      <c r="I2471" s="95"/>
      <c r="J2471" s="73"/>
      <c r="K2471" s="95"/>
      <c r="L2471" s="95"/>
      <c r="M2471" s="22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</row>
    <row r="2472">
      <c r="A2472" s="26"/>
      <c r="B2472" s="73"/>
      <c r="C2472" s="73"/>
      <c r="D2472" s="95"/>
      <c r="E2472" s="73"/>
      <c r="F2472" s="73"/>
      <c r="G2472" s="73"/>
      <c r="H2472" s="73"/>
      <c r="I2472" s="95"/>
      <c r="J2472" s="73"/>
      <c r="K2472" s="95"/>
      <c r="L2472" s="95"/>
      <c r="M2472" s="22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</row>
    <row r="2473">
      <c r="A2473" s="26"/>
      <c r="B2473" s="73"/>
      <c r="C2473" s="73"/>
      <c r="D2473" s="95"/>
      <c r="E2473" s="73"/>
      <c r="F2473" s="73"/>
      <c r="G2473" s="73"/>
      <c r="H2473" s="73"/>
      <c r="I2473" s="95"/>
      <c r="J2473" s="73"/>
      <c r="K2473" s="95"/>
      <c r="L2473" s="95"/>
      <c r="M2473" s="22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</row>
    <row r="2474">
      <c r="A2474" s="26"/>
      <c r="B2474" s="73"/>
      <c r="C2474" s="73"/>
      <c r="D2474" s="95"/>
      <c r="E2474" s="73"/>
      <c r="F2474" s="73"/>
      <c r="G2474" s="73"/>
      <c r="H2474" s="73"/>
      <c r="I2474" s="95"/>
      <c r="J2474" s="73"/>
      <c r="K2474" s="95"/>
      <c r="L2474" s="95"/>
      <c r="M2474" s="22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</row>
    <row r="2475">
      <c r="A2475" s="26"/>
      <c r="B2475" s="73"/>
      <c r="C2475" s="73"/>
      <c r="D2475" s="95"/>
      <c r="E2475" s="73"/>
      <c r="F2475" s="73"/>
      <c r="G2475" s="73"/>
      <c r="H2475" s="73"/>
      <c r="I2475" s="95"/>
      <c r="J2475" s="73"/>
      <c r="K2475" s="95"/>
      <c r="L2475" s="95"/>
      <c r="M2475" s="22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</row>
    <row r="2476">
      <c r="A2476" s="26"/>
      <c r="B2476" s="73"/>
      <c r="C2476" s="73"/>
      <c r="D2476" s="95"/>
      <c r="E2476" s="73"/>
      <c r="F2476" s="73"/>
      <c r="G2476" s="73"/>
      <c r="H2476" s="73"/>
      <c r="I2476" s="95"/>
      <c r="J2476" s="73"/>
      <c r="K2476" s="95"/>
      <c r="L2476" s="95"/>
      <c r="M2476" s="22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</row>
    <row r="2477">
      <c r="A2477" s="26"/>
      <c r="B2477" s="73"/>
      <c r="C2477" s="73"/>
      <c r="D2477" s="95"/>
      <c r="E2477" s="73"/>
      <c r="F2477" s="73"/>
      <c r="G2477" s="73"/>
      <c r="H2477" s="73"/>
      <c r="I2477" s="95"/>
      <c r="J2477" s="73"/>
      <c r="K2477" s="95"/>
      <c r="L2477" s="95"/>
      <c r="M2477" s="22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</row>
    <row r="2478">
      <c r="A2478" s="26"/>
      <c r="B2478" s="73"/>
      <c r="C2478" s="73"/>
      <c r="D2478" s="95"/>
      <c r="E2478" s="73"/>
      <c r="F2478" s="73"/>
      <c r="G2478" s="73"/>
      <c r="H2478" s="73"/>
      <c r="I2478" s="95"/>
      <c r="J2478" s="73"/>
      <c r="K2478" s="95"/>
      <c r="L2478" s="95"/>
      <c r="M2478" s="22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</row>
    <row r="2479">
      <c r="A2479" s="26"/>
      <c r="B2479" s="73"/>
      <c r="C2479" s="73"/>
      <c r="D2479" s="95"/>
      <c r="E2479" s="73"/>
      <c r="F2479" s="73"/>
      <c r="G2479" s="73"/>
      <c r="H2479" s="73"/>
      <c r="I2479" s="95"/>
      <c r="J2479" s="73"/>
      <c r="K2479" s="95"/>
      <c r="L2479" s="95"/>
      <c r="M2479" s="22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</row>
    <row r="2480">
      <c r="A2480" s="26"/>
      <c r="B2480" s="73"/>
      <c r="C2480" s="73"/>
      <c r="D2480" s="95"/>
      <c r="E2480" s="73"/>
      <c r="F2480" s="73"/>
      <c r="G2480" s="73"/>
      <c r="H2480" s="73"/>
      <c r="I2480" s="95"/>
      <c r="J2480" s="73"/>
      <c r="K2480" s="95"/>
      <c r="L2480" s="95"/>
      <c r="M2480" s="22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</row>
    <row r="2481">
      <c r="A2481" s="26"/>
      <c r="B2481" s="73"/>
      <c r="C2481" s="73"/>
      <c r="D2481" s="95"/>
      <c r="E2481" s="73"/>
      <c r="F2481" s="73"/>
      <c r="G2481" s="73"/>
      <c r="H2481" s="73"/>
      <c r="I2481" s="95"/>
      <c r="J2481" s="73"/>
      <c r="K2481" s="95"/>
      <c r="L2481" s="95"/>
      <c r="M2481" s="22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</row>
    <row r="2482">
      <c r="A2482" s="26"/>
      <c r="B2482" s="73"/>
      <c r="C2482" s="73"/>
      <c r="D2482" s="95"/>
      <c r="E2482" s="73"/>
      <c r="F2482" s="73"/>
      <c r="G2482" s="73"/>
      <c r="H2482" s="73"/>
      <c r="I2482" s="95"/>
      <c r="J2482" s="73"/>
      <c r="K2482" s="95"/>
      <c r="L2482" s="95"/>
      <c r="M2482" s="22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</row>
    <row r="2483">
      <c r="A2483" s="26"/>
      <c r="B2483" s="73"/>
      <c r="C2483" s="73"/>
      <c r="D2483" s="95"/>
      <c r="E2483" s="73"/>
      <c r="F2483" s="73"/>
      <c r="G2483" s="73"/>
      <c r="H2483" s="73"/>
      <c r="I2483" s="95"/>
      <c r="J2483" s="73"/>
      <c r="K2483" s="95"/>
      <c r="L2483" s="95"/>
      <c r="M2483" s="22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</row>
    <row r="2484">
      <c r="A2484" s="26"/>
      <c r="B2484" s="73"/>
      <c r="C2484" s="73"/>
      <c r="D2484" s="95"/>
      <c r="E2484" s="73"/>
      <c r="F2484" s="73"/>
      <c r="G2484" s="73"/>
      <c r="H2484" s="73"/>
      <c r="I2484" s="95"/>
      <c r="J2484" s="73"/>
      <c r="K2484" s="95"/>
      <c r="L2484" s="95"/>
      <c r="M2484" s="22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</row>
    <row r="2485">
      <c r="A2485" s="26"/>
      <c r="B2485" s="73"/>
      <c r="C2485" s="73"/>
      <c r="D2485" s="95"/>
      <c r="E2485" s="73"/>
      <c r="F2485" s="73"/>
      <c r="G2485" s="73"/>
      <c r="H2485" s="73"/>
      <c r="I2485" s="95"/>
      <c r="J2485" s="73"/>
      <c r="K2485" s="95"/>
      <c r="L2485" s="95"/>
      <c r="M2485" s="22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</row>
    <row r="2486">
      <c r="A2486" s="26"/>
      <c r="B2486" s="73"/>
      <c r="C2486" s="73"/>
      <c r="D2486" s="95"/>
      <c r="E2486" s="73"/>
      <c r="F2486" s="73"/>
      <c r="G2486" s="73"/>
      <c r="H2486" s="73"/>
      <c r="I2486" s="95"/>
      <c r="J2486" s="73"/>
      <c r="K2486" s="95"/>
      <c r="L2486" s="95"/>
      <c r="M2486" s="22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</row>
    <row r="2487">
      <c r="A2487" s="26"/>
      <c r="B2487" s="73"/>
      <c r="C2487" s="73"/>
      <c r="D2487" s="95"/>
      <c r="E2487" s="73"/>
      <c r="F2487" s="73"/>
      <c r="G2487" s="73"/>
      <c r="H2487" s="73"/>
      <c r="I2487" s="95"/>
      <c r="J2487" s="73"/>
      <c r="K2487" s="95"/>
      <c r="L2487" s="95"/>
      <c r="M2487" s="22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</row>
    <row r="2488">
      <c r="A2488" s="26"/>
      <c r="B2488" s="73"/>
      <c r="C2488" s="73"/>
      <c r="D2488" s="95"/>
      <c r="E2488" s="73"/>
      <c r="F2488" s="73"/>
      <c r="G2488" s="73"/>
      <c r="H2488" s="73"/>
      <c r="I2488" s="95"/>
      <c r="J2488" s="73"/>
      <c r="K2488" s="95"/>
      <c r="L2488" s="95"/>
      <c r="M2488" s="22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</row>
    <row r="2489">
      <c r="A2489" s="26"/>
      <c r="B2489" s="73"/>
      <c r="C2489" s="73"/>
      <c r="D2489" s="95"/>
      <c r="E2489" s="73"/>
      <c r="F2489" s="73"/>
      <c r="G2489" s="73"/>
      <c r="H2489" s="73"/>
      <c r="I2489" s="95"/>
      <c r="J2489" s="73"/>
      <c r="K2489" s="95"/>
      <c r="L2489" s="95"/>
      <c r="M2489" s="22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</row>
    <row r="2490">
      <c r="A2490" s="26"/>
      <c r="B2490" s="73"/>
      <c r="C2490" s="73"/>
      <c r="D2490" s="95"/>
      <c r="E2490" s="73"/>
      <c r="F2490" s="73"/>
      <c r="G2490" s="73"/>
      <c r="H2490" s="73"/>
      <c r="I2490" s="95"/>
      <c r="J2490" s="73"/>
      <c r="K2490" s="95"/>
      <c r="L2490" s="95"/>
      <c r="M2490" s="22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</row>
    <row r="2491">
      <c r="A2491" s="26"/>
      <c r="B2491" s="73"/>
      <c r="C2491" s="73"/>
      <c r="D2491" s="95"/>
      <c r="E2491" s="73"/>
      <c r="F2491" s="73"/>
      <c r="G2491" s="73"/>
      <c r="H2491" s="73"/>
      <c r="I2491" s="95"/>
      <c r="J2491" s="73"/>
      <c r="K2491" s="95"/>
      <c r="L2491" s="95"/>
      <c r="M2491" s="22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</row>
    <row r="2492">
      <c r="A2492" s="26"/>
      <c r="B2492" s="73"/>
      <c r="C2492" s="73"/>
      <c r="D2492" s="95"/>
      <c r="E2492" s="73"/>
      <c r="F2492" s="73"/>
      <c r="G2492" s="73"/>
      <c r="H2492" s="73"/>
      <c r="I2492" s="95"/>
      <c r="J2492" s="73"/>
      <c r="K2492" s="95"/>
      <c r="L2492" s="95"/>
      <c r="M2492" s="22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</row>
    <row r="2493">
      <c r="A2493" s="26"/>
      <c r="B2493" s="73"/>
      <c r="C2493" s="73"/>
      <c r="D2493" s="95"/>
      <c r="E2493" s="73"/>
      <c r="F2493" s="73"/>
      <c r="G2493" s="73"/>
      <c r="H2493" s="73"/>
      <c r="I2493" s="95"/>
      <c r="J2493" s="73"/>
      <c r="K2493" s="95"/>
      <c r="L2493" s="95"/>
      <c r="M2493" s="22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</row>
    <row r="2494">
      <c r="A2494" s="26"/>
      <c r="B2494" s="73"/>
      <c r="C2494" s="73"/>
      <c r="D2494" s="95"/>
      <c r="E2494" s="73"/>
      <c r="F2494" s="73"/>
      <c r="G2494" s="73"/>
      <c r="H2494" s="73"/>
      <c r="I2494" s="95"/>
      <c r="J2494" s="73"/>
      <c r="K2494" s="95"/>
      <c r="L2494" s="95"/>
      <c r="M2494" s="22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</row>
    <row r="2495">
      <c r="A2495" s="26"/>
      <c r="B2495" s="73"/>
      <c r="C2495" s="73"/>
      <c r="D2495" s="95"/>
      <c r="E2495" s="73"/>
      <c r="F2495" s="73"/>
      <c r="G2495" s="73"/>
      <c r="H2495" s="73"/>
      <c r="I2495" s="95"/>
      <c r="J2495" s="73"/>
      <c r="K2495" s="95"/>
      <c r="L2495" s="95"/>
      <c r="M2495" s="22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</row>
    <row r="2496">
      <c r="A2496" s="26"/>
      <c r="B2496" s="73"/>
      <c r="C2496" s="73"/>
      <c r="D2496" s="95"/>
      <c r="E2496" s="73"/>
      <c r="F2496" s="73"/>
      <c r="G2496" s="73"/>
      <c r="H2496" s="73"/>
      <c r="I2496" s="95"/>
      <c r="J2496" s="73"/>
      <c r="K2496" s="95"/>
      <c r="L2496" s="95"/>
      <c r="M2496" s="22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</row>
    <row r="2497">
      <c r="A2497" s="26"/>
      <c r="B2497" s="73"/>
      <c r="C2497" s="73"/>
      <c r="D2497" s="95"/>
      <c r="E2497" s="73"/>
      <c r="F2497" s="73"/>
      <c r="G2497" s="73"/>
      <c r="H2497" s="73"/>
      <c r="I2497" s="95"/>
      <c r="J2497" s="73"/>
      <c r="K2497" s="95"/>
      <c r="L2497" s="95"/>
      <c r="M2497" s="22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</row>
    <row r="2498">
      <c r="A2498" s="26"/>
      <c r="B2498" s="73"/>
      <c r="C2498" s="73"/>
      <c r="D2498" s="95"/>
      <c r="E2498" s="73"/>
      <c r="F2498" s="73"/>
      <c r="G2498" s="73"/>
      <c r="H2498" s="73"/>
      <c r="I2498" s="95"/>
      <c r="J2498" s="73"/>
      <c r="K2498" s="95"/>
      <c r="L2498" s="95"/>
      <c r="M2498" s="22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</row>
    <row r="2499">
      <c r="A2499" s="26"/>
      <c r="B2499" s="73"/>
      <c r="C2499" s="73"/>
      <c r="D2499" s="95"/>
      <c r="E2499" s="73"/>
      <c r="F2499" s="73"/>
      <c r="G2499" s="73"/>
      <c r="H2499" s="73"/>
      <c r="I2499" s="95"/>
      <c r="J2499" s="73"/>
      <c r="K2499" s="95"/>
      <c r="L2499" s="95"/>
      <c r="M2499" s="22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</row>
    <row r="2500">
      <c r="A2500" s="26"/>
      <c r="B2500" s="73"/>
      <c r="C2500" s="73"/>
      <c r="D2500" s="95"/>
      <c r="E2500" s="73"/>
      <c r="F2500" s="73"/>
      <c r="G2500" s="73"/>
      <c r="H2500" s="73"/>
      <c r="I2500" s="95"/>
      <c r="J2500" s="73"/>
      <c r="K2500" s="95"/>
      <c r="L2500" s="95"/>
      <c r="M2500" s="22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</row>
    <row r="2501">
      <c r="A2501" s="26"/>
      <c r="B2501" s="73"/>
      <c r="C2501" s="73"/>
      <c r="D2501" s="95"/>
      <c r="E2501" s="73"/>
      <c r="F2501" s="73"/>
      <c r="G2501" s="73"/>
      <c r="H2501" s="73"/>
      <c r="I2501" s="95"/>
      <c r="J2501" s="73"/>
      <c r="K2501" s="95"/>
      <c r="L2501" s="95"/>
      <c r="M2501" s="22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</row>
    <row r="2502">
      <c r="A2502" s="26"/>
      <c r="B2502" s="73"/>
      <c r="C2502" s="73"/>
      <c r="D2502" s="95"/>
      <c r="E2502" s="73"/>
      <c r="F2502" s="73"/>
      <c r="G2502" s="73"/>
      <c r="H2502" s="73"/>
      <c r="I2502" s="95"/>
      <c r="J2502" s="73"/>
      <c r="K2502" s="95"/>
      <c r="L2502" s="95"/>
      <c r="M2502" s="22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</row>
    <row r="2503">
      <c r="A2503" s="26"/>
      <c r="B2503" s="73"/>
      <c r="C2503" s="73"/>
      <c r="D2503" s="95"/>
      <c r="E2503" s="73"/>
      <c r="F2503" s="73"/>
      <c r="G2503" s="73"/>
      <c r="H2503" s="73"/>
      <c r="I2503" s="95"/>
      <c r="J2503" s="73"/>
      <c r="K2503" s="95"/>
      <c r="L2503" s="95"/>
      <c r="M2503" s="22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</row>
    <row r="2504">
      <c r="A2504" s="26"/>
      <c r="B2504" s="73"/>
      <c r="C2504" s="73"/>
      <c r="D2504" s="95"/>
      <c r="E2504" s="73"/>
      <c r="F2504" s="73"/>
      <c r="G2504" s="73"/>
      <c r="H2504" s="73"/>
      <c r="I2504" s="95"/>
      <c r="J2504" s="73"/>
      <c r="K2504" s="95"/>
      <c r="L2504" s="95"/>
      <c r="M2504" s="22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</row>
    <row r="2505">
      <c r="A2505" s="26"/>
      <c r="B2505" s="73"/>
      <c r="C2505" s="73"/>
      <c r="D2505" s="95"/>
      <c r="E2505" s="73"/>
      <c r="F2505" s="73"/>
      <c r="G2505" s="73"/>
      <c r="H2505" s="73"/>
      <c r="I2505" s="95"/>
      <c r="J2505" s="73"/>
      <c r="K2505" s="95"/>
      <c r="L2505" s="95"/>
      <c r="M2505" s="22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</row>
    <row r="2506">
      <c r="A2506" s="26"/>
      <c r="B2506" s="73"/>
      <c r="C2506" s="73"/>
      <c r="D2506" s="95"/>
      <c r="E2506" s="73"/>
      <c r="F2506" s="73"/>
      <c r="G2506" s="73"/>
      <c r="H2506" s="73"/>
      <c r="I2506" s="95"/>
      <c r="J2506" s="73"/>
      <c r="K2506" s="95"/>
      <c r="L2506" s="95"/>
      <c r="M2506" s="22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</row>
    <row r="2507">
      <c r="A2507" s="26"/>
      <c r="B2507" s="73"/>
      <c r="C2507" s="73"/>
      <c r="D2507" s="95"/>
      <c r="E2507" s="73"/>
      <c r="F2507" s="73"/>
      <c r="G2507" s="73"/>
      <c r="H2507" s="73"/>
      <c r="I2507" s="95"/>
      <c r="J2507" s="73"/>
      <c r="K2507" s="95"/>
      <c r="L2507" s="95"/>
      <c r="M2507" s="22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</row>
    <row r="2508">
      <c r="A2508" s="26"/>
      <c r="B2508" s="73"/>
      <c r="C2508" s="73"/>
      <c r="D2508" s="95"/>
      <c r="E2508" s="73"/>
      <c r="F2508" s="73"/>
      <c r="G2508" s="73"/>
      <c r="H2508" s="73"/>
      <c r="I2508" s="95"/>
      <c r="J2508" s="73"/>
      <c r="K2508" s="95"/>
      <c r="L2508" s="95"/>
      <c r="M2508" s="22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</row>
    <row r="2509">
      <c r="A2509" s="26"/>
      <c r="B2509" s="73"/>
      <c r="C2509" s="73"/>
      <c r="D2509" s="95"/>
      <c r="E2509" s="73"/>
      <c r="F2509" s="73"/>
      <c r="G2509" s="73"/>
      <c r="H2509" s="73"/>
      <c r="I2509" s="95"/>
      <c r="J2509" s="73"/>
      <c r="K2509" s="95"/>
      <c r="L2509" s="95"/>
      <c r="M2509" s="22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</row>
    <row r="2510">
      <c r="A2510" s="26"/>
      <c r="B2510" s="73"/>
      <c r="C2510" s="73"/>
      <c r="D2510" s="95"/>
      <c r="E2510" s="73"/>
      <c r="F2510" s="73"/>
      <c r="G2510" s="73"/>
      <c r="H2510" s="73"/>
      <c r="I2510" s="95"/>
      <c r="J2510" s="73"/>
      <c r="K2510" s="95"/>
      <c r="L2510" s="95"/>
      <c r="M2510" s="22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</row>
    <row r="2511">
      <c r="A2511" s="26"/>
      <c r="B2511" s="73"/>
      <c r="C2511" s="73"/>
      <c r="D2511" s="95"/>
      <c r="E2511" s="73"/>
      <c r="F2511" s="73"/>
      <c r="G2511" s="73"/>
      <c r="H2511" s="73"/>
      <c r="I2511" s="95"/>
      <c r="J2511" s="73"/>
      <c r="K2511" s="95"/>
      <c r="L2511" s="95"/>
      <c r="M2511" s="22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</row>
    <row r="2512">
      <c r="A2512" s="26"/>
      <c r="B2512" s="73"/>
      <c r="C2512" s="73"/>
      <c r="D2512" s="95"/>
      <c r="E2512" s="73"/>
      <c r="F2512" s="73"/>
      <c r="G2512" s="73"/>
      <c r="H2512" s="73"/>
      <c r="I2512" s="95"/>
      <c r="J2512" s="73"/>
      <c r="K2512" s="95"/>
      <c r="L2512" s="95"/>
      <c r="M2512" s="22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</row>
    <row r="2513">
      <c r="A2513" s="26"/>
      <c r="B2513" s="73"/>
      <c r="C2513" s="73"/>
      <c r="D2513" s="95"/>
      <c r="E2513" s="73"/>
      <c r="F2513" s="73"/>
      <c r="G2513" s="73"/>
      <c r="H2513" s="73"/>
      <c r="I2513" s="95"/>
      <c r="J2513" s="73"/>
      <c r="K2513" s="95"/>
      <c r="L2513" s="95"/>
      <c r="M2513" s="22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</row>
    <row r="2514">
      <c r="A2514" s="26"/>
      <c r="B2514" s="73"/>
      <c r="C2514" s="73"/>
      <c r="D2514" s="95"/>
      <c r="E2514" s="73"/>
      <c r="F2514" s="73"/>
      <c r="G2514" s="73"/>
      <c r="H2514" s="73"/>
      <c r="I2514" s="95"/>
      <c r="J2514" s="73"/>
      <c r="K2514" s="95"/>
      <c r="L2514" s="95"/>
      <c r="M2514" s="22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</row>
    <row r="2515">
      <c r="A2515" s="26"/>
      <c r="B2515" s="73"/>
      <c r="C2515" s="73"/>
      <c r="D2515" s="95"/>
      <c r="E2515" s="73"/>
      <c r="F2515" s="73"/>
      <c r="G2515" s="73"/>
      <c r="H2515" s="73"/>
      <c r="I2515" s="95"/>
      <c r="J2515" s="73"/>
      <c r="K2515" s="95"/>
      <c r="L2515" s="95"/>
      <c r="M2515" s="22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</row>
    <row r="2516">
      <c r="A2516" s="26"/>
      <c r="B2516" s="73"/>
      <c r="C2516" s="73"/>
      <c r="D2516" s="95"/>
      <c r="E2516" s="73"/>
      <c r="F2516" s="73"/>
      <c r="G2516" s="73"/>
      <c r="H2516" s="73"/>
      <c r="I2516" s="95"/>
      <c r="J2516" s="73"/>
      <c r="K2516" s="95"/>
      <c r="L2516" s="95"/>
      <c r="M2516" s="22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</row>
    <row r="2517">
      <c r="A2517" s="26"/>
      <c r="B2517" s="73"/>
      <c r="C2517" s="73"/>
      <c r="D2517" s="95"/>
      <c r="E2517" s="73"/>
      <c r="F2517" s="73"/>
      <c r="G2517" s="73"/>
      <c r="H2517" s="73"/>
      <c r="I2517" s="95"/>
      <c r="J2517" s="73"/>
      <c r="K2517" s="95"/>
      <c r="L2517" s="95"/>
      <c r="M2517" s="22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</row>
    <row r="2518">
      <c r="A2518" s="26"/>
      <c r="B2518" s="73"/>
      <c r="C2518" s="73"/>
      <c r="D2518" s="95"/>
      <c r="E2518" s="73"/>
      <c r="F2518" s="73"/>
      <c r="G2518" s="73"/>
      <c r="H2518" s="73"/>
      <c r="I2518" s="95"/>
      <c r="J2518" s="73"/>
      <c r="K2518" s="95"/>
      <c r="L2518" s="95"/>
      <c r="M2518" s="22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</row>
    <row r="2519">
      <c r="A2519" s="26"/>
      <c r="B2519" s="73"/>
      <c r="C2519" s="73"/>
      <c r="D2519" s="95"/>
      <c r="E2519" s="73"/>
      <c r="F2519" s="73"/>
      <c r="G2519" s="73"/>
      <c r="H2519" s="73"/>
      <c r="I2519" s="95"/>
      <c r="J2519" s="73"/>
      <c r="K2519" s="95"/>
      <c r="L2519" s="95"/>
      <c r="M2519" s="22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</row>
    <row r="2520">
      <c r="A2520" s="26"/>
      <c r="B2520" s="73"/>
      <c r="C2520" s="73"/>
      <c r="D2520" s="95"/>
      <c r="E2520" s="73"/>
      <c r="F2520" s="73"/>
      <c r="G2520" s="73"/>
      <c r="H2520" s="73"/>
      <c r="I2520" s="95"/>
      <c r="J2520" s="73"/>
      <c r="K2520" s="95"/>
      <c r="L2520" s="95"/>
      <c r="M2520" s="22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</row>
    <row r="2521">
      <c r="A2521" s="26"/>
      <c r="B2521" s="73"/>
      <c r="C2521" s="73"/>
      <c r="D2521" s="95"/>
      <c r="E2521" s="73"/>
      <c r="F2521" s="73"/>
      <c r="G2521" s="73"/>
      <c r="H2521" s="73"/>
      <c r="I2521" s="95"/>
      <c r="J2521" s="73"/>
      <c r="K2521" s="95"/>
      <c r="L2521" s="95"/>
      <c r="M2521" s="22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</row>
    <row r="2522">
      <c r="A2522" s="26"/>
      <c r="B2522" s="73"/>
      <c r="C2522" s="73"/>
      <c r="D2522" s="95"/>
      <c r="E2522" s="73"/>
      <c r="F2522" s="73"/>
      <c r="G2522" s="73"/>
      <c r="H2522" s="73"/>
      <c r="I2522" s="95"/>
      <c r="J2522" s="73"/>
      <c r="K2522" s="95"/>
      <c r="L2522" s="95"/>
      <c r="M2522" s="22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</row>
    <row r="2523">
      <c r="A2523" s="26"/>
      <c r="B2523" s="73"/>
      <c r="C2523" s="73"/>
      <c r="D2523" s="95"/>
      <c r="E2523" s="73"/>
      <c r="F2523" s="73"/>
      <c r="G2523" s="73"/>
      <c r="H2523" s="73"/>
      <c r="I2523" s="95"/>
      <c r="J2523" s="73"/>
      <c r="K2523" s="95"/>
      <c r="L2523" s="95"/>
      <c r="M2523" s="22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</row>
    <row r="2524">
      <c r="A2524" s="26"/>
      <c r="B2524" s="73"/>
      <c r="C2524" s="73"/>
      <c r="D2524" s="95"/>
      <c r="E2524" s="73"/>
      <c r="F2524" s="73"/>
      <c r="G2524" s="73"/>
      <c r="H2524" s="73"/>
      <c r="I2524" s="95"/>
      <c r="J2524" s="73"/>
      <c r="K2524" s="95"/>
      <c r="L2524" s="95"/>
      <c r="M2524" s="22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</row>
    <row r="2525">
      <c r="A2525" s="26"/>
      <c r="B2525" s="73"/>
      <c r="C2525" s="73"/>
      <c r="D2525" s="95"/>
      <c r="E2525" s="73"/>
      <c r="F2525" s="73"/>
      <c r="G2525" s="73"/>
      <c r="H2525" s="73"/>
      <c r="I2525" s="95"/>
      <c r="J2525" s="73"/>
      <c r="K2525" s="95"/>
      <c r="L2525" s="95"/>
      <c r="M2525" s="22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</row>
    <row r="2526">
      <c r="A2526" s="26"/>
      <c r="B2526" s="73"/>
      <c r="C2526" s="73"/>
      <c r="D2526" s="95"/>
      <c r="E2526" s="73"/>
      <c r="F2526" s="73"/>
      <c r="G2526" s="73"/>
      <c r="H2526" s="73"/>
      <c r="I2526" s="95"/>
      <c r="J2526" s="73"/>
      <c r="K2526" s="95"/>
      <c r="L2526" s="95"/>
      <c r="M2526" s="22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</row>
    <row r="2527">
      <c r="A2527" s="26"/>
      <c r="B2527" s="73"/>
      <c r="C2527" s="73"/>
      <c r="D2527" s="95"/>
      <c r="E2527" s="73"/>
      <c r="F2527" s="73"/>
      <c r="G2527" s="73"/>
      <c r="H2527" s="73"/>
      <c r="I2527" s="95"/>
      <c r="J2527" s="73"/>
      <c r="K2527" s="95"/>
      <c r="L2527" s="95"/>
      <c r="M2527" s="22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</row>
    <row r="2528">
      <c r="A2528" s="26"/>
      <c r="B2528" s="73"/>
      <c r="C2528" s="73"/>
      <c r="D2528" s="95"/>
      <c r="E2528" s="73"/>
      <c r="F2528" s="73"/>
      <c r="G2528" s="73"/>
      <c r="H2528" s="73"/>
      <c r="I2528" s="95"/>
      <c r="J2528" s="73"/>
      <c r="K2528" s="95"/>
      <c r="L2528" s="95"/>
      <c r="M2528" s="22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</row>
    <row r="2529">
      <c r="A2529" s="26"/>
      <c r="B2529" s="73"/>
      <c r="C2529" s="73"/>
      <c r="D2529" s="95"/>
      <c r="E2529" s="73"/>
      <c r="F2529" s="73"/>
      <c r="G2529" s="73"/>
      <c r="H2529" s="73"/>
      <c r="I2529" s="95"/>
      <c r="J2529" s="73"/>
      <c r="K2529" s="95"/>
      <c r="L2529" s="95"/>
      <c r="M2529" s="22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</row>
    <row r="2530">
      <c r="A2530" s="26"/>
      <c r="B2530" s="73"/>
      <c r="C2530" s="73"/>
      <c r="D2530" s="95"/>
      <c r="E2530" s="73"/>
      <c r="F2530" s="73"/>
      <c r="G2530" s="73"/>
      <c r="H2530" s="73"/>
      <c r="I2530" s="95"/>
      <c r="J2530" s="73"/>
      <c r="K2530" s="95"/>
      <c r="L2530" s="95"/>
      <c r="M2530" s="22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</row>
    <row r="2531">
      <c r="A2531" s="26"/>
      <c r="B2531" s="73"/>
      <c r="C2531" s="73"/>
      <c r="D2531" s="95"/>
      <c r="E2531" s="73"/>
      <c r="F2531" s="73"/>
      <c r="G2531" s="73"/>
      <c r="H2531" s="73"/>
      <c r="I2531" s="95"/>
      <c r="J2531" s="73"/>
      <c r="K2531" s="95"/>
      <c r="L2531" s="95"/>
      <c r="M2531" s="22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</row>
    <row r="2532">
      <c r="A2532" s="26"/>
      <c r="B2532" s="73"/>
      <c r="C2532" s="73"/>
      <c r="D2532" s="95"/>
      <c r="E2532" s="73"/>
      <c r="F2532" s="73"/>
      <c r="G2532" s="73"/>
      <c r="H2532" s="73"/>
      <c r="I2532" s="95"/>
      <c r="J2532" s="73"/>
      <c r="K2532" s="95"/>
      <c r="L2532" s="95"/>
      <c r="M2532" s="22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</row>
    <row r="2533">
      <c r="A2533" s="26"/>
      <c r="B2533" s="73"/>
      <c r="C2533" s="73"/>
      <c r="D2533" s="95"/>
      <c r="E2533" s="73"/>
      <c r="F2533" s="73"/>
      <c r="G2533" s="73"/>
      <c r="H2533" s="73"/>
      <c r="I2533" s="95"/>
      <c r="J2533" s="73"/>
      <c r="K2533" s="95"/>
      <c r="L2533" s="95"/>
      <c r="M2533" s="22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</row>
    <row r="2534">
      <c r="A2534" s="26"/>
      <c r="B2534" s="73"/>
      <c r="C2534" s="73"/>
      <c r="D2534" s="95"/>
      <c r="E2534" s="73"/>
      <c r="F2534" s="73"/>
      <c r="G2534" s="73"/>
      <c r="H2534" s="73"/>
      <c r="I2534" s="95"/>
      <c r="J2534" s="73"/>
      <c r="K2534" s="95"/>
      <c r="L2534" s="95"/>
      <c r="M2534" s="22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</row>
    <row r="2535">
      <c r="A2535" s="26"/>
      <c r="B2535" s="73"/>
      <c r="C2535" s="73"/>
      <c r="D2535" s="95"/>
      <c r="E2535" s="73"/>
      <c r="F2535" s="73"/>
      <c r="G2535" s="73"/>
      <c r="H2535" s="73"/>
      <c r="I2535" s="95"/>
      <c r="J2535" s="73"/>
      <c r="K2535" s="95"/>
      <c r="L2535" s="95"/>
      <c r="M2535" s="22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</row>
    <row r="2536">
      <c r="A2536" s="26"/>
      <c r="B2536" s="73"/>
      <c r="C2536" s="73"/>
      <c r="D2536" s="95"/>
      <c r="E2536" s="73"/>
      <c r="F2536" s="73"/>
      <c r="G2536" s="73"/>
      <c r="H2536" s="73"/>
      <c r="I2536" s="95"/>
      <c r="J2536" s="73"/>
      <c r="K2536" s="95"/>
      <c r="L2536" s="95"/>
      <c r="M2536" s="22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</row>
    <row r="2537">
      <c r="A2537" s="26"/>
      <c r="B2537" s="73"/>
      <c r="C2537" s="73"/>
      <c r="D2537" s="95"/>
      <c r="E2537" s="73"/>
      <c r="F2537" s="73"/>
      <c r="G2537" s="73"/>
      <c r="H2537" s="73"/>
      <c r="I2537" s="95"/>
      <c r="J2537" s="73"/>
      <c r="K2537" s="95"/>
      <c r="L2537" s="95"/>
      <c r="M2537" s="22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</row>
    <row r="2538">
      <c r="A2538" s="26"/>
      <c r="B2538" s="73"/>
      <c r="C2538" s="73"/>
      <c r="D2538" s="95"/>
      <c r="E2538" s="73"/>
      <c r="F2538" s="73"/>
      <c r="G2538" s="73"/>
      <c r="H2538" s="73"/>
      <c r="I2538" s="95"/>
      <c r="J2538" s="73"/>
      <c r="K2538" s="95"/>
      <c r="L2538" s="95"/>
      <c r="M2538" s="22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</row>
    <row r="2539">
      <c r="A2539" s="26"/>
      <c r="B2539" s="73"/>
      <c r="C2539" s="73"/>
      <c r="D2539" s="95"/>
      <c r="E2539" s="73"/>
      <c r="F2539" s="73"/>
      <c r="G2539" s="73"/>
      <c r="H2539" s="73"/>
      <c r="I2539" s="95"/>
      <c r="J2539" s="73"/>
      <c r="K2539" s="95"/>
      <c r="L2539" s="95"/>
      <c r="M2539" s="22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</row>
    <row r="2540">
      <c r="A2540" s="26"/>
      <c r="B2540" s="73"/>
      <c r="C2540" s="73"/>
      <c r="D2540" s="95"/>
      <c r="E2540" s="73"/>
      <c r="F2540" s="73"/>
      <c r="G2540" s="73"/>
      <c r="H2540" s="73"/>
      <c r="I2540" s="95"/>
      <c r="J2540" s="73"/>
      <c r="K2540" s="95"/>
      <c r="L2540" s="95"/>
      <c r="M2540" s="22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</row>
    <row r="2541">
      <c r="A2541" s="26"/>
      <c r="B2541" s="73"/>
      <c r="C2541" s="73"/>
      <c r="D2541" s="95"/>
      <c r="E2541" s="73"/>
      <c r="F2541" s="73"/>
      <c r="G2541" s="73"/>
      <c r="H2541" s="73"/>
      <c r="I2541" s="95"/>
      <c r="J2541" s="73"/>
      <c r="K2541" s="95"/>
      <c r="L2541" s="95"/>
      <c r="M2541" s="22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</row>
    <row r="2542">
      <c r="A2542" s="26"/>
      <c r="B2542" s="73"/>
      <c r="C2542" s="73"/>
      <c r="D2542" s="95"/>
      <c r="E2542" s="73"/>
      <c r="F2542" s="73"/>
      <c r="G2542" s="73"/>
      <c r="H2542" s="73"/>
      <c r="I2542" s="95"/>
      <c r="J2542" s="73"/>
      <c r="K2542" s="95"/>
      <c r="L2542" s="95"/>
      <c r="M2542" s="22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</row>
    <row r="2543">
      <c r="A2543" s="26"/>
      <c r="B2543" s="73"/>
      <c r="C2543" s="73"/>
      <c r="D2543" s="95"/>
      <c r="E2543" s="73"/>
      <c r="F2543" s="73"/>
      <c r="G2543" s="73"/>
      <c r="H2543" s="73"/>
      <c r="I2543" s="95"/>
      <c r="J2543" s="73"/>
      <c r="K2543" s="95"/>
      <c r="L2543" s="95"/>
      <c r="M2543" s="22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</row>
    <row r="2544">
      <c r="A2544" s="26"/>
      <c r="B2544" s="73"/>
      <c r="C2544" s="73"/>
      <c r="D2544" s="95"/>
      <c r="E2544" s="73"/>
      <c r="F2544" s="73"/>
      <c r="G2544" s="73"/>
      <c r="H2544" s="73"/>
      <c r="I2544" s="95"/>
      <c r="J2544" s="73"/>
      <c r="K2544" s="95"/>
      <c r="L2544" s="95"/>
      <c r="M2544" s="22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</row>
    <row r="2545">
      <c r="A2545" s="26"/>
      <c r="B2545" s="73"/>
      <c r="C2545" s="73"/>
      <c r="D2545" s="95"/>
      <c r="E2545" s="73"/>
      <c r="F2545" s="73"/>
      <c r="G2545" s="73"/>
      <c r="H2545" s="73"/>
      <c r="I2545" s="95"/>
      <c r="J2545" s="73"/>
      <c r="K2545" s="95"/>
      <c r="L2545" s="95"/>
      <c r="M2545" s="22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</row>
    <row r="2546">
      <c r="A2546" s="26"/>
      <c r="B2546" s="73"/>
      <c r="C2546" s="73"/>
      <c r="D2546" s="95"/>
      <c r="E2546" s="73"/>
      <c r="F2546" s="73"/>
      <c r="G2546" s="73"/>
      <c r="H2546" s="73"/>
      <c r="I2546" s="95"/>
      <c r="J2546" s="73"/>
      <c r="K2546" s="95"/>
      <c r="L2546" s="95"/>
      <c r="M2546" s="22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</row>
    <row r="2547">
      <c r="A2547" s="26"/>
      <c r="B2547" s="73"/>
      <c r="C2547" s="73"/>
      <c r="D2547" s="95"/>
      <c r="E2547" s="73"/>
      <c r="F2547" s="73"/>
      <c r="G2547" s="73"/>
      <c r="H2547" s="73"/>
      <c r="I2547" s="95"/>
      <c r="J2547" s="73"/>
      <c r="K2547" s="95"/>
      <c r="L2547" s="95"/>
      <c r="M2547" s="22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</row>
    <row r="2548">
      <c r="A2548" s="26"/>
      <c r="B2548" s="73"/>
      <c r="C2548" s="73"/>
      <c r="D2548" s="95"/>
      <c r="E2548" s="73"/>
      <c r="F2548" s="73"/>
      <c r="G2548" s="73"/>
      <c r="H2548" s="73"/>
      <c r="I2548" s="95"/>
      <c r="J2548" s="73"/>
      <c r="K2548" s="95"/>
      <c r="L2548" s="95"/>
      <c r="M2548" s="22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</row>
    <row r="2549">
      <c r="A2549" s="26"/>
      <c r="B2549" s="73"/>
      <c r="C2549" s="73"/>
      <c r="D2549" s="95"/>
      <c r="E2549" s="73"/>
      <c r="F2549" s="73"/>
      <c r="G2549" s="73"/>
      <c r="H2549" s="73"/>
      <c r="I2549" s="95"/>
      <c r="J2549" s="73"/>
      <c r="K2549" s="95"/>
      <c r="L2549" s="95"/>
      <c r="M2549" s="22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</row>
    <row r="2550">
      <c r="A2550" s="26"/>
      <c r="B2550" s="73"/>
      <c r="C2550" s="73"/>
      <c r="D2550" s="95"/>
      <c r="E2550" s="73"/>
      <c r="F2550" s="73"/>
      <c r="G2550" s="73"/>
      <c r="H2550" s="73"/>
      <c r="I2550" s="95"/>
      <c r="J2550" s="73"/>
      <c r="K2550" s="95"/>
      <c r="L2550" s="95"/>
      <c r="M2550" s="22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</row>
    <row r="2551">
      <c r="A2551" s="26"/>
      <c r="B2551" s="73"/>
      <c r="C2551" s="73"/>
      <c r="D2551" s="95"/>
      <c r="E2551" s="73"/>
      <c r="F2551" s="73"/>
      <c r="G2551" s="73"/>
      <c r="H2551" s="73"/>
      <c r="I2551" s="95"/>
      <c r="J2551" s="73"/>
      <c r="K2551" s="95"/>
      <c r="L2551" s="95"/>
      <c r="M2551" s="22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</row>
    <row r="2552">
      <c r="A2552" s="26"/>
      <c r="B2552" s="73"/>
      <c r="C2552" s="73"/>
      <c r="D2552" s="95"/>
      <c r="E2552" s="73"/>
      <c r="F2552" s="73"/>
      <c r="G2552" s="73"/>
      <c r="H2552" s="73"/>
      <c r="I2552" s="95"/>
      <c r="J2552" s="73"/>
      <c r="K2552" s="95"/>
      <c r="L2552" s="95"/>
      <c r="M2552" s="22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</row>
    <row r="2553">
      <c r="A2553" s="26"/>
      <c r="B2553" s="73"/>
      <c r="C2553" s="73"/>
      <c r="D2553" s="95"/>
      <c r="E2553" s="73"/>
      <c r="F2553" s="73"/>
      <c r="G2553" s="73"/>
      <c r="H2553" s="73"/>
      <c r="I2553" s="95"/>
      <c r="J2553" s="73"/>
      <c r="K2553" s="95"/>
      <c r="L2553" s="95"/>
      <c r="M2553" s="22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</row>
    <row r="2554">
      <c r="A2554" s="26"/>
      <c r="B2554" s="73"/>
      <c r="C2554" s="73"/>
      <c r="D2554" s="95"/>
      <c r="E2554" s="73"/>
      <c r="F2554" s="73"/>
      <c r="G2554" s="73"/>
      <c r="H2554" s="73"/>
      <c r="I2554" s="95"/>
      <c r="J2554" s="73"/>
      <c r="K2554" s="95"/>
      <c r="L2554" s="95"/>
      <c r="M2554" s="22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</row>
    <row r="2555">
      <c r="A2555" s="26"/>
      <c r="B2555" s="73"/>
      <c r="C2555" s="73"/>
      <c r="D2555" s="95"/>
      <c r="E2555" s="73"/>
      <c r="F2555" s="73"/>
      <c r="G2555" s="73"/>
      <c r="H2555" s="73"/>
      <c r="I2555" s="95"/>
      <c r="J2555" s="73"/>
      <c r="K2555" s="95"/>
      <c r="L2555" s="95"/>
      <c r="M2555" s="22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</row>
    <row r="2556">
      <c r="A2556" s="26"/>
      <c r="B2556" s="73"/>
      <c r="C2556" s="73"/>
      <c r="D2556" s="95"/>
      <c r="E2556" s="73"/>
      <c r="F2556" s="73"/>
      <c r="G2556" s="73"/>
      <c r="H2556" s="73"/>
      <c r="I2556" s="95"/>
      <c r="J2556" s="73"/>
      <c r="K2556" s="95"/>
      <c r="L2556" s="95"/>
      <c r="M2556" s="22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</row>
    <row r="2557">
      <c r="A2557" s="26"/>
      <c r="B2557" s="73"/>
      <c r="C2557" s="73"/>
      <c r="D2557" s="95"/>
      <c r="E2557" s="73"/>
      <c r="F2557" s="73"/>
      <c r="G2557" s="73"/>
      <c r="H2557" s="73"/>
      <c r="I2557" s="95"/>
      <c r="J2557" s="73"/>
      <c r="K2557" s="95"/>
      <c r="L2557" s="95"/>
      <c r="M2557" s="22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</row>
    <row r="2558">
      <c r="A2558" s="26"/>
      <c r="B2558" s="73"/>
      <c r="C2558" s="73"/>
      <c r="D2558" s="95"/>
      <c r="E2558" s="73"/>
      <c r="F2558" s="73"/>
      <c r="G2558" s="73"/>
      <c r="H2558" s="73"/>
      <c r="I2558" s="95"/>
      <c r="J2558" s="73"/>
      <c r="K2558" s="95"/>
      <c r="L2558" s="95"/>
      <c r="M2558" s="22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</row>
    <row r="2559">
      <c r="A2559" s="26"/>
      <c r="B2559" s="73"/>
      <c r="C2559" s="73"/>
      <c r="D2559" s="95"/>
      <c r="E2559" s="73"/>
      <c r="F2559" s="73"/>
      <c r="G2559" s="73"/>
      <c r="H2559" s="73"/>
      <c r="I2559" s="95"/>
      <c r="J2559" s="73"/>
      <c r="K2559" s="95"/>
      <c r="L2559" s="95"/>
      <c r="M2559" s="22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</row>
    <row r="2560">
      <c r="A2560" s="26"/>
      <c r="B2560" s="73"/>
      <c r="C2560" s="73"/>
      <c r="D2560" s="95"/>
      <c r="E2560" s="73"/>
      <c r="F2560" s="73"/>
      <c r="G2560" s="73"/>
      <c r="H2560" s="73"/>
      <c r="I2560" s="95"/>
      <c r="J2560" s="73"/>
      <c r="K2560" s="95"/>
      <c r="L2560" s="95"/>
      <c r="M2560" s="22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</row>
    <row r="2561">
      <c r="A2561" s="26"/>
      <c r="B2561" s="73"/>
      <c r="C2561" s="73"/>
      <c r="D2561" s="95"/>
      <c r="E2561" s="73"/>
      <c r="F2561" s="73"/>
      <c r="G2561" s="73"/>
      <c r="H2561" s="73"/>
      <c r="I2561" s="95"/>
      <c r="J2561" s="73"/>
      <c r="K2561" s="95"/>
      <c r="L2561" s="95"/>
      <c r="M2561" s="22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</row>
    <row r="2562">
      <c r="A2562" s="26"/>
      <c r="B2562" s="73"/>
      <c r="C2562" s="73"/>
      <c r="D2562" s="95"/>
      <c r="E2562" s="73"/>
      <c r="F2562" s="73"/>
      <c r="G2562" s="73"/>
      <c r="H2562" s="73"/>
      <c r="I2562" s="95"/>
      <c r="J2562" s="73"/>
      <c r="K2562" s="95"/>
      <c r="L2562" s="95"/>
      <c r="M2562" s="22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</row>
    <row r="2563">
      <c r="A2563" s="26"/>
      <c r="B2563" s="73"/>
      <c r="C2563" s="73"/>
      <c r="D2563" s="95"/>
      <c r="E2563" s="73"/>
      <c r="F2563" s="73"/>
      <c r="G2563" s="73"/>
      <c r="H2563" s="73"/>
      <c r="I2563" s="95"/>
      <c r="J2563" s="73"/>
      <c r="K2563" s="95"/>
      <c r="L2563" s="95"/>
      <c r="M2563" s="22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</row>
    <row r="2564">
      <c r="A2564" s="26"/>
      <c r="B2564" s="73"/>
      <c r="C2564" s="73"/>
      <c r="D2564" s="95"/>
      <c r="E2564" s="73"/>
      <c r="F2564" s="73"/>
      <c r="G2564" s="73"/>
      <c r="H2564" s="73"/>
      <c r="I2564" s="95"/>
      <c r="J2564" s="73"/>
      <c r="K2564" s="95"/>
      <c r="L2564" s="95"/>
      <c r="M2564" s="22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</row>
    <row r="2565">
      <c r="A2565" s="26"/>
      <c r="B2565" s="73"/>
      <c r="C2565" s="73"/>
      <c r="D2565" s="95"/>
      <c r="E2565" s="73"/>
      <c r="F2565" s="73"/>
      <c r="G2565" s="73"/>
      <c r="H2565" s="73"/>
      <c r="I2565" s="95"/>
      <c r="J2565" s="73"/>
      <c r="K2565" s="95"/>
      <c r="L2565" s="95"/>
      <c r="M2565" s="22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</row>
    <row r="2566">
      <c r="A2566" s="26"/>
      <c r="B2566" s="73"/>
      <c r="C2566" s="73"/>
      <c r="D2566" s="95"/>
      <c r="E2566" s="73"/>
      <c r="F2566" s="73"/>
      <c r="G2566" s="73"/>
      <c r="H2566" s="73"/>
      <c r="I2566" s="95"/>
      <c r="J2566" s="73"/>
      <c r="K2566" s="95"/>
      <c r="L2566" s="95"/>
      <c r="M2566" s="22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</row>
    <row r="2567">
      <c r="A2567" s="26"/>
      <c r="B2567" s="73"/>
      <c r="C2567" s="73"/>
      <c r="D2567" s="95"/>
      <c r="E2567" s="73"/>
      <c r="F2567" s="73"/>
      <c r="G2567" s="73"/>
      <c r="H2567" s="73"/>
      <c r="I2567" s="95"/>
      <c r="J2567" s="73"/>
      <c r="K2567" s="95"/>
      <c r="L2567" s="95"/>
      <c r="M2567" s="22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</row>
    <row r="2568">
      <c r="A2568" s="26"/>
      <c r="B2568" s="73"/>
      <c r="C2568" s="73"/>
      <c r="D2568" s="95"/>
      <c r="E2568" s="73"/>
      <c r="F2568" s="73"/>
      <c r="G2568" s="73"/>
      <c r="H2568" s="73"/>
      <c r="I2568" s="95"/>
      <c r="J2568" s="73"/>
      <c r="K2568" s="95"/>
      <c r="L2568" s="95"/>
      <c r="M2568" s="22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</row>
    <row r="2569">
      <c r="A2569" s="26"/>
      <c r="B2569" s="73"/>
      <c r="C2569" s="73"/>
      <c r="D2569" s="95"/>
      <c r="E2569" s="73"/>
      <c r="F2569" s="73"/>
      <c r="G2569" s="73"/>
      <c r="H2569" s="73"/>
      <c r="I2569" s="95"/>
      <c r="J2569" s="73"/>
      <c r="K2569" s="95"/>
      <c r="L2569" s="95"/>
      <c r="M2569" s="22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</row>
    <row r="2570">
      <c r="A2570" s="26"/>
      <c r="B2570" s="73"/>
      <c r="C2570" s="73"/>
      <c r="D2570" s="95"/>
      <c r="E2570" s="73"/>
      <c r="F2570" s="73"/>
      <c r="G2570" s="73"/>
      <c r="H2570" s="73"/>
      <c r="I2570" s="95"/>
      <c r="J2570" s="73"/>
      <c r="K2570" s="95"/>
      <c r="L2570" s="95"/>
      <c r="M2570" s="22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</row>
    <row r="2571">
      <c r="A2571" s="26"/>
      <c r="B2571" s="73"/>
      <c r="C2571" s="73"/>
      <c r="D2571" s="95"/>
      <c r="E2571" s="73"/>
      <c r="F2571" s="73"/>
      <c r="G2571" s="73"/>
      <c r="H2571" s="73"/>
      <c r="I2571" s="95"/>
      <c r="J2571" s="73"/>
      <c r="K2571" s="95"/>
      <c r="L2571" s="95"/>
      <c r="M2571" s="22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</row>
    <row r="2572">
      <c r="A2572" s="26"/>
      <c r="B2572" s="73"/>
      <c r="C2572" s="73"/>
      <c r="D2572" s="95"/>
      <c r="E2572" s="73"/>
      <c r="F2572" s="73"/>
      <c r="G2572" s="73"/>
      <c r="H2572" s="73"/>
      <c r="I2572" s="95"/>
      <c r="J2572" s="73"/>
      <c r="K2572" s="95"/>
      <c r="L2572" s="95"/>
      <c r="M2572" s="22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</row>
    <row r="2573">
      <c r="A2573" s="26"/>
      <c r="B2573" s="73"/>
      <c r="C2573" s="73"/>
      <c r="D2573" s="95"/>
      <c r="E2573" s="73"/>
      <c r="F2573" s="73"/>
      <c r="G2573" s="73"/>
      <c r="H2573" s="73"/>
      <c r="I2573" s="95"/>
      <c r="J2573" s="73"/>
      <c r="K2573" s="95"/>
      <c r="L2573" s="95"/>
      <c r="M2573" s="22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</row>
    <row r="2574">
      <c r="A2574" s="26"/>
      <c r="B2574" s="73"/>
      <c r="C2574" s="73"/>
      <c r="D2574" s="95"/>
      <c r="E2574" s="73"/>
      <c r="F2574" s="73"/>
      <c r="G2574" s="73"/>
      <c r="H2574" s="73"/>
      <c r="I2574" s="95"/>
      <c r="J2574" s="73"/>
      <c r="K2574" s="95"/>
      <c r="L2574" s="95"/>
      <c r="M2574" s="22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</row>
    <row r="2575">
      <c r="A2575" s="26"/>
      <c r="B2575" s="73"/>
      <c r="C2575" s="73"/>
      <c r="D2575" s="95"/>
      <c r="E2575" s="73"/>
      <c r="F2575" s="73"/>
      <c r="G2575" s="73"/>
      <c r="H2575" s="73"/>
      <c r="I2575" s="95"/>
      <c r="J2575" s="73"/>
      <c r="K2575" s="95"/>
      <c r="L2575" s="95"/>
      <c r="M2575" s="22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</row>
    <row r="2576">
      <c r="A2576" s="26"/>
      <c r="B2576" s="73"/>
      <c r="C2576" s="73"/>
      <c r="D2576" s="95"/>
      <c r="E2576" s="73"/>
      <c r="F2576" s="73"/>
      <c r="G2576" s="73"/>
      <c r="H2576" s="73"/>
      <c r="I2576" s="95"/>
      <c r="J2576" s="73"/>
      <c r="K2576" s="95"/>
      <c r="L2576" s="95"/>
      <c r="M2576" s="22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</row>
    <row r="2577">
      <c r="A2577" s="26"/>
      <c r="B2577" s="73"/>
      <c r="C2577" s="73"/>
      <c r="D2577" s="95"/>
      <c r="E2577" s="73"/>
      <c r="F2577" s="73"/>
      <c r="G2577" s="73"/>
      <c r="H2577" s="73"/>
      <c r="I2577" s="95"/>
      <c r="J2577" s="73"/>
      <c r="K2577" s="95"/>
      <c r="L2577" s="95"/>
      <c r="M2577" s="22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</row>
    <row r="2578">
      <c r="A2578" s="26"/>
      <c r="B2578" s="73"/>
      <c r="C2578" s="73"/>
      <c r="D2578" s="95"/>
      <c r="E2578" s="73"/>
      <c r="F2578" s="73"/>
      <c r="G2578" s="73"/>
      <c r="H2578" s="73"/>
      <c r="I2578" s="95"/>
      <c r="J2578" s="73"/>
      <c r="K2578" s="95"/>
      <c r="L2578" s="95"/>
      <c r="M2578" s="22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</row>
    <row r="2579">
      <c r="A2579" s="26"/>
      <c r="B2579" s="73"/>
      <c r="C2579" s="73"/>
      <c r="D2579" s="95"/>
      <c r="E2579" s="73"/>
      <c r="F2579" s="73"/>
      <c r="G2579" s="73"/>
      <c r="H2579" s="73"/>
      <c r="I2579" s="95"/>
      <c r="J2579" s="73"/>
      <c r="K2579" s="95"/>
      <c r="L2579" s="95"/>
      <c r="M2579" s="22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</row>
    <row r="2580">
      <c r="A2580" s="26"/>
      <c r="B2580" s="73"/>
      <c r="C2580" s="73"/>
      <c r="D2580" s="95"/>
      <c r="E2580" s="73"/>
      <c r="F2580" s="73"/>
      <c r="G2580" s="73"/>
      <c r="H2580" s="73"/>
      <c r="I2580" s="95"/>
      <c r="J2580" s="73"/>
      <c r="K2580" s="95"/>
      <c r="L2580" s="95"/>
      <c r="M2580" s="22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</row>
    <row r="2581">
      <c r="A2581" s="26"/>
      <c r="B2581" s="73"/>
      <c r="C2581" s="73"/>
      <c r="D2581" s="95"/>
      <c r="E2581" s="73"/>
      <c r="F2581" s="73"/>
      <c r="G2581" s="73"/>
      <c r="H2581" s="73"/>
      <c r="I2581" s="95"/>
      <c r="J2581" s="73"/>
      <c r="K2581" s="95"/>
      <c r="L2581" s="95"/>
      <c r="M2581" s="22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</row>
    <row r="2582">
      <c r="A2582" s="26"/>
      <c r="B2582" s="73"/>
      <c r="C2582" s="73"/>
      <c r="D2582" s="95"/>
      <c r="E2582" s="73"/>
      <c r="F2582" s="73"/>
      <c r="G2582" s="73"/>
      <c r="H2582" s="73"/>
      <c r="I2582" s="95"/>
      <c r="J2582" s="73"/>
      <c r="K2582" s="95"/>
      <c r="L2582" s="95"/>
      <c r="M2582" s="22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</row>
    <row r="2583">
      <c r="A2583" s="26"/>
      <c r="B2583" s="73"/>
      <c r="C2583" s="73"/>
      <c r="D2583" s="95"/>
      <c r="E2583" s="73"/>
      <c r="F2583" s="73"/>
      <c r="G2583" s="73"/>
      <c r="H2583" s="73"/>
      <c r="I2583" s="95"/>
      <c r="J2583" s="73"/>
      <c r="K2583" s="95"/>
      <c r="L2583" s="95"/>
      <c r="M2583" s="22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</row>
    <row r="2584">
      <c r="A2584" s="26"/>
      <c r="B2584" s="73"/>
      <c r="C2584" s="73"/>
      <c r="D2584" s="95"/>
      <c r="E2584" s="73"/>
      <c r="F2584" s="73"/>
      <c r="G2584" s="73"/>
      <c r="H2584" s="73"/>
      <c r="I2584" s="95"/>
      <c r="J2584" s="73"/>
      <c r="K2584" s="95"/>
      <c r="L2584" s="95"/>
      <c r="M2584" s="22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</row>
    <row r="2585">
      <c r="A2585" s="26"/>
      <c r="B2585" s="73"/>
      <c r="C2585" s="73"/>
      <c r="D2585" s="95"/>
      <c r="E2585" s="73"/>
      <c r="F2585" s="73"/>
      <c r="G2585" s="73"/>
      <c r="H2585" s="73"/>
      <c r="I2585" s="95"/>
      <c r="J2585" s="73"/>
      <c r="K2585" s="95"/>
      <c r="L2585" s="95"/>
      <c r="M2585" s="22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</row>
    <row r="2586">
      <c r="A2586" s="26"/>
      <c r="B2586" s="73"/>
      <c r="C2586" s="73"/>
      <c r="D2586" s="95"/>
      <c r="E2586" s="73"/>
      <c r="F2586" s="73"/>
      <c r="G2586" s="73"/>
      <c r="H2586" s="73"/>
      <c r="I2586" s="95"/>
      <c r="J2586" s="73"/>
      <c r="K2586" s="95"/>
      <c r="L2586" s="95"/>
      <c r="M2586" s="22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</row>
    <row r="2587">
      <c r="A2587" s="26"/>
      <c r="B2587" s="73"/>
      <c r="C2587" s="73"/>
      <c r="D2587" s="95"/>
      <c r="E2587" s="73"/>
      <c r="F2587" s="73"/>
      <c r="G2587" s="73"/>
      <c r="H2587" s="73"/>
      <c r="I2587" s="95"/>
      <c r="J2587" s="73"/>
      <c r="K2587" s="95"/>
      <c r="L2587" s="95"/>
      <c r="M2587" s="22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</row>
    <row r="2588">
      <c r="A2588" s="26"/>
      <c r="B2588" s="73"/>
      <c r="C2588" s="73"/>
      <c r="D2588" s="95"/>
      <c r="E2588" s="73"/>
      <c r="F2588" s="73"/>
      <c r="G2588" s="73"/>
      <c r="H2588" s="73"/>
      <c r="I2588" s="95"/>
      <c r="J2588" s="73"/>
      <c r="K2588" s="95"/>
      <c r="L2588" s="95"/>
      <c r="M2588" s="22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</row>
    <row r="2589">
      <c r="A2589" s="26"/>
      <c r="B2589" s="73"/>
      <c r="C2589" s="73"/>
      <c r="D2589" s="95"/>
      <c r="E2589" s="73"/>
      <c r="F2589" s="73"/>
      <c r="G2589" s="73"/>
      <c r="H2589" s="73"/>
      <c r="I2589" s="95"/>
      <c r="J2589" s="73"/>
      <c r="K2589" s="95"/>
      <c r="L2589" s="95"/>
      <c r="M2589" s="22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</row>
    <row r="2590">
      <c r="A2590" s="26"/>
      <c r="B2590" s="73"/>
      <c r="C2590" s="73"/>
      <c r="D2590" s="95"/>
      <c r="E2590" s="73"/>
      <c r="F2590" s="73"/>
      <c r="G2590" s="73"/>
      <c r="H2590" s="73"/>
      <c r="I2590" s="95"/>
      <c r="J2590" s="73"/>
      <c r="K2590" s="95"/>
      <c r="L2590" s="95"/>
      <c r="M2590" s="22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</row>
    <row r="2591">
      <c r="A2591" s="26"/>
      <c r="B2591" s="73"/>
      <c r="C2591" s="73"/>
      <c r="D2591" s="95"/>
      <c r="E2591" s="73"/>
      <c r="F2591" s="73"/>
      <c r="G2591" s="73"/>
      <c r="H2591" s="73"/>
      <c r="I2591" s="95"/>
      <c r="J2591" s="73"/>
      <c r="K2591" s="95"/>
      <c r="L2591" s="95"/>
      <c r="M2591" s="22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</row>
    <row r="2592">
      <c r="A2592" s="26"/>
      <c r="B2592" s="73"/>
      <c r="C2592" s="73"/>
      <c r="D2592" s="95"/>
      <c r="E2592" s="73"/>
      <c r="F2592" s="73"/>
      <c r="G2592" s="73"/>
      <c r="H2592" s="73"/>
      <c r="I2592" s="95"/>
      <c r="J2592" s="73"/>
      <c r="K2592" s="95"/>
      <c r="L2592" s="95"/>
      <c r="M2592" s="22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</row>
    <row r="2593">
      <c r="A2593" s="26"/>
      <c r="B2593" s="73"/>
      <c r="C2593" s="73"/>
      <c r="D2593" s="95"/>
      <c r="E2593" s="73"/>
      <c r="F2593" s="73"/>
      <c r="G2593" s="73"/>
      <c r="H2593" s="73"/>
      <c r="I2593" s="95"/>
      <c r="J2593" s="73"/>
      <c r="K2593" s="95"/>
      <c r="L2593" s="95"/>
      <c r="M2593" s="22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</row>
    <row r="2594">
      <c r="A2594" s="26"/>
      <c r="B2594" s="73"/>
      <c r="C2594" s="73"/>
      <c r="D2594" s="95"/>
      <c r="E2594" s="73"/>
      <c r="F2594" s="73"/>
      <c r="G2594" s="73"/>
      <c r="H2594" s="73"/>
      <c r="I2594" s="95"/>
      <c r="J2594" s="73"/>
      <c r="K2594" s="95"/>
      <c r="L2594" s="95"/>
      <c r="M2594" s="22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</row>
    <row r="2595">
      <c r="A2595" s="26"/>
      <c r="B2595" s="73"/>
      <c r="C2595" s="73"/>
      <c r="D2595" s="95"/>
      <c r="E2595" s="73"/>
      <c r="F2595" s="73"/>
      <c r="G2595" s="73"/>
      <c r="H2595" s="73"/>
      <c r="I2595" s="95"/>
      <c r="J2595" s="73"/>
      <c r="K2595" s="95"/>
      <c r="L2595" s="95"/>
      <c r="M2595" s="22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</row>
    <row r="2596">
      <c r="A2596" s="26"/>
      <c r="B2596" s="73"/>
      <c r="C2596" s="73"/>
      <c r="D2596" s="95"/>
      <c r="E2596" s="73"/>
      <c r="F2596" s="73"/>
      <c r="G2596" s="73"/>
      <c r="H2596" s="73"/>
      <c r="I2596" s="95"/>
      <c r="J2596" s="73"/>
      <c r="K2596" s="95"/>
      <c r="L2596" s="95"/>
      <c r="M2596" s="22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</row>
    <row r="2597">
      <c r="A2597" s="26"/>
      <c r="B2597" s="73"/>
      <c r="C2597" s="73"/>
      <c r="D2597" s="95"/>
      <c r="E2597" s="73"/>
      <c r="F2597" s="73"/>
      <c r="G2597" s="73"/>
      <c r="H2597" s="73"/>
      <c r="I2597" s="95"/>
      <c r="J2597" s="73"/>
      <c r="K2597" s="95"/>
      <c r="L2597" s="95"/>
      <c r="M2597" s="22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</row>
    <row r="2598">
      <c r="A2598" s="26"/>
      <c r="B2598" s="73"/>
      <c r="C2598" s="73"/>
      <c r="D2598" s="95"/>
      <c r="E2598" s="73"/>
      <c r="F2598" s="73"/>
      <c r="G2598" s="73"/>
      <c r="H2598" s="73"/>
      <c r="I2598" s="95"/>
      <c r="J2598" s="73"/>
      <c r="K2598" s="95"/>
      <c r="L2598" s="95"/>
      <c r="M2598" s="22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</row>
    <row r="2599">
      <c r="A2599" s="26"/>
      <c r="B2599" s="73"/>
      <c r="C2599" s="73"/>
      <c r="D2599" s="95"/>
      <c r="E2599" s="73"/>
      <c r="F2599" s="73"/>
      <c r="G2599" s="73"/>
      <c r="H2599" s="73"/>
      <c r="I2599" s="95"/>
      <c r="J2599" s="73"/>
      <c r="K2599" s="95"/>
      <c r="L2599" s="95"/>
      <c r="M2599" s="22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</row>
    <row r="2600">
      <c r="A2600" s="26"/>
      <c r="B2600" s="73"/>
      <c r="C2600" s="73"/>
      <c r="D2600" s="95"/>
      <c r="E2600" s="73"/>
      <c r="F2600" s="73"/>
      <c r="G2600" s="73"/>
      <c r="H2600" s="73"/>
      <c r="I2600" s="95"/>
      <c r="J2600" s="73"/>
      <c r="K2600" s="95"/>
      <c r="L2600" s="95"/>
      <c r="M2600" s="22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</row>
    <row r="2601">
      <c r="A2601" s="26"/>
      <c r="B2601" s="73"/>
      <c r="C2601" s="73"/>
      <c r="D2601" s="95"/>
      <c r="E2601" s="73"/>
      <c r="F2601" s="73"/>
      <c r="G2601" s="73"/>
      <c r="H2601" s="73"/>
      <c r="I2601" s="95"/>
      <c r="J2601" s="73"/>
      <c r="K2601" s="95"/>
      <c r="L2601" s="95"/>
      <c r="M2601" s="22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</row>
    <row r="2602">
      <c r="A2602" s="26"/>
      <c r="B2602" s="73"/>
      <c r="C2602" s="73"/>
      <c r="D2602" s="95"/>
      <c r="E2602" s="73"/>
      <c r="F2602" s="73"/>
      <c r="G2602" s="73"/>
      <c r="H2602" s="73"/>
      <c r="I2602" s="95"/>
      <c r="J2602" s="73"/>
      <c r="K2602" s="95"/>
      <c r="L2602" s="95"/>
      <c r="M2602" s="22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</row>
    <row r="2603">
      <c r="A2603" s="26"/>
      <c r="B2603" s="73"/>
      <c r="C2603" s="73"/>
      <c r="D2603" s="95"/>
      <c r="E2603" s="73"/>
      <c r="F2603" s="73"/>
      <c r="G2603" s="73"/>
      <c r="H2603" s="73"/>
      <c r="I2603" s="95"/>
      <c r="J2603" s="73"/>
      <c r="K2603" s="95"/>
      <c r="L2603" s="95"/>
      <c r="M2603" s="22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</row>
    <row r="2604">
      <c r="A2604" s="26"/>
      <c r="B2604" s="73"/>
      <c r="C2604" s="73"/>
      <c r="D2604" s="95"/>
      <c r="E2604" s="73"/>
      <c r="F2604" s="73"/>
      <c r="G2604" s="73"/>
      <c r="H2604" s="73"/>
      <c r="I2604" s="95"/>
      <c r="J2604" s="73"/>
      <c r="K2604" s="95"/>
      <c r="L2604" s="95"/>
      <c r="M2604" s="22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</row>
    <row r="2605">
      <c r="A2605" s="26"/>
      <c r="B2605" s="73"/>
      <c r="C2605" s="73"/>
      <c r="D2605" s="95"/>
      <c r="E2605" s="73"/>
      <c r="F2605" s="73"/>
      <c r="G2605" s="73"/>
      <c r="H2605" s="73"/>
      <c r="I2605" s="95"/>
      <c r="J2605" s="73"/>
      <c r="K2605" s="95"/>
      <c r="L2605" s="95"/>
      <c r="M2605" s="22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</row>
    <row r="2606">
      <c r="A2606" s="26"/>
      <c r="B2606" s="73"/>
      <c r="C2606" s="73"/>
      <c r="D2606" s="95"/>
      <c r="E2606" s="73"/>
      <c r="F2606" s="73"/>
      <c r="G2606" s="73"/>
      <c r="H2606" s="73"/>
      <c r="I2606" s="95"/>
      <c r="J2606" s="73"/>
      <c r="K2606" s="95"/>
      <c r="L2606" s="95"/>
      <c r="M2606" s="22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</row>
    <row r="2607">
      <c r="A2607" s="26"/>
      <c r="B2607" s="73"/>
      <c r="C2607" s="73"/>
      <c r="D2607" s="95"/>
      <c r="E2607" s="73"/>
      <c r="F2607" s="73"/>
      <c r="G2607" s="73"/>
      <c r="H2607" s="73"/>
      <c r="I2607" s="95"/>
      <c r="J2607" s="73"/>
      <c r="K2607" s="95"/>
      <c r="L2607" s="95"/>
      <c r="M2607" s="22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</row>
    <row r="2608">
      <c r="A2608" s="26"/>
      <c r="B2608" s="73"/>
      <c r="C2608" s="73"/>
      <c r="D2608" s="95"/>
      <c r="E2608" s="73"/>
      <c r="F2608" s="73"/>
      <c r="G2608" s="73"/>
      <c r="H2608" s="73"/>
      <c r="I2608" s="95"/>
      <c r="J2608" s="73"/>
      <c r="K2608" s="95"/>
      <c r="L2608" s="95"/>
      <c r="M2608" s="22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</row>
    <row r="2609">
      <c r="A2609" s="26"/>
      <c r="B2609" s="73"/>
      <c r="C2609" s="73"/>
      <c r="D2609" s="95"/>
      <c r="E2609" s="73"/>
      <c r="F2609" s="73"/>
      <c r="G2609" s="73"/>
      <c r="H2609" s="73"/>
      <c r="I2609" s="95"/>
      <c r="J2609" s="73"/>
      <c r="K2609" s="95"/>
      <c r="L2609" s="95"/>
      <c r="M2609" s="22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</row>
    <row r="2610">
      <c r="A2610" s="26"/>
      <c r="B2610" s="73"/>
      <c r="C2610" s="73"/>
      <c r="D2610" s="95"/>
      <c r="E2610" s="73"/>
      <c r="F2610" s="73"/>
      <c r="G2610" s="73"/>
      <c r="H2610" s="73"/>
      <c r="I2610" s="95"/>
      <c r="J2610" s="73"/>
      <c r="K2610" s="95"/>
      <c r="L2610" s="95"/>
      <c r="M2610" s="22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</row>
    <row r="2611">
      <c r="A2611" s="26"/>
      <c r="B2611" s="73"/>
      <c r="C2611" s="73"/>
      <c r="D2611" s="95"/>
      <c r="E2611" s="73"/>
      <c r="F2611" s="73"/>
      <c r="G2611" s="73"/>
      <c r="H2611" s="73"/>
      <c r="I2611" s="95"/>
      <c r="J2611" s="73"/>
      <c r="K2611" s="95"/>
      <c r="L2611" s="95"/>
      <c r="M2611" s="22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</row>
    <row r="2612">
      <c r="A2612" s="26"/>
      <c r="B2612" s="73"/>
      <c r="C2612" s="73"/>
      <c r="D2612" s="95"/>
      <c r="E2612" s="73"/>
      <c r="F2612" s="73"/>
      <c r="G2612" s="73"/>
      <c r="H2612" s="73"/>
      <c r="I2612" s="95"/>
      <c r="J2612" s="73"/>
      <c r="K2612" s="95"/>
      <c r="L2612" s="95"/>
      <c r="M2612" s="22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</row>
    <row r="2613">
      <c r="A2613" s="26"/>
      <c r="B2613" s="73"/>
      <c r="C2613" s="73"/>
      <c r="D2613" s="95"/>
      <c r="E2613" s="73"/>
      <c r="F2613" s="73"/>
      <c r="G2613" s="73"/>
      <c r="H2613" s="73"/>
      <c r="I2613" s="95"/>
      <c r="J2613" s="73"/>
      <c r="K2613" s="95"/>
      <c r="L2613" s="95"/>
      <c r="M2613" s="22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</row>
    <row r="2614">
      <c r="A2614" s="26"/>
      <c r="B2614" s="73"/>
      <c r="C2614" s="73"/>
      <c r="D2614" s="95"/>
      <c r="E2614" s="73"/>
      <c r="F2614" s="73"/>
      <c r="G2614" s="73"/>
      <c r="H2614" s="73"/>
      <c r="I2614" s="95"/>
      <c r="J2614" s="73"/>
      <c r="K2614" s="95"/>
      <c r="L2614" s="95"/>
      <c r="M2614" s="22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</row>
    <row r="2615">
      <c r="A2615" s="26"/>
      <c r="B2615" s="73"/>
      <c r="C2615" s="73"/>
      <c r="D2615" s="95"/>
      <c r="E2615" s="73"/>
      <c r="F2615" s="73"/>
      <c r="G2615" s="73"/>
      <c r="H2615" s="73"/>
      <c r="I2615" s="95"/>
      <c r="J2615" s="73"/>
      <c r="K2615" s="95"/>
      <c r="L2615" s="95"/>
      <c r="M2615" s="22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</row>
    <row r="2616">
      <c r="A2616" s="26"/>
      <c r="B2616" s="73"/>
      <c r="C2616" s="73"/>
      <c r="D2616" s="95"/>
      <c r="E2616" s="73"/>
      <c r="F2616" s="73"/>
      <c r="G2616" s="73"/>
      <c r="H2616" s="73"/>
      <c r="I2616" s="95"/>
      <c r="J2616" s="73"/>
      <c r="K2616" s="95"/>
      <c r="L2616" s="95"/>
      <c r="M2616" s="22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</row>
    <row r="2617">
      <c r="A2617" s="26"/>
      <c r="B2617" s="73"/>
      <c r="C2617" s="73"/>
      <c r="D2617" s="95"/>
      <c r="E2617" s="73"/>
      <c r="F2617" s="73"/>
      <c r="G2617" s="73"/>
      <c r="H2617" s="73"/>
      <c r="I2617" s="95"/>
      <c r="J2617" s="73"/>
      <c r="K2617" s="95"/>
      <c r="L2617" s="95"/>
      <c r="M2617" s="22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</row>
    <row r="2618">
      <c r="A2618" s="26"/>
      <c r="B2618" s="73"/>
      <c r="C2618" s="73"/>
      <c r="D2618" s="95"/>
      <c r="E2618" s="73"/>
      <c r="F2618" s="73"/>
      <c r="G2618" s="73"/>
      <c r="H2618" s="73"/>
      <c r="I2618" s="95"/>
      <c r="J2618" s="73"/>
      <c r="K2618" s="95"/>
      <c r="L2618" s="95"/>
      <c r="M2618" s="22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</row>
    <row r="2619">
      <c r="A2619" s="26"/>
      <c r="B2619" s="73"/>
      <c r="C2619" s="73"/>
      <c r="D2619" s="95"/>
      <c r="E2619" s="73"/>
      <c r="F2619" s="73"/>
      <c r="G2619" s="73"/>
      <c r="H2619" s="73"/>
      <c r="I2619" s="95"/>
      <c r="J2619" s="73"/>
      <c r="K2619" s="95"/>
      <c r="L2619" s="95"/>
      <c r="M2619" s="22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</row>
    <row r="2620">
      <c r="A2620" s="26"/>
      <c r="B2620" s="73"/>
      <c r="C2620" s="73"/>
      <c r="D2620" s="95"/>
      <c r="E2620" s="73"/>
      <c r="F2620" s="73"/>
      <c r="G2620" s="73"/>
      <c r="H2620" s="73"/>
      <c r="I2620" s="95"/>
      <c r="J2620" s="73"/>
      <c r="K2620" s="95"/>
      <c r="L2620" s="95"/>
      <c r="M2620" s="22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</row>
    <row r="2621">
      <c r="A2621" s="26"/>
      <c r="B2621" s="73"/>
      <c r="C2621" s="73"/>
      <c r="D2621" s="95"/>
      <c r="E2621" s="73"/>
      <c r="F2621" s="73"/>
      <c r="G2621" s="73"/>
      <c r="H2621" s="73"/>
      <c r="I2621" s="95"/>
      <c r="J2621" s="73"/>
      <c r="K2621" s="95"/>
      <c r="L2621" s="95"/>
      <c r="M2621" s="22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</row>
    <row r="2622">
      <c r="A2622" s="26"/>
      <c r="B2622" s="73"/>
      <c r="C2622" s="73"/>
      <c r="D2622" s="95"/>
      <c r="E2622" s="73"/>
      <c r="F2622" s="73"/>
      <c r="G2622" s="73"/>
      <c r="H2622" s="73"/>
      <c r="I2622" s="95"/>
      <c r="J2622" s="73"/>
      <c r="K2622" s="95"/>
      <c r="L2622" s="95"/>
      <c r="M2622" s="22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</row>
    <row r="2623">
      <c r="A2623" s="26"/>
      <c r="B2623" s="73"/>
      <c r="C2623" s="73"/>
      <c r="D2623" s="95"/>
      <c r="E2623" s="73"/>
      <c r="F2623" s="73"/>
      <c r="G2623" s="73"/>
      <c r="H2623" s="73"/>
      <c r="I2623" s="95"/>
      <c r="J2623" s="73"/>
      <c r="K2623" s="95"/>
      <c r="L2623" s="95"/>
      <c r="M2623" s="22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</row>
    <row r="2624">
      <c r="A2624" s="26"/>
      <c r="B2624" s="73"/>
      <c r="C2624" s="73"/>
      <c r="D2624" s="95"/>
      <c r="E2624" s="73"/>
      <c r="F2624" s="73"/>
      <c r="G2624" s="73"/>
      <c r="H2624" s="73"/>
      <c r="I2624" s="95"/>
      <c r="J2624" s="73"/>
      <c r="K2624" s="95"/>
      <c r="L2624" s="95"/>
      <c r="M2624" s="22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</row>
    <row r="2625">
      <c r="A2625" s="26"/>
      <c r="B2625" s="73"/>
      <c r="C2625" s="73"/>
      <c r="D2625" s="95"/>
      <c r="E2625" s="73"/>
      <c r="F2625" s="73"/>
      <c r="G2625" s="73"/>
      <c r="H2625" s="73"/>
      <c r="I2625" s="95"/>
      <c r="J2625" s="73"/>
      <c r="K2625" s="95"/>
      <c r="L2625" s="95"/>
      <c r="M2625" s="22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</row>
    <row r="2626">
      <c r="A2626" s="26"/>
      <c r="B2626" s="73"/>
      <c r="C2626" s="73"/>
      <c r="D2626" s="95"/>
      <c r="E2626" s="73"/>
      <c r="F2626" s="73"/>
      <c r="G2626" s="73"/>
      <c r="H2626" s="73"/>
      <c r="I2626" s="95"/>
      <c r="J2626" s="73"/>
      <c r="K2626" s="95"/>
      <c r="L2626" s="95"/>
      <c r="M2626" s="22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</row>
    <row r="2627">
      <c r="A2627" s="26"/>
      <c r="B2627" s="73"/>
      <c r="C2627" s="73"/>
      <c r="D2627" s="95"/>
      <c r="E2627" s="73"/>
      <c r="F2627" s="73"/>
      <c r="G2627" s="73"/>
      <c r="H2627" s="73"/>
      <c r="I2627" s="95"/>
      <c r="J2627" s="73"/>
      <c r="K2627" s="95"/>
      <c r="L2627" s="95"/>
      <c r="M2627" s="22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</row>
    <row r="2628">
      <c r="A2628" s="26"/>
      <c r="B2628" s="73"/>
      <c r="C2628" s="73"/>
      <c r="D2628" s="95"/>
      <c r="E2628" s="73"/>
      <c r="F2628" s="73"/>
      <c r="G2628" s="73"/>
      <c r="H2628" s="73"/>
      <c r="I2628" s="95"/>
      <c r="J2628" s="73"/>
      <c r="K2628" s="95"/>
      <c r="L2628" s="95"/>
      <c r="M2628" s="22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</row>
    <row r="2629">
      <c r="A2629" s="26"/>
      <c r="B2629" s="73"/>
      <c r="C2629" s="73"/>
      <c r="D2629" s="95"/>
      <c r="E2629" s="73"/>
      <c r="F2629" s="73"/>
      <c r="G2629" s="73"/>
      <c r="H2629" s="73"/>
      <c r="I2629" s="95"/>
      <c r="J2629" s="73"/>
      <c r="K2629" s="95"/>
      <c r="L2629" s="95"/>
      <c r="M2629" s="22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</row>
    <row r="2630">
      <c r="A2630" s="26"/>
      <c r="B2630" s="73"/>
      <c r="C2630" s="73"/>
      <c r="D2630" s="95"/>
      <c r="E2630" s="73"/>
      <c r="F2630" s="73"/>
      <c r="G2630" s="73"/>
      <c r="H2630" s="73"/>
      <c r="I2630" s="95"/>
      <c r="J2630" s="73"/>
      <c r="K2630" s="95"/>
      <c r="L2630" s="95"/>
      <c r="M2630" s="22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</row>
    <row r="2631">
      <c r="A2631" s="26"/>
      <c r="B2631" s="73"/>
      <c r="C2631" s="73"/>
      <c r="D2631" s="95"/>
      <c r="E2631" s="73"/>
      <c r="F2631" s="73"/>
      <c r="G2631" s="73"/>
      <c r="H2631" s="73"/>
      <c r="I2631" s="95"/>
      <c r="J2631" s="73"/>
      <c r="K2631" s="95"/>
      <c r="L2631" s="95"/>
      <c r="M2631" s="22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</row>
    <row r="2632">
      <c r="A2632" s="26"/>
      <c r="B2632" s="73"/>
      <c r="C2632" s="73"/>
      <c r="D2632" s="95"/>
      <c r="E2632" s="73"/>
      <c r="F2632" s="73"/>
      <c r="G2632" s="73"/>
      <c r="H2632" s="73"/>
      <c r="I2632" s="95"/>
      <c r="J2632" s="73"/>
      <c r="K2632" s="95"/>
      <c r="L2632" s="95"/>
      <c r="M2632" s="22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</row>
    <row r="2633">
      <c r="A2633" s="26"/>
      <c r="B2633" s="73"/>
      <c r="C2633" s="73"/>
      <c r="D2633" s="95"/>
      <c r="E2633" s="73"/>
      <c r="F2633" s="73"/>
      <c r="G2633" s="73"/>
      <c r="H2633" s="73"/>
      <c r="I2633" s="95"/>
      <c r="J2633" s="73"/>
      <c r="K2633" s="95"/>
      <c r="L2633" s="95"/>
      <c r="M2633" s="22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</row>
    <row r="2634">
      <c r="A2634" s="26"/>
      <c r="B2634" s="73"/>
      <c r="C2634" s="73"/>
      <c r="D2634" s="95"/>
      <c r="E2634" s="73"/>
      <c r="F2634" s="73"/>
      <c r="G2634" s="73"/>
      <c r="H2634" s="73"/>
      <c r="I2634" s="95"/>
      <c r="J2634" s="73"/>
      <c r="K2634" s="95"/>
      <c r="L2634" s="95"/>
      <c r="M2634" s="22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</row>
    <row r="2635">
      <c r="A2635" s="26"/>
      <c r="B2635" s="73"/>
      <c r="C2635" s="73"/>
      <c r="D2635" s="95"/>
      <c r="E2635" s="73"/>
      <c r="F2635" s="73"/>
      <c r="G2635" s="73"/>
      <c r="H2635" s="73"/>
      <c r="I2635" s="95"/>
      <c r="J2635" s="73"/>
      <c r="K2635" s="95"/>
      <c r="L2635" s="95"/>
      <c r="M2635" s="22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</row>
    <row r="2636">
      <c r="A2636" s="26"/>
      <c r="B2636" s="73"/>
      <c r="C2636" s="73"/>
      <c r="D2636" s="95"/>
      <c r="E2636" s="73"/>
      <c r="F2636" s="73"/>
      <c r="G2636" s="73"/>
      <c r="H2636" s="73"/>
      <c r="I2636" s="95"/>
      <c r="J2636" s="73"/>
      <c r="K2636" s="95"/>
      <c r="L2636" s="95"/>
      <c r="M2636" s="22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</row>
    <row r="2637">
      <c r="A2637" s="26"/>
      <c r="B2637" s="73"/>
      <c r="C2637" s="73"/>
      <c r="D2637" s="95"/>
      <c r="E2637" s="73"/>
      <c r="F2637" s="73"/>
      <c r="G2637" s="73"/>
      <c r="H2637" s="73"/>
      <c r="I2637" s="95"/>
      <c r="J2637" s="73"/>
      <c r="K2637" s="95"/>
      <c r="L2637" s="95"/>
      <c r="M2637" s="22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</row>
    <row r="2638">
      <c r="A2638" s="26"/>
      <c r="B2638" s="73"/>
      <c r="C2638" s="73"/>
      <c r="D2638" s="95"/>
      <c r="E2638" s="73"/>
      <c r="F2638" s="73"/>
      <c r="G2638" s="73"/>
      <c r="H2638" s="73"/>
      <c r="I2638" s="95"/>
      <c r="J2638" s="73"/>
      <c r="K2638" s="95"/>
      <c r="L2638" s="95"/>
      <c r="M2638" s="22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</row>
    <row r="2639">
      <c r="A2639" s="26"/>
      <c r="B2639" s="73"/>
      <c r="C2639" s="73"/>
      <c r="D2639" s="95"/>
      <c r="E2639" s="73"/>
      <c r="F2639" s="73"/>
      <c r="G2639" s="73"/>
      <c r="H2639" s="73"/>
      <c r="I2639" s="95"/>
      <c r="J2639" s="73"/>
      <c r="K2639" s="95"/>
      <c r="L2639" s="95"/>
      <c r="M2639" s="22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</row>
    <row r="2640">
      <c r="A2640" s="26"/>
      <c r="B2640" s="73"/>
      <c r="C2640" s="73"/>
      <c r="D2640" s="95"/>
      <c r="E2640" s="73"/>
      <c r="F2640" s="73"/>
      <c r="G2640" s="73"/>
      <c r="H2640" s="73"/>
      <c r="I2640" s="95"/>
      <c r="J2640" s="73"/>
      <c r="K2640" s="95"/>
      <c r="L2640" s="95"/>
      <c r="M2640" s="22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</row>
    <row r="2641">
      <c r="A2641" s="26"/>
      <c r="B2641" s="73"/>
      <c r="C2641" s="73"/>
      <c r="D2641" s="95"/>
      <c r="E2641" s="73"/>
      <c r="F2641" s="73"/>
      <c r="G2641" s="73"/>
      <c r="H2641" s="73"/>
      <c r="I2641" s="95"/>
      <c r="J2641" s="73"/>
      <c r="K2641" s="95"/>
      <c r="L2641" s="95"/>
      <c r="M2641" s="22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</row>
    <row r="2642">
      <c r="A2642" s="26"/>
      <c r="B2642" s="73"/>
      <c r="C2642" s="73"/>
      <c r="D2642" s="95"/>
      <c r="E2642" s="73"/>
      <c r="F2642" s="73"/>
      <c r="G2642" s="73"/>
      <c r="H2642" s="73"/>
      <c r="I2642" s="95"/>
      <c r="J2642" s="73"/>
      <c r="K2642" s="95"/>
      <c r="L2642" s="95"/>
      <c r="M2642" s="22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</row>
    <row r="2643">
      <c r="A2643" s="26"/>
      <c r="B2643" s="73"/>
      <c r="C2643" s="73"/>
      <c r="D2643" s="95"/>
      <c r="E2643" s="73"/>
      <c r="F2643" s="73"/>
      <c r="G2643" s="73"/>
      <c r="H2643" s="73"/>
      <c r="I2643" s="95"/>
      <c r="J2643" s="73"/>
      <c r="K2643" s="95"/>
      <c r="L2643" s="95"/>
      <c r="M2643" s="22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</row>
    <row r="2644">
      <c r="A2644" s="26"/>
      <c r="B2644" s="73"/>
      <c r="C2644" s="73"/>
      <c r="D2644" s="95"/>
      <c r="E2644" s="73"/>
      <c r="F2644" s="73"/>
      <c r="G2644" s="73"/>
      <c r="H2644" s="73"/>
      <c r="I2644" s="95"/>
      <c r="J2644" s="73"/>
      <c r="K2644" s="95"/>
      <c r="L2644" s="95"/>
      <c r="M2644" s="22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</row>
    <row r="2645">
      <c r="A2645" s="26"/>
      <c r="B2645" s="73"/>
      <c r="C2645" s="73"/>
      <c r="D2645" s="95"/>
      <c r="E2645" s="73"/>
      <c r="F2645" s="73"/>
      <c r="G2645" s="73"/>
      <c r="H2645" s="73"/>
      <c r="I2645" s="95"/>
      <c r="J2645" s="73"/>
      <c r="K2645" s="95"/>
      <c r="L2645" s="95"/>
      <c r="M2645" s="22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</row>
    <row r="2646">
      <c r="A2646" s="26"/>
      <c r="B2646" s="73"/>
      <c r="C2646" s="73"/>
      <c r="D2646" s="95"/>
      <c r="E2646" s="73"/>
      <c r="F2646" s="73"/>
      <c r="G2646" s="73"/>
      <c r="H2646" s="73"/>
      <c r="I2646" s="95"/>
      <c r="J2646" s="73"/>
      <c r="K2646" s="95"/>
      <c r="L2646" s="95"/>
      <c r="M2646" s="22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</row>
    <row r="2647">
      <c r="A2647" s="26"/>
      <c r="B2647" s="73"/>
      <c r="C2647" s="73"/>
      <c r="D2647" s="95"/>
      <c r="E2647" s="73"/>
      <c r="F2647" s="73"/>
      <c r="G2647" s="73"/>
      <c r="H2647" s="73"/>
      <c r="I2647" s="95"/>
      <c r="J2647" s="73"/>
      <c r="K2647" s="95"/>
      <c r="L2647" s="95"/>
      <c r="M2647" s="22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</row>
    <row r="2648">
      <c r="A2648" s="26"/>
      <c r="B2648" s="73"/>
      <c r="C2648" s="73"/>
      <c r="D2648" s="95"/>
      <c r="E2648" s="73"/>
      <c r="F2648" s="73"/>
      <c r="G2648" s="73"/>
      <c r="H2648" s="73"/>
      <c r="I2648" s="95"/>
      <c r="J2648" s="73"/>
      <c r="K2648" s="95"/>
      <c r="L2648" s="95"/>
      <c r="M2648" s="22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</row>
    <row r="2649">
      <c r="A2649" s="26"/>
      <c r="B2649" s="73"/>
      <c r="C2649" s="73"/>
      <c r="D2649" s="95"/>
      <c r="E2649" s="73"/>
      <c r="F2649" s="73"/>
      <c r="G2649" s="73"/>
      <c r="H2649" s="73"/>
      <c r="I2649" s="95"/>
      <c r="J2649" s="73"/>
      <c r="K2649" s="95"/>
      <c r="L2649" s="95"/>
      <c r="M2649" s="22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</row>
    <row r="2650">
      <c r="A2650" s="26"/>
      <c r="B2650" s="73"/>
      <c r="C2650" s="73"/>
      <c r="D2650" s="95"/>
      <c r="E2650" s="73"/>
      <c r="F2650" s="73"/>
      <c r="G2650" s="73"/>
      <c r="H2650" s="73"/>
      <c r="I2650" s="95"/>
      <c r="J2650" s="73"/>
      <c r="K2650" s="95"/>
      <c r="L2650" s="95"/>
      <c r="M2650" s="22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</row>
    <row r="2651">
      <c r="A2651" s="26"/>
      <c r="B2651" s="73"/>
      <c r="C2651" s="73"/>
      <c r="D2651" s="95"/>
      <c r="E2651" s="73"/>
      <c r="F2651" s="73"/>
      <c r="G2651" s="73"/>
      <c r="H2651" s="73"/>
      <c r="I2651" s="95"/>
      <c r="J2651" s="73"/>
      <c r="K2651" s="95"/>
      <c r="L2651" s="95"/>
      <c r="M2651" s="22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</row>
    <row r="2652">
      <c r="A2652" s="26"/>
      <c r="B2652" s="73"/>
      <c r="C2652" s="73"/>
      <c r="D2652" s="95"/>
      <c r="E2652" s="73"/>
      <c r="F2652" s="73"/>
      <c r="G2652" s="73"/>
      <c r="H2652" s="73"/>
      <c r="I2652" s="95"/>
      <c r="J2652" s="73"/>
      <c r="K2652" s="95"/>
      <c r="L2652" s="95"/>
      <c r="M2652" s="22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</row>
    <row r="2653">
      <c r="A2653" s="26"/>
      <c r="B2653" s="73"/>
      <c r="C2653" s="73"/>
      <c r="D2653" s="95"/>
      <c r="E2653" s="73"/>
      <c r="F2653" s="73"/>
      <c r="G2653" s="73"/>
      <c r="H2653" s="73"/>
      <c r="I2653" s="95"/>
      <c r="J2653" s="73"/>
      <c r="K2653" s="95"/>
      <c r="L2653" s="95"/>
      <c r="M2653" s="22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</row>
    <row r="2654">
      <c r="A2654" s="26"/>
      <c r="B2654" s="73"/>
      <c r="C2654" s="73"/>
      <c r="D2654" s="95"/>
      <c r="E2654" s="73"/>
      <c r="F2654" s="73"/>
      <c r="G2654" s="73"/>
      <c r="H2654" s="73"/>
      <c r="I2654" s="95"/>
      <c r="J2654" s="73"/>
      <c r="K2654" s="95"/>
      <c r="L2654" s="95"/>
      <c r="M2654" s="22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</row>
    <row r="2655">
      <c r="A2655" s="26"/>
      <c r="B2655" s="73"/>
      <c r="C2655" s="73"/>
      <c r="D2655" s="95"/>
      <c r="E2655" s="73"/>
      <c r="F2655" s="73"/>
      <c r="G2655" s="73"/>
      <c r="H2655" s="73"/>
      <c r="I2655" s="95"/>
      <c r="J2655" s="73"/>
      <c r="K2655" s="95"/>
      <c r="L2655" s="95"/>
      <c r="M2655" s="22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</row>
    <row r="2656">
      <c r="A2656" s="26"/>
      <c r="B2656" s="73"/>
      <c r="C2656" s="73"/>
      <c r="D2656" s="95"/>
      <c r="E2656" s="73"/>
      <c r="F2656" s="73"/>
      <c r="G2656" s="73"/>
      <c r="H2656" s="73"/>
      <c r="I2656" s="95"/>
      <c r="J2656" s="73"/>
      <c r="K2656" s="95"/>
      <c r="L2656" s="95"/>
      <c r="M2656" s="22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</row>
    <row r="2657">
      <c r="A2657" s="26"/>
      <c r="B2657" s="73"/>
      <c r="C2657" s="73"/>
      <c r="D2657" s="95"/>
      <c r="E2657" s="73"/>
      <c r="F2657" s="73"/>
      <c r="G2657" s="73"/>
      <c r="H2657" s="73"/>
      <c r="I2657" s="95"/>
      <c r="J2657" s="73"/>
      <c r="K2657" s="95"/>
      <c r="L2657" s="95"/>
      <c r="M2657" s="22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</row>
    <row r="2658">
      <c r="A2658" s="26"/>
      <c r="B2658" s="73"/>
      <c r="C2658" s="73"/>
      <c r="D2658" s="95"/>
      <c r="E2658" s="73"/>
      <c r="F2658" s="73"/>
      <c r="G2658" s="73"/>
      <c r="H2658" s="73"/>
      <c r="I2658" s="95"/>
      <c r="J2658" s="73"/>
      <c r="K2658" s="95"/>
      <c r="L2658" s="95"/>
      <c r="M2658" s="22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</row>
    <row r="2659">
      <c r="A2659" s="26"/>
      <c r="B2659" s="73"/>
      <c r="C2659" s="73"/>
      <c r="D2659" s="95"/>
      <c r="E2659" s="73"/>
      <c r="F2659" s="73"/>
      <c r="G2659" s="73"/>
      <c r="H2659" s="73"/>
      <c r="I2659" s="95"/>
      <c r="J2659" s="73"/>
      <c r="K2659" s="95"/>
      <c r="L2659" s="95"/>
      <c r="M2659" s="22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</row>
    <row r="2660">
      <c r="A2660" s="26"/>
      <c r="B2660" s="73"/>
      <c r="C2660" s="73"/>
      <c r="D2660" s="95"/>
      <c r="E2660" s="73"/>
      <c r="F2660" s="73"/>
      <c r="G2660" s="73"/>
      <c r="H2660" s="73"/>
      <c r="I2660" s="95"/>
      <c r="J2660" s="73"/>
      <c r="K2660" s="95"/>
      <c r="L2660" s="95"/>
      <c r="M2660" s="22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</row>
    <row r="2661">
      <c r="A2661" s="26"/>
      <c r="B2661" s="73"/>
      <c r="C2661" s="73"/>
      <c r="D2661" s="95"/>
      <c r="E2661" s="73"/>
      <c r="F2661" s="73"/>
      <c r="G2661" s="73"/>
      <c r="H2661" s="73"/>
      <c r="I2661" s="95"/>
      <c r="J2661" s="73"/>
      <c r="K2661" s="95"/>
      <c r="L2661" s="95"/>
      <c r="M2661" s="22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</row>
    <row r="2662">
      <c r="A2662" s="26"/>
      <c r="B2662" s="73"/>
      <c r="C2662" s="73"/>
      <c r="D2662" s="95"/>
      <c r="E2662" s="73"/>
      <c r="F2662" s="73"/>
      <c r="G2662" s="73"/>
      <c r="H2662" s="73"/>
      <c r="I2662" s="95"/>
      <c r="J2662" s="73"/>
      <c r="K2662" s="95"/>
      <c r="L2662" s="95"/>
      <c r="M2662" s="22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</row>
    <row r="2663">
      <c r="A2663" s="26"/>
      <c r="B2663" s="73"/>
      <c r="C2663" s="73"/>
      <c r="D2663" s="95"/>
      <c r="E2663" s="73"/>
      <c r="F2663" s="73"/>
      <c r="G2663" s="73"/>
      <c r="H2663" s="73"/>
      <c r="I2663" s="95"/>
      <c r="J2663" s="73"/>
      <c r="K2663" s="95"/>
      <c r="L2663" s="95"/>
      <c r="M2663" s="22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</row>
    <row r="2664">
      <c r="A2664" s="26"/>
      <c r="B2664" s="73"/>
      <c r="C2664" s="73"/>
      <c r="D2664" s="95"/>
      <c r="E2664" s="73"/>
      <c r="F2664" s="73"/>
      <c r="G2664" s="73"/>
      <c r="H2664" s="73"/>
      <c r="I2664" s="95"/>
      <c r="J2664" s="73"/>
      <c r="K2664" s="95"/>
      <c r="L2664" s="95"/>
      <c r="M2664" s="22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</row>
    <row r="2665">
      <c r="A2665" s="26"/>
      <c r="B2665" s="73"/>
      <c r="C2665" s="73"/>
      <c r="D2665" s="95"/>
      <c r="E2665" s="73"/>
      <c r="F2665" s="73"/>
      <c r="G2665" s="73"/>
      <c r="H2665" s="73"/>
      <c r="I2665" s="95"/>
      <c r="J2665" s="73"/>
      <c r="K2665" s="95"/>
      <c r="L2665" s="95"/>
      <c r="M2665" s="22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</row>
    <row r="2666">
      <c r="A2666" s="26"/>
      <c r="B2666" s="73"/>
      <c r="C2666" s="73"/>
      <c r="D2666" s="95"/>
      <c r="E2666" s="73"/>
      <c r="F2666" s="73"/>
      <c r="G2666" s="73"/>
      <c r="H2666" s="73"/>
      <c r="I2666" s="95"/>
      <c r="J2666" s="73"/>
      <c r="K2666" s="95"/>
      <c r="L2666" s="95"/>
      <c r="M2666" s="22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</row>
    <row r="2667">
      <c r="A2667" s="26"/>
      <c r="B2667" s="73"/>
      <c r="C2667" s="73"/>
      <c r="D2667" s="95"/>
      <c r="E2667" s="73"/>
      <c r="F2667" s="73"/>
      <c r="G2667" s="73"/>
      <c r="H2667" s="73"/>
      <c r="I2667" s="95"/>
      <c r="J2667" s="73"/>
      <c r="K2667" s="95"/>
      <c r="L2667" s="95"/>
      <c r="M2667" s="22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</row>
    <row r="2668">
      <c r="A2668" s="26"/>
      <c r="B2668" s="73"/>
      <c r="C2668" s="73"/>
      <c r="D2668" s="95"/>
      <c r="E2668" s="73"/>
      <c r="F2668" s="73"/>
      <c r="G2668" s="73"/>
      <c r="H2668" s="73"/>
      <c r="I2668" s="95"/>
      <c r="J2668" s="73"/>
      <c r="K2668" s="95"/>
      <c r="L2668" s="95"/>
      <c r="M2668" s="22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</row>
    <row r="2669">
      <c r="A2669" s="26"/>
      <c r="B2669" s="73"/>
      <c r="C2669" s="73"/>
      <c r="D2669" s="95"/>
      <c r="E2669" s="73"/>
      <c r="F2669" s="73"/>
      <c r="G2669" s="73"/>
      <c r="H2669" s="73"/>
      <c r="I2669" s="95"/>
      <c r="J2669" s="73"/>
      <c r="K2669" s="95"/>
      <c r="L2669" s="95"/>
      <c r="M2669" s="22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</row>
    <row r="2670">
      <c r="A2670" s="26"/>
      <c r="B2670" s="73"/>
      <c r="C2670" s="73"/>
      <c r="D2670" s="95"/>
      <c r="E2670" s="73"/>
      <c r="F2670" s="73"/>
      <c r="G2670" s="73"/>
      <c r="H2670" s="73"/>
      <c r="I2670" s="95"/>
      <c r="J2670" s="73"/>
      <c r="K2670" s="95"/>
      <c r="L2670" s="95"/>
      <c r="M2670" s="22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</row>
    <row r="2671">
      <c r="A2671" s="26"/>
      <c r="B2671" s="73"/>
      <c r="C2671" s="73"/>
      <c r="D2671" s="95"/>
      <c r="E2671" s="73"/>
      <c r="F2671" s="73"/>
      <c r="G2671" s="73"/>
      <c r="H2671" s="73"/>
      <c r="I2671" s="95"/>
      <c r="J2671" s="73"/>
      <c r="K2671" s="95"/>
      <c r="L2671" s="95"/>
      <c r="M2671" s="22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</row>
    <row r="2672">
      <c r="A2672" s="26"/>
      <c r="B2672" s="73"/>
      <c r="C2672" s="73"/>
      <c r="D2672" s="95"/>
      <c r="E2672" s="73"/>
      <c r="F2672" s="73"/>
      <c r="G2672" s="73"/>
      <c r="H2672" s="73"/>
      <c r="I2672" s="95"/>
      <c r="J2672" s="73"/>
      <c r="K2672" s="95"/>
      <c r="L2672" s="95"/>
      <c r="M2672" s="22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</row>
    <row r="2673">
      <c r="A2673" s="26"/>
      <c r="B2673" s="73"/>
      <c r="C2673" s="73"/>
      <c r="D2673" s="95"/>
      <c r="E2673" s="73"/>
      <c r="F2673" s="73"/>
      <c r="G2673" s="73"/>
      <c r="H2673" s="73"/>
      <c r="I2673" s="95"/>
      <c r="J2673" s="73"/>
      <c r="K2673" s="95"/>
      <c r="L2673" s="95"/>
      <c r="M2673" s="22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</row>
    <row r="2674">
      <c r="A2674" s="26"/>
      <c r="B2674" s="73"/>
      <c r="C2674" s="73"/>
      <c r="D2674" s="95"/>
      <c r="E2674" s="73"/>
      <c r="F2674" s="73"/>
      <c r="G2674" s="73"/>
      <c r="H2674" s="73"/>
      <c r="I2674" s="95"/>
      <c r="J2674" s="73"/>
      <c r="K2674" s="95"/>
      <c r="L2674" s="95"/>
      <c r="M2674" s="22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</row>
    <row r="2675">
      <c r="A2675" s="26"/>
      <c r="B2675" s="73"/>
      <c r="C2675" s="73"/>
      <c r="D2675" s="95"/>
      <c r="E2675" s="73"/>
      <c r="F2675" s="73"/>
      <c r="G2675" s="73"/>
      <c r="H2675" s="73"/>
      <c r="I2675" s="95"/>
      <c r="J2675" s="73"/>
      <c r="K2675" s="95"/>
      <c r="L2675" s="95"/>
      <c r="M2675" s="22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</row>
    <row r="2676">
      <c r="A2676" s="26"/>
      <c r="B2676" s="73"/>
      <c r="C2676" s="73"/>
      <c r="D2676" s="95"/>
      <c r="E2676" s="73"/>
      <c r="F2676" s="73"/>
      <c r="G2676" s="73"/>
      <c r="H2676" s="73"/>
      <c r="I2676" s="95"/>
      <c r="J2676" s="73"/>
      <c r="K2676" s="95"/>
      <c r="L2676" s="95"/>
      <c r="M2676" s="22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</row>
    <row r="2677">
      <c r="A2677" s="26"/>
      <c r="B2677" s="73"/>
      <c r="C2677" s="73"/>
      <c r="D2677" s="95"/>
      <c r="E2677" s="73"/>
      <c r="F2677" s="73"/>
      <c r="G2677" s="73"/>
      <c r="H2677" s="73"/>
      <c r="I2677" s="95"/>
      <c r="J2677" s="73"/>
      <c r="K2677" s="95"/>
      <c r="L2677" s="95"/>
      <c r="M2677" s="22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</row>
    <row r="2678">
      <c r="A2678" s="26"/>
      <c r="B2678" s="73"/>
      <c r="C2678" s="73"/>
      <c r="D2678" s="95"/>
      <c r="E2678" s="73"/>
      <c r="F2678" s="73"/>
      <c r="G2678" s="73"/>
      <c r="H2678" s="73"/>
      <c r="I2678" s="95"/>
      <c r="J2678" s="73"/>
      <c r="K2678" s="95"/>
      <c r="L2678" s="95"/>
      <c r="M2678" s="22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</row>
    <row r="2679">
      <c r="A2679" s="26"/>
      <c r="B2679" s="73"/>
      <c r="C2679" s="73"/>
      <c r="D2679" s="95"/>
      <c r="E2679" s="73"/>
      <c r="F2679" s="73"/>
      <c r="G2679" s="73"/>
      <c r="H2679" s="73"/>
      <c r="I2679" s="95"/>
      <c r="J2679" s="73"/>
      <c r="K2679" s="95"/>
      <c r="L2679" s="95"/>
      <c r="M2679" s="22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</row>
    <row r="2680">
      <c r="A2680" s="26"/>
      <c r="B2680" s="73"/>
      <c r="C2680" s="73"/>
      <c r="D2680" s="95"/>
      <c r="E2680" s="73"/>
      <c r="F2680" s="73"/>
      <c r="G2680" s="73"/>
      <c r="H2680" s="73"/>
      <c r="I2680" s="95"/>
      <c r="J2680" s="73"/>
      <c r="K2680" s="95"/>
      <c r="L2680" s="95"/>
      <c r="M2680" s="22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</row>
    <row r="2681">
      <c r="A2681" s="26"/>
      <c r="B2681" s="73"/>
      <c r="C2681" s="73"/>
      <c r="D2681" s="95"/>
      <c r="E2681" s="73"/>
      <c r="F2681" s="73"/>
      <c r="G2681" s="73"/>
      <c r="H2681" s="73"/>
      <c r="I2681" s="95"/>
      <c r="J2681" s="73"/>
      <c r="K2681" s="95"/>
      <c r="L2681" s="95"/>
      <c r="M2681" s="22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</row>
    <row r="2682">
      <c r="A2682" s="26"/>
      <c r="B2682" s="73"/>
      <c r="C2682" s="73"/>
      <c r="D2682" s="95"/>
      <c r="E2682" s="73"/>
      <c r="F2682" s="73"/>
      <c r="G2682" s="73"/>
      <c r="H2682" s="73"/>
      <c r="I2682" s="95"/>
      <c r="J2682" s="73"/>
      <c r="K2682" s="95"/>
      <c r="L2682" s="95"/>
      <c r="M2682" s="22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</row>
    <row r="2683">
      <c r="A2683" s="26"/>
      <c r="B2683" s="73"/>
      <c r="C2683" s="73"/>
      <c r="D2683" s="95"/>
      <c r="E2683" s="73"/>
      <c r="F2683" s="73"/>
      <c r="G2683" s="73"/>
      <c r="H2683" s="73"/>
      <c r="I2683" s="95"/>
      <c r="J2683" s="73"/>
      <c r="K2683" s="95"/>
      <c r="L2683" s="95"/>
      <c r="M2683" s="22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</row>
    <row r="2684">
      <c r="A2684" s="26"/>
      <c r="B2684" s="73"/>
      <c r="C2684" s="73"/>
      <c r="D2684" s="95"/>
      <c r="E2684" s="73"/>
      <c r="F2684" s="73"/>
      <c r="G2684" s="73"/>
      <c r="H2684" s="73"/>
      <c r="I2684" s="95"/>
      <c r="J2684" s="73"/>
      <c r="K2684" s="95"/>
      <c r="L2684" s="95"/>
      <c r="M2684" s="22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</row>
    <row r="2685">
      <c r="A2685" s="26"/>
      <c r="B2685" s="73"/>
      <c r="C2685" s="73"/>
      <c r="D2685" s="95"/>
      <c r="E2685" s="73"/>
      <c r="F2685" s="73"/>
      <c r="G2685" s="73"/>
      <c r="H2685" s="73"/>
      <c r="I2685" s="95"/>
      <c r="J2685" s="73"/>
      <c r="K2685" s="95"/>
      <c r="L2685" s="95"/>
      <c r="M2685" s="22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</row>
    <row r="2686">
      <c r="A2686" s="26"/>
      <c r="B2686" s="73"/>
      <c r="C2686" s="73"/>
      <c r="D2686" s="95"/>
      <c r="E2686" s="73"/>
      <c r="F2686" s="73"/>
      <c r="G2686" s="73"/>
      <c r="H2686" s="73"/>
      <c r="I2686" s="95"/>
      <c r="J2686" s="73"/>
      <c r="K2686" s="95"/>
      <c r="L2686" s="95"/>
      <c r="M2686" s="22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</row>
    <row r="2687">
      <c r="A2687" s="26"/>
      <c r="B2687" s="73"/>
      <c r="C2687" s="73"/>
      <c r="D2687" s="95"/>
      <c r="E2687" s="73"/>
      <c r="F2687" s="73"/>
      <c r="G2687" s="73"/>
      <c r="H2687" s="73"/>
      <c r="I2687" s="95"/>
      <c r="J2687" s="73"/>
      <c r="K2687" s="95"/>
      <c r="L2687" s="95"/>
      <c r="M2687" s="22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</row>
    <row r="2688">
      <c r="A2688" s="26"/>
      <c r="B2688" s="73"/>
      <c r="C2688" s="73"/>
      <c r="D2688" s="95"/>
      <c r="E2688" s="73"/>
      <c r="F2688" s="73"/>
      <c r="G2688" s="73"/>
      <c r="H2688" s="73"/>
      <c r="I2688" s="95"/>
      <c r="J2688" s="73"/>
      <c r="K2688" s="95"/>
      <c r="L2688" s="95"/>
      <c r="M2688" s="22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</row>
    <row r="2689">
      <c r="A2689" s="26"/>
      <c r="B2689" s="73"/>
      <c r="C2689" s="73"/>
      <c r="D2689" s="95"/>
      <c r="E2689" s="73"/>
      <c r="F2689" s="73"/>
      <c r="G2689" s="73"/>
      <c r="H2689" s="73"/>
      <c r="I2689" s="95"/>
      <c r="J2689" s="73"/>
      <c r="K2689" s="95"/>
      <c r="L2689" s="95"/>
      <c r="M2689" s="22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</row>
    <row r="2690">
      <c r="A2690" s="26"/>
      <c r="B2690" s="73"/>
      <c r="C2690" s="73"/>
      <c r="D2690" s="95"/>
      <c r="E2690" s="73"/>
      <c r="F2690" s="73"/>
      <c r="G2690" s="73"/>
      <c r="H2690" s="73"/>
      <c r="I2690" s="95"/>
      <c r="J2690" s="73"/>
      <c r="K2690" s="95"/>
      <c r="L2690" s="95"/>
      <c r="M2690" s="22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</row>
    <row r="2691">
      <c r="A2691" s="26"/>
      <c r="B2691" s="73"/>
      <c r="C2691" s="73"/>
      <c r="D2691" s="95"/>
      <c r="E2691" s="73"/>
      <c r="F2691" s="73"/>
      <c r="G2691" s="73"/>
      <c r="H2691" s="73"/>
      <c r="I2691" s="95"/>
      <c r="J2691" s="73"/>
      <c r="K2691" s="95"/>
      <c r="L2691" s="95"/>
      <c r="M2691" s="22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</row>
    <row r="2692">
      <c r="A2692" s="26"/>
      <c r="B2692" s="73"/>
      <c r="C2692" s="73"/>
      <c r="D2692" s="95"/>
      <c r="E2692" s="73"/>
      <c r="F2692" s="73"/>
      <c r="G2692" s="73"/>
      <c r="H2692" s="73"/>
      <c r="I2692" s="95"/>
      <c r="J2692" s="73"/>
      <c r="K2692" s="95"/>
      <c r="L2692" s="95"/>
      <c r="M2692" s="22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</row>
    <row r="2693">
      <c r="A2693" s="26"/>
      <c r="B2693" s="73"/>
      <c r="C2693" s="73"/>
      <c r="D2693" s="95"/>
      <c r="E2693" s="73"/>
      <c r="F2693" s="73"/>
      <c r="G2693" s="73"/>
      <c r="H2693" s="73"/>
      <c r="I2693" s="95"/>
      <c r="J2693" s="73"/>
      <c r="K2693" s="95"/>
      <c r="L2693" s="95"/>
      <c r="M2693" s="22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</row>
    <row r="2694">
      <c r="A2694" s="26"/>
      <c r="B2694" s="73"/>
      <c r="C2694" s="73"/>
      <c r="D2694" s="95"/>
      <c r="E2694" s="73"/>
      <c r="F2694" s="73"/>
      <c r="G2694" s="73"/>
      <c r="H2694" s="73"/>
      <c r="I2694" s="95"/>
      <c r="J2694" s="73"/>
      <c r="K2694" s="95"/>
      <c r="L2694" s="95"/>
      <c r="M2694" s="22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</row>
    <row r="2695">
      <c r="A2695" s="26"/>
      <c r="B2695" s="73"/>
      <c r="C2695" s="73"/>
      <c r="D2695" s="95"/>
      <c r="E2695" s="73"/>
      <c r="F2695" s="73"/>
      <c r="G2695" s="73"/>
      <c r="H2695" s="73"/>
      <c r="I2695" s="95"/>
      <c r="J2695" s="73"/>
      <c r="K2695" s="95"/>
      <c r="L2695" s="95"/>
      <c r="M2695" s="22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</row>
    <row r="2696">
      <c r="A2696" s="26"/>
      <c r="B2696" s="73"/>
      <c r="C2696" s="73"/>
      <c r="D2696" s="95"/>
      <c r="E2696" s="73"/>
      <c r="F2696" s="73"/>
      <c r="G2696" s="73"/>
      <c r="H2696" s="73"/>
      <c r="I2696" s="95"/>
      <c r="J2696" s="73"/>
      <c r="K2696" s="95"/>
      <c r="L2696" s="95"/>
      <c r="M2696" s="22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</row>
    <row r="2697">
      <c r="A2697" s="26"/>
      <c r="B2697" s="73"/>
      <c r="C2697" s="73"/>
      <c r="D2697" s="95"/>
      <c r="E2697" s="73"/>
      <c r="F2697" s="73"/>
      <c r="G2697" s="73"/>
      <c r="H2697" s="73"/>
      <c r="I2697" s="95"/>
      <c r="J2697" s="73"/>
      <c r="K2697" s="95"/>
      <c r="L2697" s="95"/>
      <c r="M2697" s="22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</row>
    <row r="2698">
      <c r="A2698" s="26"/>
      <c r="B2698" s="73"/>
      <c r="C2698" s="73"/>
      <c r="D2698" s="95"/>
      <c r="E2698" s="73"/>
      <c r="F2698" s="73"/>
      <c r="G2698" s="73"/>
      <c r="H2698" s="73"/>
      <c r="I2698" s="95"/>
      <c r="J2698" s="73"/>
      <c r="K2698" s="95"/>
      <c r="L2698" s="95"/>
      <c r="M2698" s="22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</row>
    <row r="2699">
      <c r="A2699" s="26"/>
      <c r="B2699" s="73"/>
      <c r="C2699" s="73"/>
      <c r="D2699" s="95"/>
      <c r="E2699" s="73"/>
      <c r="F2699" s="73"/>
      <c r="G2699" s="73"/>
      <c r="H2699" s="73"/>
      <c r="I2699" s="95"/>
      <c r="J2699" s="73"/>
      <c r="K2699" s="95"/>
      <c r="L2699" s="95"/>
      <c r="M2699" s="22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</row>
    <row r="2700">
      <c r="A2700" s="26"/>
      <c r="B2700" s="73"/>
      <c r="C2700" s="73"/>
      <c r="D2700" s="95"/>
      <c r="E2700" s="73"/>
      <c r="F2700" s="73"/>
      <c r="G2700" s="73"/>
      <c r="H2700" s="73"/>
      <c r="I2700" s="95"/>
      <c r="J2700" s="73"/>
      <c r="K2700" s="95"/>
      <c r="L2700" s="95"/>
      <c r="M2700" s="22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</row>
    <row r="2701">
      <c r="A2701" s="26"/>
      <c r="B2701" s="73"/>
      <c r="C2701" s="73"/>
      <c r="D2701" s="95"/>
      <c r="E2701" s="73"/>
      <c r="F2701" s="73"/>
      <c r="G2701" s="73"/>
      <c r="H2701" s="73"/>
      <c r="I2701" s="95"/>
      <c r="J2701" s="73"/>
      <c r="K2701" s="95"/>
      <c r="L2701" s="95"/>
      <c r="M2701" s="22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</row>
    <row r="2702">
      <c r="A2702" s="26"/>
      <c r="B2702" s="73"/>
      <c r="C2702" s="73"/>
      <c r="D2702" s="95"/>
      <c r="E2702" s="73"/>
      <c r="F2702" s="73"/>
      <c r="G2702" s="73"/>
      <c r="H2702" s="73"/>
      <c r="I2702" s="95"/>
      <c r="J2702" s="73"/>
      <c r="K2702" s="95"/>
      <c r="L2702" s="95"/>
      <c r="M2702" s="22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</row>
    <row r="2703">
      <c r="A2703" s="26"/>
      <c r="B2703" s="73"/>
      <c r="C2703" s="73"/>
      <c r="D2703" s="95"/>
      <c r="E2703" s="73"/>
      <c r="F2703" s="73"/>
      <c r="G2703" s="73"/>
      <c r="H2703" s="73"/>
      <c r="I2703" s="95"/>
      <c r="J2703" s="73"/>
      <c r="K2703" s="95"/>
      <c r="L2703" s="95"/>
      <c r="M2703" s="22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</row>
    <row r="2704">
      <c r="A2704" s="26"/>
      <c r="B2704" s="73"/>
      <c r="C2704" s="73"/>
      <c r="D2704" s="95"/>
      <c r="E2704" s="73"/>
      <c r="F2704" s="73"/>
      <c r="G2704" s="73"/>
      <c r="H2704" s="73"/>
      <c r="I2704" s="95"/>
      <c r="J2704" s="73"/>
      <c r="K2704" s="95"/>
      <c r="L2704" s="95"/>
      <c r="M2704" s="22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</row>
    <row r="2705">
      <c r="A2705" s="26"/>
      <c r="B2705" s="73"/>
      <c r="C2705" s="73"/>
      <c r="D2705" s="95"/>
      <c r="E2705" s="73"/>
      <c r="F2705" s="73"/>
      <c r="G2705" s="73"/>
      <c r="H2705" s="73"/>
      <c r="I2705" s="95"/>
      <c r="J2705" s="73"/>
      <c r="K2705" s="95"/>
      <c r="L2705" s="95"/>
      <c r="M2705" s="22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</row>
    <row r="2706">
      <c r="A2706" s="26"/>
      <c r="B2706" s="73"/>
      <c r="C2706" s="73"/>
      <c r="D2706" s="95"/>
      <c r="E2706" s="73"/>
      <c r="F2706" s="73"/>
      <c r="G2706" s="73"/>
      <c r="H2706" s="73"/>
      <c r="I2706" s="95"/>
      <c r="J2706" s="73"/>
      <c r="K2706" s="95"/>
      <c r="L2706" s="95"/>
      <c r="M2706" s="22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</row>
    <row r="2707">
      <c r="A2707" s="26"/>
      <c r="B2707" s="73"/>
      <c r="C2707" s="73"/>
      <c r="D2707" s="95"/>
      <c r="E2707" s="73"/>
      <c r="F2707" s="73"/>
      <c r="G2707" s="73"/>
      <c r="H2707" s="73"/>
      <c r="I2707" s="95"/>
      <c r="J2707" s="73"/>
      <c r="K2707" s="95"/>
      <c r="L2707" s="95"/>
      <c r="M2707" s="22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</row>
    <row r="2708">
      <c r="A2708" s="26"/>
      <c r="B2708" s="73"/>
      <c r="C2708" s="73"/>
      <c r="D2708" s="95"/>
      <c r="E2708" s="73"/>
      <c r="F2708" s="73"/>
      <c r="G2708" s="73"/>
      <c r="H2708" s="73"/>
      <c r="I2708" s="95"/>
      <c r="J2708" s="73"/>
      <c r="K2708" s="95"/>
      <c r="L2708" s="95"/>
      <c r="M2708" s="22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</row>
    <row r="2709">
      <c r="A2709" s="26"/>
      <c r="B2709" s="73"/>
      <c r="C2709" s="73"/>
      <c r="D2709" s="95"/>
      <c r="E2709" s="73"/>
      <c r="F2709" s="73"/>
      <c r="G2709" s="73"/>
      <c r="H2709" s="73"/>
      <c r="I2709" s="95"/>
      <c r="J2709" s="73"/>
      <c r="K2709" s="95"/>
      <c r="L2709" s="95"/>
      <c r="M2709" s="22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</row>
    <row r="2710">
      <c r="A2710" s="26"/>
      <c r="B2710" s="73"/>
      <c r="C2710" s="73"/>
      <c r="D2710" s="95"/>
      <c r="E2710" s="73"/>
      <c r="F2710" s="73"/>
      <c r="G2710" s="73"/>
      <c r="H2710" s="73"/>
      <c r="I2710" s="95"/>
      <c r="J2710" s="73"/>
      <c r="K2710" s="95"/>
      <c r="L2710" s="95"/>
      <c r="M2710" s="22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</row>
    <row r="2711">
      <c r="A2711" s="26"/>
      <c r="B2711" s="73"/>
      <c r="C2711" s="73"/>
      <c r="D2711" s="95"/>
      <c r="E2711" s="73"/>
      <c r="F2711" s="73"/>
      <c r="G2711" s="73"/>
      <c r="H2711" s="73"/>
      <c r="I2711" s="95"/>
      <c r="J2711" s="73"/>
      <c r="K2711" s="95"/>
      <c r="L2711" s="95"/>
      <c r="M2711" s="22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</row>
    <row r="2712">
      <c r="A2712" s="26"/>
      <c r="B2712" s="73"/>
      <c r="C2712" s="73"/>
      <c r="D2712" s="95"/>
      <c r="E2712" s="73"/>
      <c r="F2712" s="73"/>
      <c r="G2712" s="73"/>
      <c r="H2712" s="73"/>
      <c r="I2712" s="95"/>
      <c r="J2712" s="73"/>
      <c r="K2712" s="95"/>
      <c r="L2712" s="95"/>
      <c r="M2712" s="22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</row>
    <row r="2713">
      <c r="A2713" s="26"/>
      <c r="B2713" s="73"/>
      <c r="C2713" s="73"/>
      <c r="D2713" s="95"/>
      <c r="E2713" s="73"/>
      <c r="F2713" s="73"/>
      <c r="G2713" s="73"/>
      <c r="H2713" s="73"/>
      <c r="I2713" s="95"/>
      <c r="J2713" s="73"/>
      <c r="K2713" s="95"/>
      <c r="L2713" s="95"/>
      <c r="M2713" s="22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</row>
    <row r="2714">
      <c r="A2714" s="26"/>
      <c r="B2714" s="73"/>
      <c r="C2714" s="73"/>
      <c r="D2714" s="95"/>
      <c r="E2714" s="73"/>
      <c r="F2714" s="73"/>
      <c r="G2714" s="73"/>
      <c r="H2714" s="73"/>
      <c r="I2714" s="95"/>
      <c r="J2714" s="73"/>
      <c r="K2714" s="95"/>
      <c r="L2714" s="95"/>
      <c r="M2714" s="22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</row>
    <row r="2715">
      <c r="A2715" s="26"/>
      <c r="B2715" s="73"/>
      <c r="C2715" s="73"/>
      <c r="D2715" s="95"/>
      <c r="E2715" s="73"/>
      <c r="F2715" s="73"/>
      <c r="G2715" s="73"/>
      <c r="H2715" s="73"/>
      <c r="I2715" s="95"/>
      <c r="J2715" s="73"/>
      <c r="K2715" s="95"/>
      <c r="L2715" s="95"/>
      <c r="M2715" s="22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</row>
    <row r="2716">
      <c r="A2716" s="26"/>
      <c r="B2716" s="73"/>
      <c r="C2716" s="73"/>
      <c r="D2716" s="95"/>
      <c r="E2716" s="73"/>
      <c r="F2716" s="73"/>
      <c r="G2716" s="73"/>
      <c r="H2716" s="73"/>
      <c r="I2716" s="95"/>
      <c r="J2716" s="73"/>
      <c r="K2716" s="95"/>
      <c r="L2716" s="95"/>
      <c r="M2716" s="22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</row>
    <row r="2717">
      <c r="A2717" s="26"/>
      <c r="B2717" s="73"/>
      <c r="C2717" s="73"/>
      <c r="D2717" s="95"/>
      <c r="E2717" s="73"/>
      <c r="F2717" s="73"/>
      <c r="G2717" s="73"/>
      <c r="H2717" s="73"/>
      <c r="I2717" s="95"/>
      <c r="J2717" s="73"/>
      <c r="K2717" s="95"/>
      <c r="L2717" s="95"/>
      <c r="M2717" s="22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</row>
    <row r="2718">
      <c r="A2718" s="26"/>
      <c r="B2718" s="73"/>
      <c r="C2718" s="73"/>
      <c r="D2718" s="95"/>
      <c r="E2718" s="73"/>
      <c r="F2718" s="73"/>
      <c r="G2718" s="73"/>
      <c r="H2718" s="73"/>
      <c r="I2718" s="95"/>
      <c r="J2718" s="73"/>
      <c r="K2718" s="95"/>
      <c r="L2718" s="95"/>
      <c r="M2718" s="22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</row>
    <row r="2719">
      <c r="A2719" s="26"/>
      <c r="B2719" s="73"/>
      <c r="C2719" s="73"/>
      <c r="D2719" s="95"/>
      <c r="E2719" s="73"/>
      <c r="F2719" s="73"/>
      <c r="G2719" s="73"/>
      <c r="H2719" s="73"/>
      <c r="I2719" s="95"/>
      <c r="J2719" s="73"/>
      <c r="K2719" s="95"/>
      <c r="L2719" s="95"/>
      <c r="M2719" s="22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</row>
    <row r="2720">
      <c r="A2720" s="26"/>
      <c r="B2720" s="73"/>
      <c r="C2720" s="73"/>
      <c r="D2720" s="95"/>
      <c r="E2720" s="73"/>
      <c r="F2720" s="73"/>
      <c r="G2720" s="73"/>
      <c r="H2720" s="73"/>
      <c r="I2720" s="95"/>
      <c r="J2720" s="73"/>
      <c r="K2720" s="95"/>
      <c r="L2720" s="95"/>
      <c r="M2720" s="22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</row>
    <row r="2721">
      <c r="A2721" s="26"/>
      <c r="B2721" s="73"/>
      <c r="C2721" s="73"/>
      <c r="D2721" s="95"/>
      <c r="E2721" s="73"/>
      <c r="F2721" s="73"/>
      <c r="G2721" s="73"/>
      <c r="H2721" s="73"/>
      <c r="I2721" s="95"/>
      <c r="J2721" s="73"/>
      <c r="K2721" s="95"/>
      <c r="L2721" s="95"/>
      <c r="M2721" s="22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</row>
    <row r="2722">
      <c r="A2722" s="26"/>
      <c r="B2722" s="73"/>
      <c r="C2722" s="73"/>
      <c r="D2722" s="95"/>
      <c r="E2722" s="73"/>
      <c r="F2722" s="73"/>
      <c r="G2722" s="73"/>
      <c r="H2722" s="73"/>
      <c r="I2722" s="95"/>
      <c r="J2722" s="73"/>
      <c r="K2722" s="95"/>
      <c r="L2722" s="95"/>
      <c r="M2722" s="22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</row>
    <row r="2723">
      <c r="A2723" s="26"/>
      <c r="B2723" s="73"/>
      <c r="C2723" s="73"/>
      <c r="D2723" s="95"/>
      <c r="E2723" s="73"/>
      <c r="F2723" s="73"/>
      <c r="G2723" s="73"/>
      <c r="H2723" s="73"/>
      <c r="I2723" s="95"/>
      <c r="J2723" s="73"/>
      <c r="K2723" s="95"/>
      <c r="L2723" s="95"/>
      <c r="M2723" s="22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</row>
    <row r="2724">
      <c r="A2724" s="26"/>
      <c r="B2724" s="73"/>
      <c r="C2724" s="73"/>
      <c r="D2724" s="95"/>
      <c r="E2724" s="73"/>
      <c r="F2724" s="73"/>
      <c r="G2724" s="73"/>
      <c r="H2724" s="73"/>
      <c r="I2724" s="95"/>
      <c r="J2724" s="73"/>
      <c r="K2724" s="95"/>
      <c r="L2724" s="95"/>
      <c r="M2724" s="22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</row>
    <row r="2725">
      <c r="A2725" s="26"/>
      <c r="B2725" s="73"/>
      <c r="C2725" s="73"/>
      <c r="D2725" s="95"/>
      <c r="E2725" s="73"/>
      <c r="F2725" s="73"/>
      <c r="G2725" s="73"/>
      <c r="H2725" s="73"/>
      <c r="I2725" s="95"/>
      <c r="J2725" s="73"/>
      <c r="K2725" s="95"/>
      <c r="L2725" s="95"/>
      <c r="M2725" s="22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</row>
    <row r="2726">
      <c r="A2726" s="26"/>
      <c r="B2726" s="73"/>
      <c r="C2726" s="73"/>
      <c r="D2726" s="95"/>
      <c r="E2726" s="73"/>
      <c r="F2726" s="73"/>
      <c r="G2726" s="73"/>
      <c r="H2726" s="73"/>
      <c r="I2726" s="95"/>
      <c r="J2726" s="73"/>
      <c r="K2726" s="95"/>
      <c r="L2726" s="95"/>
      <c r="M2726" s="22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</row>
    <row r="2727">
      <c r="A2727" s="26"/>
      <c r="B2727" s="73"/>
      <c r="C2727" s="73"/>
      <c r="D2727" s="95"/>
      <c r="E2727" s="73"/>
      <c r="F2727" s="73"/>
      <c r="G2727" s="73"/>
      <c r="H2727" s="73"/>
      <c r="I2727" s="95"/>
      <c r="J2727" s="73"/>
      <c r="K2727" s="95"/>
      <c r="L2727" s="95"/>
      <c r="M2727" s="22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</row>
    <row r="2728">
      <c r="A2728" s="26"/>
      <c r="B2728" s="73"/>
      <c r="C2728" s="73"/>
      <c r="D2728" s="95"/>
      <c r="E2728" s="73"/>
      <c r="F2728" s="73"/>
      <c r="G2728" s="73"/>
      <c r="H2728" s="73"/>
      <c r="I2728" s="95"/>
      <c r="J2728" s="73"/>
      <c r="K2728" s="95"/>
      <c r="L2728" s="95"/>
      <c r="M2728" s="22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</row>
    <row r="2729">
      <c r="A2729" s="26"/>
      <c r="B2729" s="73"/>
      <c r="C2729" s="73"/>
      <c r="D2729" s="95"/>
      <c r="E2729" s="73"/>
      <c r="F2729" s="73"/>
      <c r="G2729" s="73"/>
      <c r="H2729" s="73"/>
      <c r="I2729" s="95"/>
      <c r="J2729" s="73"/>
      <c r="K2729" s="95"/>
      <c r="L2729" s="95"/>
      <c r="M2729" s="22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</row>
    <row r="2730">
      <c r="A2730" s="26"/>
      <c r="B2730" s="73"/>
      <c r="C2730" s="73"/>
      <c r="D2730" s="95"/>
      <c r="E2730" s="73"/>
      <c r="F2730" s="73"/>
      <c r="G2730" s="73"/>
      <c r="H2730" s="73"/>
      <c r="I2730" s="95"/>
      <c r="J2730" s="73"/>
      <c r="K2730" s="95"/>
      <c r="L2730" s="95"/>
      <c r="M2730" s="22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</row>
    <row r="2731">
      <c r="A2731" s="26"/>
      <c r="B2731" s="73"/>
      <c r="C2731" s="73"/>
      <c r="D2731" s="95"/>
      <c r="E2731" s="73"/>
      <c r="F2731" s="73"/>
      <c r="G2731" s="73"/>
      <c r="H2731" s="73"/>
      <c r="I2731" s="95"/>
      <c r="J2731" s="73"/>
      <c r="K2731" s="95"/>
      <c r="L2731" s="95"/>
      <c r="M2731" s="22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</row>
    <row r="2732">
      <c r="A2732" s="26"/>
      <c r="B2732" s="73"/>
      <c r="C2732" s="73"/>
      <c r="D2732" s="95"/>
      <c r="E2732" s="73"/>
      <c r="F2732" s="73"/>
      <c r="G2732" s="73"/>
      <c r="H2732" s="73"/>
      <c r="I2732" s="95"/>
      <c r="J2732" s="73"/>
      <c r="K2732" s="95"/>
      <c r="L2732" s="95"/>
      <c r="M2732" s="22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</row>
    <row r="2733">
      <c r="A2733" s="26"/>
      <c r="B2733" s="73"/>
      <c r="C2733" s="73"/>
      <c r="D2733" s="95"/>
      <c r="E2733" s="73"/>
      <c r="F2733" s="73"/>
      <c r="G2733" s="73"/>
      <c r="H2733" s="73"/>
      <c r="I2733" s="95"/>
      <c r="J2733" s="73"/>
      <c r="K2733" s="95"/>
      <c r="L2733" s="95"/>
      <c r="M2733" s="22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</row>
    <row r="2734">
      <c r="A2734" s="26"/>
      <c r="B2734" s="73"/>
      <c r="C2734" s="73"/>
      <c r="D2734" s="95"/>
      <c r="E2734" s="73"/>
      <c r="F2734" s="73"/>
      <c r="G2734" s="73"/>
      <c r="H2734" s="73"/>
      <c r="I2734" s="95"/>
      <c r="J2734" s="73"/>
      <c r="K2734" s="95"/>
      <c r="L2734" s="95"/>
      <c r="M2734" s="22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</row>
    <row r="2735">
      <c r="A2735" s="26"/>
      <c r="B2735" s="73"/>
      <c r="C2735" s="73"/>
      <c r="D2735" s="95"/>
      <c r="E2735" s="73"/>
      <c r="F2735" s="73"/>
      <c r="G2735" s="73"/>
      <c r="H2735" s="73"/>
      <c r="I2735" s="95"/>
      <c r="J2735" s="73"/>
      <c r="K2735" s="95"/>
      <c r="L2735" s="95"/>
      <c r="M2735" s="22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</row>
    <row r="2736">
      <c r="A2736" s="26"/>
      <c r="B2736" s="73"/>
      <c r="C2736" s="73"/>
      <c r="D2736" s="95"/>
      <c r="E2736" s="73"/>
      <c r="F2736" s="73"/>
      <c r="G2736" s="73"/>
      <c r="H2736" s="73"/>
      <c r="I2736" s="95"/>
      <c r="J2736" s="73"/>
      <c r="K2736" s="95"/>
      <c r="L2736" s="95"/>
      <c r="M2736" s="22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</row>
    <row r="2737">
      <c r="A2737" s="26"/>
      <c r="B2737" s="73"/>
      <c r="C2737" s="73"/>
      <c r="D2737" s="95"/>
      <c r="E2737" s="73"/>
      <c r="F2737" s="73"/>
      <c r="G2737" s="73"/>
      <c r="H2737" s="73"/>
      <c r="I2737" s="95"/>
      <c r="J2737" s="73"/>
      <c r="K2737" s="95"/>
      <c r="L2737" s="95"/>
      <c r="M2737" s="22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</row>
    <row r="2738">
      <c r="A2738" s="26"/>
      <c r="B2738" s="73"/>
      <c r="C2738" s="73"/>
      <c r="D2738" s="95"/>
      <c r="E2738" s="73"/>
      <c r="F2738" s="73"/>
      <c r="G2738" s="73"/>
      <c r="H2738" s="73"/>
      <c r="I2738" s="95"/>
      <c r="J2738" s="73"/>
      <c r="K2738" s="95"/>
      <c r="L2738" s="95"/>
      <c r="M2738" s="22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</row>
    <row r="2739">
      <c r="A2739" s="26"/>
      <c r="B2739" s="73"/>
      <c r="C2739" s="73"/>
      <c r="D2739" s="95"/>
      <c r="E2739" s="73"/>
      <c r="F2739" s="73"/>
      <c r="G2739" s="73"/>
      <c r="H2739" s="73"/>
      <c r="I2739" s="95"/>
      <c r="J2739" s="73"/>
      <c r="K2739" s="95"/>
      <c r="L2739" s="95"/>
      <c r="M2739" s="22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</row>
    <row r="2740">
      <c r="A2740" s="26"/>
      <c r="B2740" s="73"/>
      <c r="C2740" s="73"/>
      <c r="D2740" s="95"/>
      <c r="E2740" s="73"/>
      <c r="F2740" s="73"/>
      <c r="G2740" s="73"/>
      <c r="H2740" s="73"/>
      <c r="I2740" s="95"/>
      <c r="J2740" s="73"/>
      <c r="K2740" s="95"/>
      <c r="L2740" s="95"/>
      <c r="M2740" s="22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</row>
    <row r="2741">
      <c r="A2741" s="26"/>
      <c r="B2741" s="73"/>
      <c r="C2741" s="73"/>
      <c r="D2741" s="95"/>
      <c r="E2741" s="73"/>
      <c r="F2741" s="73"/>
      <c r="G2741" s="73"/>
      <c r="H2741" s="73"/>
      <c r="I2741" s="95"/>
      <c r="J2741" s="73"/>
      <c r="K2741" s="95"/>
      <c r="L2741" s="95"/>
      <c r="M2741" s="22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</row>
    <row r="2742">
      <c r="A2742" s="26"/>
      <c r="B2742" s="73"/>
      <c r="C2742" s="73"/>
      <c r="D2742" s="95"/>
      <c r="E2742" s="73"/>
      <c r="F2742" s="73"/>
      <c r="G2742" s="73"/>
      <c r="H2742" s="73"/>
      <c r="I2742" s="95"/>
      <c r="J2742" s="73"/>
      <c r="K2742" s="95"/>
      <c r="L2742" s="95"/>
      <c r="M2742" s="22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</row>
    <row r="2743">
      <c r="A2743" s="26"/>
      <c r="B2743" s="73"/>
      <c r="C2743" s="73"/>
      <c r="D2743" s="95"/>
      <c r="E2743" s="73"/>
      <c r="F2743" s="73"/>
      <c r="G2743" s="73"/>
      <c r="H2743" s="73"/>
      <c r="I2743" s="95"/>
      <c r="J2743" s="73"/>
      <c r="K2743" s="95"/>
      <c r="L2743" s="95"/>
      <c r="M2743" s="22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</row>
    <row r="2744">
      <c r="A2744" s="26"/>
      <c r="B2744" s="73"/>
      <c r="C2744" s="73"/>
      <c r="D2744" s="95"/>
      <c r="E2744" s="73"/>
      <c r="F2744" s="73"/>
      <c r="G2744" s="73"/>
      <c r="H2744" s="73"/>
      <c r="I2744" s="95"/>
      <c r="J2744" s="73"/>
      <c r="K2744" s="95"/>
      <c r="L2744" s="95"/>
      <c r="M2744" s="22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</row>
    <row r="2745">
      <c r="A2745" s="26"/>
      <c r="B2745" s="73"/>
      <c r="C2745" s="73"/>
      <c r="D2745" s="95"/>
      <c r="E2745" s="73"/>
      <c r="F2745" s="73"/>
      <c r="G2745" s="73"/>
      <c r="H2745" s="73"/>
      <c r="I2745" s="95"/>
      <c r="J2745" s="73"/>
      <c r="K2745" s="95"/>
      <c r="L2745" s="95"/>
      <c r="M2745" s="22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</row>
    <row r="2746">
      <c r="A2746" s="26"/>
      <c r="B2746" s="73"/>
      <c r="C2746" s="73"/>
      <c r="D2746" s="95"/>
      <c r="E2746" s="73"/>
      <c r="F2746" s="73"/>
      <c r="G2746" s="73"/>
      <c r="H2746" s="73"/>
      <c r="I2746" s="95"/>
      <c r="J2746" s="73"/>
      <c r="K2746" s="95"/>
      <c r="L2746" s="95"/>
      <c r="M2746" s="22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</row>
    <row r="2747">
      <c r="A2747" s="26"/>
      <c r="B2747" s="73"/>
      <c r="C2747" s="73"/>
      <c r="D2747" s="95"/>
      <c r="E2747" s="73"/>
      <c r="F2747" s="73"/>
      <c r="G2747" s="73"/>
      <c r="H2747" s="73"/>
      <c r="I2747" s="95"/>
      <c r="J2747" s="73"/>
      <c r="K2747" s="95"/>
      <c r="L2747" s="95"/>
      <c r="M2747" s="22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</row>
    <row r="2748">
      <c r="A2748" s="26"/>
      <c r="B2748" s="73"/>
      <c r="C2748" s="73"/>
      <c r="D2748" s="95"/>
      <c r="E2748" s="73"/>
      <c r="F2748" s="73"/>
      <c r="G2748" s="73"/>
      <c r="H2748" s="73"/>
      <c r="I2748" s="95"/>
      <c r="J2748" s="73"/>
      <c r="K2748" s="95"/>
      <c r="L2748" s="95"/>
      <c r="M2748" s="22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</row>
    <row r="2749">
      <c r="A2749" s="26"/>
      <c r="B2749" s="73"/>
      <c r="C2749" s="73"/>
      <c r="D2749" s="95"/>
      <c r="E2749" s="73"/>
      <c r="F2749" s="73"/>
      <c r="G2749" s="73"/>
      <c r="H2749" s="73"/>
      <c r="I2749" s="95"/>
      <c r="J2749" s="73"/>
      <c r="K2749" s="95"/>
      <c r="L2749" s="95"/>
      <c r="M2749" s="22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</row>
    <row r="2750">
      <c r="A2750" s="26"/>
      <c r="B2750" s="73"/>
      <c r="C2750" s="73"/>
      <c r="D2750" s="95"/>
      <c r="E2750" s="73"/>
      <c r="F2750" s="73"/>
      <c r="G2750" s="73"/>
      <c r="H2750" s="73"/>
      <c r="I2750" s="95"/>
      <c r="J2750" s="73"/>
      <c r="K2750" s="95"/>
      <c r="L2750" s="95"/>
      <c r="M2750" s="22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</row>
    <row r="2751">
      <c r="A2751" s="26"/>
      <c r="B2751" s="73"/>
      <c r="C2751" s="73"/>
      <c r="D2751" s="95"/>
      <c r="E2751" s="73"/>
      <c r="F2751" s="73"/>
      <c r="G2751" s="73"/>
      <c r="H2751" s="73"/>
      <c r="I2751" s="95"/>
      <c r="J2751" s="73"/>
      <c r="K2751" s="95"/>
      <c r="L2751" s="95"/>
      <c r="M2751" s="22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</row>
    <row r="2752">
      <c r="A2752" s="26"/>
      <c r="B2752" s="73"/>
      <c r="C2752" s="73"/>
      <c r="D2752" s="95"/>
      <c r="E2752" s="73"/>
      <c r="F2752" s="73"/>
      <c r="G2752" s="73"/>
      <c r="H2752" s="73"/>
      <c r="I2752" s="95"/>
      <c r="J2752" s="73"/>
      <c r="K2752" s="95"/>
      <c r="L2752" s="95"/>
      <c r="M2752" s="22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</row>
    <row r="2753">
      <c r="A2753" s="26"/>
      <c r="B2753" s="73"/>
      <c r="C2753" s="73"/>
      <c r="D2753" s="95"/>
      <c r="E2753" s="73"/>
      <c r="F2753" s="73"/>
      <c r="G2753" s="73"/>
      <c r="H2753" s="73"/>
      <c r="I2753" s="95"/>
      <c r="J2753" s="73"/>
      <c r="K2753" s="95"/>
      <c r="L2753" s="95"/>
      <c r="M2753" s="22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</row>
    <row r="2754">
      <c r="A2754" s="26"/>
      <c r="B2754" s="73"/>
      <c r="C2754" s="73"/>
      <c r="D2754" s="95"/>
      <c r="E2754" s="73"/>
      <c r="F2754" s="73"/>
      <c r="G2754" s="73"/>
      <c r="H2754" s="73"/>
      <c r="I2754" s="95"/>
      <c r="J2754" s="73"/>
      <c r="K2754" s="95"/>
      <c r="L2754" s="95"/>
      <c r="M2754" s="22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</row>
    <row r="2755">
      <c r="A2755" s="26"/>
      <c r="B2755" s="73"/>
      <c r="C2755" s="73"/>
      <c r="D2755" s="95"/>
      <c r="E2755" s="73"/>
      <c r="F2755" s="73"/>
      <c r="G2755" s="73"/>
      <c r="H2755" s="73"/>
      <c r="I2755" s="95"/>
      <c r="J2755" s="73"/>
      <c r="K2755" s="95"/>
      <c r="L2755" s="95"/>
      <c r="M2755" s="22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</row>
    <row r="2756">
      <c r="A2756" s="26"/>
      <c r="B2756" s="73"/>
      <c r="C2756" s="73"/>
      <c r="D2756" s="95"/>
      <c r="E2756" s="73"/>
      <c r="F2756" s="73"/>
      <c r="G2756" s="73"/>
      <c r="H2756" s="73"/>
      <c r="I2756" s="95"/>
      <c r="J2756" s="73"/>
      <c r="K2756" s="95"/>
      <c r="L2756" s="95"/>
      <c r="M2756" s="22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</row>
    <row r="2757">
      <c r="A2757" s="26"/>
      <c r="B2757" s="73"/>
      <c r="C2757" s="73"/>
      <c r="D2757" s="95"/>
      <c r="E2757" s="73"/>
      <c r="F2757" s="73"/>
      <c r="G2757" s="73"/>
      <c r="H2757" s="73"/>
      <c r="I2757" s="95"/>
      <c r="J2757" s="73"/>
      <c r="K2757" s="95"/>
      <c r="L2757" s="95"/>
      <c r="M2757" s="22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</row>
    <row r="2758">
      <c r="A2758" s="26"/>
      <c r="B2758" s="73"/>
      <c r="C2758" s="73"/>
      <c r="D2758" s="95"/>
      <c r="E2758" s="73"/>
      <c r="F2758" s="73"/>
      <c r="G2758" s="73"/>
      <c r="H2758" s="73"/>
      <c r="I2758" s="95"/>
      <c r="J2758" s="73"/>
      <c r="K2758" s="95"/>
      <c r="L2758" s="95"/>
      <c r="M2758" s="22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</row>
    <row r="2759">
      <c r="A2759" s="26"/>
      <c r="B2759" s="73"/>
      <c r="C2759" s="73"/>
      <c r="D2759" s="95"/>
      <c r="E2759" s="73"/>
      <c r="F2759" s="73"/>
      <c r="G2759" s="73"/>
      <c r="H2759" s="73"/>
      <c r="I2759" s="95"/>
      <c r="J2759" s="73"/>
      <c r="K2759" s="95"/>
      <c r="L2759" s="95"/>
      <c r="M2759" s="22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</row>
    <row r="2760">
      <c r="A2760" s="26"/>
      <c r="B2760" s="73"/>
      <c r="C2760" s="73"/>
      <c r="D2760" s="95"/>
      <c r="E2760" s="73"/>
      <c r="F2760" s="73"/>
      <c r="G2760" s="73"/>
      <c r="H2760" s="73"/>
      <c r="I2760" s="95"/>
      <c r="J2760" s="73"/>
      <c r="K2760" s="95"/>
      <c r="L2760" s="95"/>
      <c r="M2760" s="22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</row>
    <row r="2761">
      <c r="A2761" s="26"/>
      <c r="B2761" s="73"/>
      <c r="C2761" s="73"/>
      <c r="D2761" s="95"/>
      <c r="E2761" s="73"/>
      <c r="F2761" s="73"/>
      <c r="G2761" s="73"/>
      <c r="H2761" s="73"/>
      <c r="I2761" s="95"/>
      <c r="J2761" s="73"/>
      <c r="K2761" s="95"/>
      <c r="L2761" s="95"/>
      <c r="M2761" s="22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</row>
    <row r="2762">
      <c r="A2762" s="26"/>
      <c r="B2762" s="73"/>
      <c r="C2762" s="73"/>
      <c r="D2762" s="95"/>
      <c r="E2762" s="73"/>
      <c r="F2762" s="73"/>
      <c r="G2762" s="73"/>
      <c r="H2762" s="73"/>
      <c r="I2762" s="95"/>
      <c r="J2762" s="73"/>
      <c r="K2762" s="95"/>
      <c r="L2762" s="95"/>
      <c r="M2762" s="22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</row>
    <row r="2763">
      <c r="A2763" s="26"/>
      <c r="B2763" s="73"/>
      <c r="C2763" s="73"/>
      <c r="D2763" s="95"/>
      <c r="E2763" s="73"/>
      <c r="F2763" s="73"/>
      <c r="G2763" s="73"/>
      <c r="H2763" s="73"/>
      <c r="I2763" s="95"/>
      <c r="J2763" s="73"/>
      <c r="K2763" s="95"/>
      <c r="L2763" s="95"/>
      <c r="M2763" s="22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</row>
    <row r="2764">
      <c r="A2764" s="26"/>
      <c r="B2764" s="73"/>
      <c r="C2764" s="73"/>
      <c r="D2764" s="95"/>
      <c r="E2764" s="73"/>
      <c r="F2764" s="73"/>
      <c r="G2764" s="73"/>
      <c r="H2764" s="73"/>
      <c r="I2764" s="95"/>
      <c r="J2764" s="73"/>
      <c r="K2764" s="95"/>
      <c r="L2764" s="95"/>
      <c r="M2764" s="22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</row>
    <row r="2765">
      <c r="A2765" s="26"/>
      <c r="B2765" s="73"/>
      <c r="C2765" s="73"/>
      <c r="D2765" s="95"/>
      <c r="E2765" s="73"/>
      <c r="F2765" s="73"/>
      <c r="G2765" s="73"/>
      <c r="H2765" s="73"/>
      <c r="I2765" s="95"/>
      <c r="J2765" s="73"/>
      <c r="K2765" s="95"/>
      <c r="L2765" s="95"/>
      <c r="M2765" s="22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</row>
    <row r="2766">
      <c r="A2766" s="26"/>
      <c r="B2766" s="73"/>
      <c r="C2766" s="73"/>
      <c r="D2766" s="95"/>
      <c r="E2766" s="73"/>
      <c r="F2766" s="73"/>
      <c r="G2766" s="73"/>
      <c r="H2766" s="73"/>
      <c r="I2766" s="95"/>
      <c r="J2766" s="73"/>
      <c r="K2766" s="95"/>
      <c r="L2766" s="95"/>
      <c r="M2766" s="22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</row>
    <row r="2767">
      <c r="A2767" s="26"/>
      <c r="B2767" s="73"/>
      <c r="C2767" s="73"/>
      <c r="D2767" s="95"/>
      <c r="E2767" s="73"/>
      <c r="F2767" s="73"/>
      <c r="G2767" s="73"/>
      <c r="H2767" s="73"/>
      <c r="I2767" s="95"/>
      <c r="J2767" s="73"/>
      <c r="K2767" s="95"/>
      <c r="L2767" s="95"/>
      <c r="M2767" s="22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</row>
    <row r="2768">
      <c r="A2768" s="26"/>
      <c r="B2768" s="73"/>
      <c r="C2768" s="73"/>
      <c r="D2768" s="95"/>
      <c r="E2768" s="73"/>
      <c r="F2768" s="73"/>
      <c r="G2768" s="73"/>
      <c r="H2768" s="73"/>
      <c r="I2768" s="95"/>
      <c r="J2768" s="73"/>
      <c r="K2768" s="95"/>
      <c r="L2768" s="95"/>
      <c r="M2768" s="22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</row>
    <row r="2769">
      <c r="A2769" s="26"/>
      <c r="B2769" s="73"/>
      <c r="C2769" s="73"/>
      <c r="D2769" s="95"/>
      <c r="E2769" s="73"/>
      <c r="F2769" s="73"/>
      <c r="G2769" s="73"/>
      <c r="H2769" s="73"/>
      <c r="I2769" s="95"/>
      <c r="J2769" s="73"/>
      <c r="K2769" s="95"/>
      <c r="L2769" s="95"/>
      <c r="M2769" s="22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</row>
    <row r="2770">
      <c r="A2770" s="26"/>
      <c r="B2770" s="73"/>
      <c r="C2770" s="73"/>
      <c r="D2770" s="95"/>
      <c r="E2770" s="73"/>
      <c r="F2770" s="73"/>
      <c r="G2770" s="73"/>
      <c r="H2770" s="73"/>
      <c r="I2770" s="95"/>
      <c r="J2770" s="73"/>
      <c r="K2770" s="95"/>
      <c r="L2770" s="95"/>
      <c r="M2770" s="22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</row>
    <row r="2771">
      <c r="A2771" s="26"/>
      <c r="B2771" s="73"/>
      <c r="C2771" s="73"/>
      <c r="D2771" s="95"/>
      <c r="E2771" s="73"/>
      <c r="F2771" s="73"/>
      <c r="G2771" s="73"/>
      <c r="H2771" s="73"/>
      <c r="I2771" s="95"/>
      <c r="J2771" s="73"/>
      <c r="K2771" s="95"/>
      <c r="L2771" s="95"/>
      <c r="M2771" s="22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</row>
    <row r="2772">
      <c r="A2772" s="26"/>
      <c r="B2772" s="73"/>
      <c r="C2772" s="73"/>
      <c r="D2772" s="95"/>
      <c r="E2772" s="73"/>
      <c r="F2772" s="73"/>
      <c r="G2772" s="73"/>
      <c r="H2772" s="73"/>
      <c r="I2772" s="95"/>
      <c r="J2772" s="73"/>
      <c r="K2772" s="95"/>
      <c r="L2772" s="95"/>
      <c r="M2772" s="22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</row>
    <row r="2773">
      <c r="A2773" s="26"/>
      <c r="B2773" s="73"/>
      <c r="C2773" s="73"/>
      <c r="D2773" s="95"/>
      <c r="E2773" s="73"/>
      <c r="F2773" s="73"/>
      <c r="G2773" s="73"/>
      <c r="H2773" s="73"/>
      <c r="I2773" s="95"/>
      <c r="J2773" s="73"/>
      <c r="K2773" s="95"/>
      <c r="L2773" s="95"/>
      <c r="M2773" s="22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</row>
    <row r="2774">
      <c r="A2774" s="26"/>
      <c r="B2774" s="73"/>
      <c r="C2774" s="73"/>
      <c r="D2774" s="95"/>
      <c r="E2774" s="73"/>
      <c r="F2774" s="73"/>
      <c r="G2774" s="73"/>
      <c r="H2774" s="73"/>
      <c r="I2774" s="95"/>
      <c r="J2774" s="73"/>
      <c r="K2774" s="95"/>
      <c r="L2774" s="95"/>
      <c r="M2774" s="22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</row>
    <row r="2775">
      <c r="A2775" s="26"/>
      <c r="B2775" s="73"/>
      <c r="C2775" s="73"/>
      <c r="D2775" s="95"/>
      <c r="E2775" s="73"/>
      <c r="F2775" s="73"/>
      <c r="G2775" s="73"/>
      <c r="H2775" s="73"/>
      <c r="I2775" s="95"/>
      <c r="J2775" s="73"/>
      <c r="K2775" s="95"/>
      <c r="L2775" s="95"/>
      <c r="M2775" s="22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</row>
    <row r="2776">
      <c r="A2776" s="26"/>
      <c r="B2776" s="73"/>
      <c r="C2776" s="73"/>
      <c r="D2776" s="95"/>
      <c r="E2776" s="73"/>
      <c r="F2776" s="73"/>
      <c r="G2776" s="73"/>
      <c r="H2776" s="73"/>
      <c r="I2776" s="95"/>
      <c r="J2776" s="73"/>
      <c r="K2776" s="95"/>
      <c r="L2776" s="95"/>
      <c r="M2776" s="22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</row>
    <row r="2777">
      <c r="A2777" s="26"/>
      <c r="B2777" s="73"/>
      <c r="C2777" s="73"/>
      <c r="D2777" s="95"/>
      <c r="E2777" s="73"/>
      <c r="F2777" s="73"/>
      <c r="G2777" s="73"/>
      <c r="H2777" s="73"/>
      <c r="I2777" s="95"/>
      <c r="J2777" s="73"/>
      <c r="K2777" s="95"/>
      <c r="L2777" s="95"/>
      <c r="M2777" s="22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</row>
    <row r="2778">
      <c r="A2778" s="26"/>
      <c r="B2778" s="73"/>
      <c r="C2778" s="73"/>
      <c r="D2778" s="95"/>
      <c r="E2778" s="73"/>
      <c r="F2778" s="73"/>
      <c r="G2778" s="73"/>
      <c r="H2778" s="73"/>
      <c r="I2778" s="95"/>
      <c r="J2778" s="73"/>
      <c r="K2778" s="95"/>
      <c r="L2778" s="95"/>
      <c r="M2778" s="22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</row>
    <row r="2779">
      <c r="A2779" s="26"/>
      <c r="B2779" s="73"/>
      <c r="C2779" s="73"/>
      <c r="D2779" s="95"/>
      <c r="E2779" s="73"/>
      <c r="F2779" s="73"/>
      <c r="G2779" s="73"/>
      <c r="H2779" s="73"/>
      <c r="I2779" s="95"/>
      <c r="J2779" s="73"/>
      <c r="K2779" s="95"/>
      <c r="L2779" s="95"/>
      <c r="M2779" s="22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</row>
    <row r="2780">
      <c r="A2780" s="26"/>
      <c r="B2780" s="73"/>
      <c r="C2780" s="73"/>
      <c r="D2780" s="95"/>
      <c r="E2780" s="73"/>
      <c r="F2780" s="73"/>
      <c r="G2780" s="73"/>
      <c r="H2780" s="73"/>
      <c r="I2780" s="95"/>
      <c r="J2780" s="73"/>
      <c r="K2780" s="95"/>
      <c r="L2780" s="95"/>
      <c r="M2780" s="22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</row>
    <row r="2781">
      <c r="A2781" s="26"/>
      <c r="B2781" s="73"/>
      <c r="C2781" s="73"/>
      <c r="D2781" s="95"/>
      <c r="E2781" s="73"/>
      <c r="F2781" s="73"/>
      <c r="G2781" s="73"/>
      <c r="H2781" s="73"/>
      <c r="I2781" s="95"/>
      <c r="J2781" s="73"/>
      <c r="K2781" s="95"/>
      <c r="L2781" s="95"/>
      <c r="M2781" s="22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</row>
    <row r="2782">
      <c r="A2782" s="26"/>
      <c r="B2782" s="73"/>
      <c r="C2782" s="73"/>
      <c r="D2782" s="95"/>
      <c r="E2782" s="73"/>
      <c r="F2782" s="73"/>
      <c r="G2782" s="73"/>
      <c r="H2782" s="73"/>
      <c r="I2782" s="95"/>
      <c r="J2782" s="73"/>
      <c r="K2782" s="95"/>
      <c r="L2782" s="95"/>
      <c r="M2782" s="22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</row>
    <row r="2783">
      <c r="A2783" s="26"/>
      <c r="B2783" s="73"/>
      <c r="C2783" s="73"/>
      <c r="D2783" s="95"/>
      <c r="E2783" s="73"/>
      <c r="F2783" s="73"/>
      <c r="G2783" s="73"/>
      <c r="H2783" s="73"/>
      <c r="I2783" s="95"/>
      <c r="J2783" s="73"/>
      <c r="K2783" s="95"/>
      <c r="L2783" s="95"/>
      <c r="M2783" s="22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</row>
    <row r="2784">
      <c r="A2784" s="26"/>
      <c r="B2784" s="73"/>
      <c r="C2784" s="73"/>
      <c r="D2784" s="95"/>
      <c r="E2784" s="73"/>
      <c r="F2784" s="73"/>
      <c r="G2784" s="73"/>
      <c r="H2784" s="73"/>
      <c r="I2784" s="95"/>
      <c r="J2784" s="73"/>
      <c r="K2784" s="95"/>
      <c r="L2784" s="95"/>
      <c r="M2784" s="22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</row>
    <row r="2785">
      <c r="A2785" s="26"/>
      <c r="B2785" s="73"/>
      <c r="C2785" s="73"/>
      <c r="D2785" s="95"/>
      <c r="E2785" s="73"/>
      <c r="F2785" s="73"/>
      <c r="G2785" s="73"/>
      <c r="H2785" s="73"/>
      <c r="I2785" s="95"/>
      <c r="J2785" s="73"/>
      <c r="K2785" s="95"/>
      <c r="L2785" s="95"/>
      <c r="M2785" s="22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</row>
    <row r="2786">
      <c r="A2786" s="26"/>
      <c r="B2786" s="73"/>
      <c r="C2786" s="73"/>
      <c r="D2786" s="95"/>
      <c r="E2786" s="73"/>
      <c r="F2786" s="73"/>
      <c r="G2786" s="73"/>
      <c r="H2786" s="73"/>
      <c r="I2786" s="95"/>
      <c r="J2786" s="73"/>
      <c r="K2786" s="95"/>
      <c r="L2786" s="95"/>
      <c r="M2786" s="22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</row>
    <row r="2787">
      <c r="A2787" s="26"/>
      <c r="B2787" s="73"/>
      <c r="C2787" s="73"/>
      <c r="D2787" s="95"/>
      <c r="E2787" s="73"/>
      <c r="F2787" s="73"/>
      <c r="G2787" s="73"/>
      <c r="H2787" s="73"/>
      <c r="I2787" s="95"/>
      <c r="J2787" s="73"/>
      <c r="K2787" s="95"/>
      <c r="L2787" s="95"/>
      <c r="M2787" s="22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</row>
    <row r="2788">
      <c r="A2788" s="26"/>
      <c r="B2788" s="73"/>
      <c r="C2788" s="73"/>
      <c r="D2788" s="95"/>
      <c r="E2788" s="73"/>
      <c r="F2788" s="73"/>
      <c r="G2788" s="73"/>
      <c r="H2788" s="73"/>
      <c r="I2788" s="95"/>
      <c r="J2788" s="73"/>
      <c r="K2788" s="95"/>
      <c r="L2788" s="95"/>
      <c r="M2788" s="22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</row>
    <row r="2789">
      <c r="A2789" s="26"/>
      <c r="B2789" s="73"/>
      <c r="C2789" s="73"/>
      <c r="D2789" s="95"/>
      <c r="E2789" s="73"/>
      <c r="F2789" s="73"/>
      <c r="G2789" s="73"/>
      <c r="H2789" s="73"/>
      <c r="I2789" s="95"/>
      <c r="J2789" s="73"/>
      <c r="K2789" s="95"/>
      <c r="L2789" s="95"/>
      <c r="M2789" s="22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</row>
    <row r="2790">
      <c r="A2790" s="26"/>
      <c r="B2790" s="73"/>
      <c r="C2790" s="73"/>
      <c r="D2790" s="95"/>
      <c r="E2790" s="73"/>
      <c r="F2790" s="73"/>
      <c r="G2790" s="73"/>
      <c r="H2790" s="73"/>
      <c r="I2790" s="95"/>
      <c r="J2790" s="73"/>
      <c r="K2790" s="95"/>
      <c r="L2790" s="95"/>
      <c r="M2790" s="22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</row>
    <row r="2791">
      <c r="A2791" s="26"/>
      <c r="B2791" s="73"/>
      <c r="C2791" s="73"/>
      <c r="D2791" s="95"/>
      <c r="E2791" s="73"/>
      <c r="F2791" s="73"/>
      <c r="G2791" s="73"/>
      <c r="H2791" s="73"/>
      <c r="I2791" s="95"/>
      <c r="J2791" s="73"/>
      <c r="K2791" s="95"/>
      <c r="L2791" s="95"/>
      <c r="M2791" s="22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</row>
    <row r="2792">
      <c r="A2792" s="26"/>
      <c r="B2792" s="73"/>
      <c r="C2792" s="73"/>
      <c r="D2792" s="95"/>
      <c r="E2792" s="73"/>
      <c r="F2792" s="73"/>
      <c r="G2792" s="73"/>
      <c r="H2792" s="73"/>
      <c r="I2792" s="95"/>
      <c r="J2792" s="73"/>
      <c r="K2792" s="95"/>
      <c r="L2792" s="95"/>
      <c r="M2792" s="22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</row>
    <row r="2793">
      <c r="A2793" s="26"/>
      <c r="B2793" s="73"/>
      <c r="C2793" s="73"/>
      <c r="D2793" s="95"/>
      <c r="E2793" s="73"/>
      <c r="F2793" s="73"/>
      <c r="G2793" s="73"/>
      <c r="H2793" s="73"/>
      <c r="I2793" s="95"/>
      <c r="J2793" s="73"/>
      <c r="K2793" s="95"/>
      <c r="L2793" s="95"/>
      <c r="M2793" s="22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</row>
    <row r="2794">
      <c r="A2794" s="26"/>
      <c r="B2794" s="73"/>
      <c r="C2794" s="73"/>
      <c r="D2794" s="95"/>
      <c r="E2794" s="73"/>
      <c r="F2794" s="73"/>
      <c r="G2794" s="73"/>
      <c r="H2794" s="73"/>
      <c r="I2794" s="95"/>
      <c r="J2794" s="73"/>
      <c r="K2794" s="95"/>
      <c r="L2794" s="95"/>
      <c r="M2794" s="22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</row>
    <row r="2795">
      <c r="A2795" s="26"/>
      <c r="B2795" s="73"/>
      <c r="C2795" s="73"/>
      <c r="D2795" s="95"/>
      <c r="E2795" s="73"/>
      <c r="F2795" s="73"/>
      <c r="G2795" s="73"/>
      <c r="H2795" s="73"/>
      <c r="I2795" s="95"/>
      <c r="J2795" s="73"/>
      <c r="K2795" s="95"/>
      <c r="L2795" s="95"/>
      <c r="M2795" s="22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</row>
    <row r="2796">
      <c r="A2796" s="26"/>
      <c r="B2796" s="73"/>
      <c r="C2796" s="73"/>
      <c r="D2796" s="95"/>
      <c r="E2796" s="73"/>
      <c r="F2796" s="73"/>
      <c r="G2796" s="73"/>
      <c r="H2796" s="73"/>
      <c r="I2796" s="95"/>
      <c r="J2796" s="73"/>
      <c r="K2796" s="95"/>
      <c r="L2796" s="95"/>
      <c r="M2796" s="22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</row>
    <row r="2797">
      <c r="A2797" s="26"/>
      <c r="B2797" s="73"/>
      <c r="C2797" s="73"/>
      <c r="D2797" s="95"/>
      <c r="E2797" s="73"/>
      <c r="F2797" s="73"/>
      <c r="G2797" s="73"/>
      <c r="H2797" s="73"/>
      <c r="I2797" s="95"/>
      <c r="J2797" s="73"/>
      <c r="K2797" s="95"/>
      <c r="L2797" s="95"/>
      <c r="M2797" s="22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</row>
    <row r="2798">
      <c r="A2798" s="26"/>
      <c r="B2798" s="73"/>
      <c r="C2798" s="73"/>
      <c r="D2798" s="95"/>
      <c r="E2798" s="73"/>
      <c r="F2798" s="73"/>
      <c r="G2798" s="73"/>
      <c r="H2798" s="73"/>
      <c r="I2798" s="95"/>
      <c r="J2798" s="73"/>
      <c r="K2798" s="95"/>
      <c r="L2798" s="95"/>
      <c r="M2798" s="22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</row>
    <row r="2799">
      <c r="A2799" s="26"/>
      <c r="B2799" s="73"/>
      <c r="C2799" s="73"/>
      <c r="D2799" s="95"/>
      <c r="E2799" s="73"/>
      <c r="F2799" s="73"/>
      <c r="G2799" s="73"/>
      <c r="H2799" s="73"/>
      <c r="I2799" s="95"/>
      <c r="J2799" s="73"/>
      <c r="K2799" s="95"/>
      <c r="L2799" s="95"/>
      <c r="M2799" s="22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</row>
    <row r="2800">
      <c r="A2800" s="26"/>
      <c r="B2800" s="73"/>
      <c r="C2800" s="73"/>
      <c r="D2800" s="95"/>
      <c r="E2800" s="73"/>
      <c r="F2800" s="73"/>
      <c r="G2800" s="73"/>
      <c r="H2800" s="73"/>
      <c r="I2800" s="95"/>
      <c r="J2800" s="73"/>
      <c r="K2800" s="95"/>
      <c r="L2800" s="95"/>
      <c r="M2800" s="22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</row>
    <row r="2801">
      <c r="A2801" s="26"/>
      <c r="B2801" s="73"/>
      <c r="C2801" s="73"/>
      <c r="D2801" s="95"/>
      <c r="E2801" s="73"/>
      <c r="F2801" s="73"/>
      <c r="G2801" s="73"/>
      <c r="H2801" s="73"/>
      <c r="I2801" s="95"/>
      <c r="J2801" s="73"/>
      <c r="K2801" s="95"/>
      <c r="L2801" s="95"/>
      <c r="M2801" s="22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</row>
    <row r="2802">
      <c r="A2802" s="26"/>
      <c r="B2802" s="73"/>
      <c r="C2802" s="73"/>
      <c r="D2802" s="95"/>
      <c r="E2802" s="73"/>
      <c r="F2802" s="73"/>
      <c r="G2802" s="73"/>
      <c r="H2802" s="73"/>
      <c r="I2802" s="95"/>
      <c r="J2802" s="73"/>
      <c r="K2802" s="95"/>
      <c r="L2802" s="95"/>
      <c r="M2802" s="22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</row>
    <row r="2803">
      <c r="A2803" s="26"/>
      <c r="B2803" s="73"/>
      <c r="C2803" s="73"/>
      <c r="D2803" s="95"/>
      <c r="E2803" s="73"/>
      <c r="F2803" s="73"/>
      <c r="G2803" s="73"/>
      <c r="H2803" s="73"/>
      <c r="I2803" s="95"/>
      <c r="J2803" s="73"/>
      <c r="K2803" s="95"/>
      <c r="L2803" s="95"/>
      <c r="M2803" s="22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</row>
    <row r="2804">
      <c r="A2804" s="26"/>
      <c r="B2804" s="73"/>
      <c r="C2804" s="73"/>
      <c r="D2804" s="95"/>
      <c r="E2804" s="73"/>
      <c r="F2804" s="73"/>
      <c r="G2804" s="73"/>
      <c r="H2804" s="73"/>
      <c r="I2804" s="95"/>
      <c r="J2804" s="73"/>
      <c r="K2804" s="95"/>
      <c r="L2804" s="95"/>
      <c r="M2804" s="22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</row>
    <row r="2805">
      <c r="A2805" s="26"/>
      <c r="B2805" s="73"/>
      <c r="C2805" s="73"/>
      <c r="D2805" s="95"/>
      <c r="E2805" s="73"/>
      <c r="F2805" s="73"/>
      <c r="G2805" s="73"/>
      <c r="H2805" s="73"/>
      <c r="I2805" s="95"/>
      <c r="J2805" s="73"/>
      <c r="K2805" s="95"/>
      <c r="L2805" s="95"/>
      <c r="M2805" s="22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</row>
    <row r="2806">
      <c r="A2806" s="26"/>
      <c r="B2806" s="73"/>
      <c r="C2806" s="73"/>
      <c r="D2806" s="95"/>
      <c r="E2806" s="73"/>
      <c r="F2806" s="73"/>
      <c r="G2806" s="73"/>
      <c r="H2806" s="73"/>
      <c r="I2806" s="95"/>
      <c r="J2806" s="73"/>
      <c r="K2806" s="95"/>
      <c r="L2806" s="95"/>
      <c r="M2806" s="22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</row>
    <row r="2807">
      <c r="A2807" s="26"/>
      <c r="B2807" s="73"/>
      <c r="C2807" s="73"/>
      <c r="D2807" s="95"/>
      <c r="E2807" s="73"/>
      <c r="F2807" s="73"/>
      <c r="G2807" s="73"/>
      <c r="H2807" s="73"/>
      <c r="I2807" s="95"/>
      <c r="J2807" s="73"/>
      <c r="K2807" s="95"/>
      <c r="L2807" s="95"/>
      <c r="M2807" s="22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</row>
    <row r="2808">
      <c r="A2808" s="26"/>
      <c r="B2808" s="73"/>
      <c r="C2808" s="73"/>
      <c r="D2808" s="95"/>
      <c r="E2808" s="73"/>
      <c r="F2808" s="73"/>
      <c r="G2808" s="73"/>
      <c r="H2808" s="73"/>
      <c r="I2808" s="95"/>
      <c r="J2808" s="73"/>
      <c r="K2808" s="95"/>
      <c r="L2808" s="95"/>
      <c r="M2808" s="22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</row>
    <row r="2809">
      <c r="A2809" s="26"/>
      <c r="B2809" s="73"/>
      <c r="C2809" s="73"/>
      <c r="D2809" s="95"/>
      <c r="E2809" s="73"/>
      <c r="F2809" s="73"/>
      <c r="G2809" s="73"/>
      <c r="H2809" s="73"/>
      <c r="I2809" s="95"/>
      <c r="J2809" s="73"/>
      <c r="K2809" s="95"/>
      <c r="L2809" s="95"/>
      <c r="M2809" s="22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</row>
    <row r="2810">
      <c r="A2810" s="26"/>
      <c r="B2810" s="73"/>
      <c r="C2810" s="73"/>
      <c r="D2810" s="95"/>
      <c r="E2810" s="73"/>
      <c r="F2810" s="73"/>
      <c r="G2810" s="73"/>
      <c r="H2810" s="73"/>
      <c r="I2810" s="95"/>
      <c r="J2810" s="73"/>
      <c r="K2810" s="95"/>
      <c r="L2810" s="95"/>
      <c r="M2810" s="22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</row>
    <row r="2811">
      <c r="A2811" s="26"/>
      <c r="B2811" s="73"/>
      <c r="C2811" s="73"/>
      <c r="D2811" s="95"/>
      <c r="E2811" s="73"/>
      <c r="F2811" s="73"/>
      <c r="G2811" s="73"/>
      <c r="H2811" s="73"/>
      <c r="I2811" s="95"/>
      <c r="J2811" s="73"/>
      <c r="K2811" s="95"/>
      <c r="L2811" s="95"/>
      <c r="M2811" s="22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</row>
    <row r="2812">
      <c r="A2812" s="26"/>
      <c r="B2812" s="73"/>
      <c r="C2812" s="73"/>
      <c r="D2812" s="95"/>
      <c r="E2812" s="73"/>
      <c r="F2812" s="73"/>
      <c r="G2812" s="73"/>
      <c r="H2812" s="73"/>
      <c r="I2812" s="95"/>
      <c r="J2812" s="73"/>
      <c r="K2812" s="95"/>
      <c r="L2812" s="95"/>
      <c r="M2812" s="22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</row>
    <row r="2813">
      <c r="A2813" s="26"/>
      <c r="B2813" s="73"/>
      <c r="C2813" s="73"/>
      <c r="D2813" s="95"/>
      <c r="E2813" s="73"/>
      <c r="F2813" s="73"/>
      <c r="G2813" s="73"/>
      <c r="H2813" s="73"/>
      <c r="I2813" s="95"/>
      <c r="J2813" s="73"/>
      <c r="K2813" s="95"/>
      <c r="L2813" s="95"/>
      <c r="M2813" s="22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</row>
    <row r="2814">
      <c r="A2814" s="26"/>
      <c r="B2814" s="73"/>
      <c r="C2814" s="73"/>
      <c r="D2814" s="95"/>
      <c r="E2814" s="73"/>
      <c r="F2814" s="73"/>
      <c r="G2814" s="73"/>
      <c r="H2814" s="73"/>
      <c r="I2814" s="95"/>
      <c r="J2814" s="73"/>
      <c r="K2814" s="95"/>
      <c r="L2814" s="95"/>
      <c r="M2814" s="22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</row>
    <row r="2815">
      <c r="A2815" s="26"/>
      <c r="B2815" s="73"/>
      <c r="C2815" s="73"/>
      <c r="D2815" s="95"/>
      <c r="E2815" s="73"/>
      <c r="F2815" s="73"/>
      <c r="G2815" s="73"/>
      <c r="H2815" s="73"/>
      <c r="I2815" s="95"/>
      <c r="J2815" s="73"/>
      <c r="K2815" s="95"/>
      <c r="L2815" s="95"/>
      <c r="M2815" s="22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</row>
    <row r="2816">
      <c r="A2816" s="26"/>
      <c r="B2816" s="73"/>
      <c r="C2816" s="73"/>
      <c r="D2816" s="95"/>
      <c r="E2816" s="73"/>
      <c r="F2816" s="73"/>
      <c r="G2816" s="73"/>
      <c r="H2816" s="73"/>
      <c r="I2816" s="95"/>
      <c r="J2816" s="73"/>
      <c r="K2816" s="95"/>
      <c r="L2816" s="95"/>
      <c r="M2816" s="22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</row>
    <row r="2817">
      <c r="A2817" s="26"/>
      <c r="B2817" s="73"/>
      <c r="C2817" s="73"/>
      <c r="D2817" s="95"/>
      <c r="E2817" s="73"/>
      <c r="F2817" s="73"/>
      <c r="G2817" s="73"/>
      <c r="H2817" s="73"/>
      <c r="I2817" s="95"/>
      <c r="J2817" s="73"/>
      <c r="K2817" s="95"/>
      <c r="L2817" s="95"/>
      <c r="M2817" s="22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</row>
    <row r="2818">
      <c r="A2818" s="26"/>
      <c r="B2818" s="73"/>
      <c r="C2818" s="73"/>
      <c r="D2818" s="95"/>
      <c r="E2818" s="73"/>
      <c r="F2818" s="73"/>
      <c r="G2818" s="73"/>
      <c r="H2818" s="73"/>
      <c r="I2818" s="95"/>
      <c r="J2818" s="73"/>
      <c r="K2818" s="95"/>
      <c r="L2818" s="95"/>
      <c r="M2818" s="22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</row>
    <row r="2819">
      <c r="A2819" s="26"/>
      <c r="B2819" s="73"/>
      <c r="C2819" s="73"/>
      <c r="D2819" s="95"/>
      <c r="E2819" s="73"/>
      <c r="F2819" s="73"/>
      <c r="G2819" s="73"/>
      <c r="H2819" s="73"/>
      <c r="I2819" s="95"/>
      <c r="J2819" s="73"/>
      <c r="K2819" s="95"/>
      <c r="L2819" s="95"/>
      <c r="M2819" s="22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</row>
    <row r="2820">
      <c r="A2820" s="26"/>
      <c r="B2820" s="73"/>
      <c r="C2820" s="73"/>
      <c r="D2820" s="95"/>
      <c r="E2820" s="73"/>
      <c r="F2820" s="73"/>
      <c r="G2820" s="73"/>
      <c r="H2820" s="73"/>
      <c r="I2820" s="95"/>
      <c r="J2820" s="73"/>
      <c r="K2820" s="95"/>
      <c r="L2820" s="95"/>
      <c r="M2820" s="22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</row>
    <row r="2821">
      <c r="A2821" s="26"/>
      <c r="B2821" s="73"/>
      <c r="C2821" s="73"/>
      <c r="D2821" s="95"/>
      <c r="E2821" s="73"/>
      <c r="F2821" s="73"/>
      <c r="G2821" s="73"/>
      <c r="H2821" s="73"/>
      <c r="I2821" s="95"/>
      <c r="J2821" s="73"/>
      <c r="K2821" s="95"/>
      <c r="L2821" s="95"/>
      <c r="M2821" s="22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</row>
    <row r="2822">
      <c r="A2822" s="26"/>
      <c r="B2822" s="73"/>
      <c r="C2822" s="73"/>
      <c r="D2822" s="95"/>
      <c r="E2822" s="73"/>
      <c r="F2822" s="73"/>
      <c r="G2822" s="73"/>
      <c r="H2822" s="73"/>
      <c r="I2822" s="95"/>
      <c r="J2822" s="73"/>
      <c r="K2822" s="95"/>
      <c r="L2822" s="95"/>
      <c r="M2822" s="22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</row>
    <row r="2823">
      <c r="A2823" s="26"/>
      <c r="B2823" s="73"/>
      <c r="C2823" s="73"/>
      <c r="D2823" s="95"/>
      <c r="E2823" s="73"/>
      <c r="F2823" s="73"/>
      <c r="G2823" s="73"/>
      <c r="H2823" s="73"/>
      <c r="I2823" s="95"/>
      <c r="J2823" s="73"/>
      <c r="K2823" s="95"/>
      <c r="L2823" s="95"/>
      <c r="M2823" s="22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</row>
    <row r="2824">
      <c r="A2824" s="26"/>
      <c r="B2824" s="73"/>
      <c r="C2824" s="73"/>
      <c r="D2824" s="95"/>
      <c r="E2824" s="73"/>
      <c r="F2824" s="73"/>
      <c r="G2824" s="73"/>
      <c r="H2824" s="73"/>
      <c r="I2824" s="95"/>
      <c r="J2824" s="73"/>
      <c r="K2824" s="95"/>
      <c r="L2824" s="95"/>
      <c r="M2824" s="22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</row>
    <row r="2825">
      <c r="A2825" s="26"/>
      <c r="B2825" s="73"/>
      <c r="C2825" s="73"/>
      <c r="D2825" s="95"/>
      <c r="E2825" s="73"/>
      <c r="F2825" s="73"/>
      <c r="G2825" s="73"/>
      <c r="H2825" s="73"/>
      <c r="I2825" s="95"/>
      <c r="J2825" s="73"/>
      <c r="K2825" s="95"/>
      <c r="L2825" s="95"/>
      <c r="M2825" s="22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</row>
    <row r="2826">
      <c r="A2826" s="26"/>
      <c r="B2826" s="73"/>
      <c r="C2826" s="73"/>
      <c r="D2826" s="95"/>
      <c r="E2826" s="73"/>
      <c r="F2826" s="73"/>
      <c r="G2826" s="73"/>
      <c r="H2826" s="73"/>
      <c r="I2826" s="95"/>
      <c r="J2826" s="73"/>
      <c r="K2826" s="95"/>
      <c r="L2826" s="95"/>
      <c r="M2826" s="22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</row>
    <row r="2827">
      <c r="A2827" s="26"/>
      <c r="B2827" s="73"/>
      <c r="C2827" s="73"/>
      <c r="D2827" s="95"/>
      <c r="E2827" s="73"/>
      <c r="F2827" s="73"/>
      <c r="G2827" s="73"/>
      <c r="H2827" s="73"/>
      <c r="I2827" s="95"/>
      <c r="J2827" s="73"/>
      <c r="K2827" s="95"/>
      <c r="L2827" s="95"/>
      <c r="M2827" s="22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</row>
    <row r="2828">
      <c r="A2828" s="26"/>
      <c r="B2828" s="73"/>
      <c r="C2828" s="73"/>
      <c r="D2828" s="95"/>
      <c r="E2828" s="73"/>
      <c r="F2828" s="73"/>
      <c r="G2828" s="73"/>
      <c r="H2828" s="73"/>
      <c r="I2828" s="95"/>
      <c r="J2828" s="73"/>
      <c r="K2828" s="95"/>
      <c r="L2828" s="95"/>
      <c r="M2828" s="22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</row>
    <row r="2829">
      <c r="A2829" s="26"/>
      <c r="B2829" s="73"/>
      <c r="C2829" s="73"/>
      <c r="D2829" s="95"/>
      <c r="E2829" s="73"/>
      <c r="F2829" s="73"/>
      <c r="G2829" s="73"/>
      <c r="H2829" s="73"/>
      <c r="I2829" s="95"/>
      <c r="J2829" s="73"/>
      <c r="K2829" s="95"/>
      <c r="L2829" s="95"/>
      <c r="M2829" s="22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</row>
    <row r="2830">
      <c r="A2830" s="26"/>
      <c r="B2830" s="73"/>
      <c r="C2830" s="73"/>
      <c r="D2830" s="95"/>
      <c r="E2830" s="73"/>
      <c r="F2830" s="73"/>
      <c r="G2830" s="73"/>
      <c r="H2830" s="73"/>
      <c r="I2830" s="95"/>
      <c r="J2830" s="73"/>
      <c r="K2830" s="95"/>
      <c r="L2830" s="95"/>
      <c r="M2830" s="22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</row>
    <row r="2831">
      <c r="A2831" s="26"/>
      <c r="B2831" s="73"/>
      <c r="C2831" s="73"/>
      <c r="D2831" s="95"/>
      <c r="E2831" s="73"/>
      <c r="F2831" s="73"/>
      <c r="G2831" s="73"/>
      <c r="H2831" s="73"/>
      <c r="I2831" s="95"/>
      <c r="J2831" s="73"/>
      <c r="K2831" s="95"/>
      <c r="L2831" s="95"/>
      <c r="M2831" s="22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</row>
    <row r="2832">
      <c r="A2832" s="26"/>
      <c r="B2832" s="73"/>
      <c r="C2832" s="73"/>
      <c r="D2832" s="95"/>
      <c r="E2832" s="73"/>
      <c r="F2832" s="73"/>
      <c r="G2832" s="73"/>
      <c r="H2832" s="73"/>
      <c r="I2832" s="95"/>
      <c r="J2832" s="73"/>
      <c r="K2832" s="95"/>
      <c r="L2832" s="95"/>
      <c r="M2832" s="22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</row>
    <row r="2833">
      <c r="A2833" s="26"/>
      <c r="B2833" s="73"/>
      <c r="C2833" s="73"/>
      <c r="D2833" s="95"/>
      <c r="E2833" s="73"/>
      <c r="F2833" s="73"/>
      <c r="G2833" s="73"/>
      <c r="H2833" s="73"/>
      <c r="I2833" s="95"/>
      <c r="J2833" s="73"/>
      <c r="K2833" s="95"/>
      <c r="L2833" s="95"/>
      <c r="M2833" s="22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</row>
    <row r="2834">
      <c r="A2834" s="26"/>
      <c r="B2834" s="73"/>
      <c r="C2834" s="73"/>
      <c r="D2834" s="95"/>
      <c r="E2834" s="73"/>
      <c r="F2834" s="73"/>
      <c r="G2834" s="73"/>
      <c r="H2834" s="73"/>
      <c r="I2834" s="95"/>
      <c r="J2834" s="73"/>
      <c r="K2834" s="95"/>
      <c r="L2834" s="95"/>
      <c r="M2834" s="22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</row>
    <row r="2835">
      <c r="A2835" s="26"/>
      <c r="B2835" s="73"/>
      <c r="C2835" s="73"/>
      <c r="D2835" s="95"/>
      <c r="E2835" s="73"/>
      <c r="F2835" s="73"/>
      <c r="G2835" s="73"/>
      <c r="H2835" s="73"/>
      <c r="I2835" s="95"/>
      <c r="J2835" s="73"/>
      <c r="K2835" s="95"/>
      <c r="L2835" s="95"/>
      <c r="M2835" s="22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</row>
    <row r="2836">
      <c r="A2836" s="26"/>
      <c r="B2836" s="73"/>
      <c r="C2836" s="73"/>
      <c r="D2836" s="95"/>
      <c r="E2836" s="73"/>
      <c r="F2836" s="73"/>
      <c r="G2836" s="73"/>
      <c r="H2836" s="73"/>
      <c r="I2836" s="95"/>
      <c r="J2836" s="73"/>
      <c r="K2836" s="95"/>
      <c r="L2836" s="95"/>
      <c r="M2836" s="22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</row>
    <row r="2837">
      <c r="A2837" s="26"/>
      <c r="B2837" s="73"/>
      <c r="C2837" s="73"/>
      <c r="D2837" s="95"/>
      <c r="E2837" s="73"/>
      <c r="F2837" s="73"/>
      <c r="G2837" s="73"/>
      <c r="H2837" s="73"/>
      <c r="I2837" s="95"/>
      <c r="J2837" s="73"/>
      <c r="K2837" s="95"/>
      <c r="L2837" s="95"/>
      <c r="M2837" s="22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</row>
    <row r="2838">
      <c r="A2838" s="26"/>
      <c r="B2838" s="73"/>
      <c r="C2838" s="73"/>
      <c r="D2838" s="95"/>
      <c r="E2838" s="73"/>
      <c r="F2838" s="73"/>
      <c r="G2838" s="73"/>
      <c r="H2838" s="73"/>
      <c r="I2838" s="95"/>
      <c r="J2838" s="73"/>
      <c r="K2838" s="95"/>
      <c r="L2838" s="95"/>
      <c r="M2838" s="22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</row>
    <row r="2839">
      <c r="A2839" s="26"/>
      <c r="B2839" s="73"/>
      <c r="C2839" s="73"/>
      <c r="D2839" s="95"/>
      <c r="E2839" s="73"/>
      <c r="F2839" s="73"/>
      <c r="G2839" s="73"/>
      <c r="H2839" s="73"/>
      <c r="I2839" s="95"/>
      <c r="J2839" s="73"/>
      <c r="K2839" s="95"/>
      <c r="L2839" s="95"/>
      <c r="M2839" s="22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</row>
    <row r="2840">
      <c r="A2840" s="26"/>
      <c r="B2840" s="73"/>
      <c r="C2840" s="73"/>
      <c r="D2840" s="95"/>
      <c r="E2840" s="73"/>
      <c r="F2840" s="73"/>
      <c r="G2840" s="73"/>
      <c r="H2840" s="73"/>
      <c r="I2840" s="95"/>
      <c r="J2840" s="73"/>
      <c r="K2840" s="95"/>
      <c r="L2840" s="95"/>
      <c r="M2840" s="22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</row>
    <row r="2841">
      <c r="A2841" s="26"/>
      <c r="B2841" s="73"/>
      <c r="C2841" s="73"/>
      <c r="D2841" s="95"/>
      <c r="E2841" s="73"/>
      <c r="F2841" s="73"/>
      <c r="G2841" s="73"/>
      <c r="H2841" s="73"/>
      <c r="I2841" s="95"/>
      <c r="J2841" s="73"/>
      <c r="K2841" s="95"/>
      <c r="L2841" s="95"/>
      <c r="M2841" s="22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</row>
    <row r="2842">
      <c r="A2842" s="26"/>
      <c r="B2842" s="73"/>
      <c r="C2842" s="73"/>
      <c r="D2842" s="95"/>
      <c r="E2842" s="73"/>
      <c r="F2842" s="73"/>
      <c r="G2842" s="73"/>
      <c r="H2842" s="73"/>
      <c r="I2842" s="95"/>
      <c r="J2842" s="73"/>
      <c r="K2842" s="95"/>
      <c r="L2842" s="95"/>
      <c r="M2842" s="22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</row>
    <row r="2843">
      <c r="A2843" s="26"/>
      <c r="B2843" s="73"/>
      <c r="C2843" s="73"/>
      <c r="D2843" s="95"/>
      <c r="E2843" s="73"/>
      <c r="F2843" s="73"/>
      <c r="G2843" s="73"/>
      <c r="H2843" s="73"/>
      <c r="I2843" s="95"/>
      <c r="J2843" s="73"/>
      <c r="K2843" s="95"/>
      <c r="L2843" s="95"/>
      <c r="M2843" s="22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</row>
    <row r="2844">
      <c r="A2844" s="26"/>
      <c r="B2844" s="73"/>
      <c r="C2844" s="73"/>
      <c r="D2844" s="95"/>
      <c r="E2844" s="73"/>
      <c r="F2844" s="73"/>
      <c r="G2844" s="73"/>
      <c r="H2844" s="73"/>
      <c r="I2844" s="95"/>
      <c r="J2844" s="73"/>
      <c r="K2844" s="95"/>
      <c r="L2844" s="95"/>
      <c r="M2844" s="22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</row>
    <row r="2845">
      <c r="A2845" s="26"/>
      <c r="B2845" s="73"/>
      <c r="C2845" s="73"/>
      <c r="D2845" s="95"/>
      <c r="E2845" s="73"/>
      <c r="F2845" s="73"/>
      <c r="G2845" s="73"/>
      <c r="H2845" s="73"/>
      <c r="I2845" s="95"/>
      <c r="J2845" s="73"/>
      <c r="K2845" s="95"/>
      <c r="L2845" s="95"/>
      <c r="M2845" s="22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</row>
    <row r="2846">
      <c r="A2846" s="26"/>
      <c r="B2846" s="73"/>
      <c r="C2846" s="73"/>
      <c r="D2846" s="95"/>
      <c r="E2846" s="73"/>
      <c r="F2846" s="73"/>
      <c r="G2846" s="73"/>
      <c r="H2846" s="73"/>
      <c r="I2846" s="95"/>
      <c r="J2846" s="73"/>
      <c r="K2846" s="95"/>
      <c r="L2846" s="95"/>
      <c r="M2846" s="22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</row>
    <row r="2847">
      <c r="A2847" s="26"/>
      <c r="B2847" s="73"/>
      <c r="C2847" s="73"/>
      <c r="D2847" s="95"/>
      <c r="E2847" s="73"/>
      <c r="F2847" s="73"/>
      <c r="G2847" s="73"/>
      <c r="H2847" s="73"/>
      <c r="I2847" s="95"/>
      <c r="J2847" s="73"/>
      <c r="K2847" s="95"/>
      <c r="L2847" s="95"/>
      <c r="M2847" s="22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</row>
    <row r="2848">
      <c r="A2848" s="26"/>
      <c r="B2848" s="73"/>
      <c r="C2848" s="73"/>
      <c r="D2848" s="95"/>
      <c r="E2848" s="73"/>
      <c r="F2848" s="73"/>
      <c r="G2848" s="73"/>
      <c r="H2848" s="73"/>
      <c r="I2848" s="95"/>
      <c r="J2848" s="73"/>
      <c r="K2848" s="95"/>
      <c r="L2848" s="95"/>
      <c r="M2848" s="22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</row>
    <row r="2849">
      <c r="A2849" s="26"/>
      <c r="B2849" s="73"/>
      <c r="C2849" s="73"/>
      <c r="D2849" s="95"/>
      <c r="E2849" s="73"/>
      <c r="F2849" s="73"/>
      <c r="G2849" s="73"/>
      <c r="H2849" s="73"/>
      <c r="I2849" s="95"/>
      <c r="J2849" s="73"/>
      <c r="K2849" s="95"/>
      <c r="L2849" s="95"/>
      <c r="M2849" s="22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</row>
    <row r="2850">
      <c r="A2850" s="26"/>
      <c r="B2850" s="73"/>
      <c r="C2850" s="73"/>
      <c r="D2850" s="95"/>
      <c r="E2850" s="73"/>
      <c r="F2850" s="73"/>
      <c r="G2850" s="73"/>
      <c r="H2850" s="73"/>
      <c r="I2850" s="95"/>
      <c r="J2850" s="73"/>
      <c r="K2850" s="95"/>
      <c r="L2850" s="95"/>
      <c r="M2850" s="22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</row>
    <row r="2851">
      <c r="A2851" s="26"/>
      <c r="B2851" s="73"/>
      <c r="C2851" s="73"/>
      <c r="D2851" s="95"/>
      <c r="E2851" s="73"/>
      <c r="F2851" s="73"/>
      <c r="G2851" s="73"/>
      <c r="H2851" s="73"/>
      <c r="I2851" s="95"/>
      <c r="J2851" s="73"/>
      <c r="K2851" s="95"/>
      <c r="L2851" s="95"/>
      <c r="M2851" s="22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</row>
    <row r="2852">
      <c r="A2852" s="26"/>
      <c r="B2852" s="73"/>
      <c r="C2852" s="73"/>
      <c r="D2852" s="95"/>
      <c r="E2852" s="73"/>
      <c r="F2852" s="73"/>
      <c r="G2852" s="73"/>
      <c r="H2852" s="73"/>
      <c r="I2852" s="95"/>
      <c r="J2852" s="73"/>
      <c r="K2852" s="95"/>
      <c r="L2852" s="95"/>
      <c r="M2852" s="22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</row>
    <row r="2853">
      <c r="A2853" s="26"/>
      <c r="B2853" s="73"/>
      <c r="C2853" s="73"/>
      <c r="D2853" s="95"/>
      <c r="E2853" s="73"/>
      <c r="F2853" s="73"/>
      <c r="G2853" s="73"/>
      <c r="H2853" s="73"/>
      <c r="I2853" s="95"/>
      <c r="J2853" s="73"/>
      <c r="K2853" s="95"/>
      <c r="L2853" s="95"/>
      <c r="M2853" s="22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</row>
    <row r="2854">
      <c r="A2854" s="26"/>
      <c r="B2854" s="73"/>
      <c r="C2854" s="73"/>
      <c r="D2854" s="95"/>
      <c r="E2854" s="73"/>
      <c r="F2854" s="73"/>
      <c r="G2854" s="73"/>
      <c r="H2854" s="73"/>
      <c r="I2854" s="95"/>
      <c r="J2854" s="73"/>
      <c r="K2854" s="95"/>
      <c r="L2854" s="95"/>
      <c r="M2854" s="22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</row>
    <row r="2855">
      <c r="A2855" s="26"/>
      <c r="B2855" s="73"/>
      <c r="C2855" s="73"/>
      <c r="D2855" s="95"/>
      <c r="E2855" s="73"/>
      <c r="F2855" s="73"/>
      <c r="G2855" s="73"/>
      <c r="H2855" s="73"/>
      <c r="I2855" s="95"/>
      <c r="J2855" s="73"/>
      <c r="K2855" s="95"/>
      <c r="L2855" s="95"/>
      <c r="M2855" s="22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</row>
    <row r="2856">
      <c r="A2856" s="26"/>
      <c r="B2856" s="73"/>
      <c r="C2856" s="73"/>
      <c r="D2856" s="95"/>
      <c r="E2856" s="73"/>
      <c r="F2856" s="73"/>
      <c r="G2856" s="73"/>
      <c r="H2856" s="73"/>
      <c r="I2856" s="95"/>
      <c r="J2856" s="73"/>
      <c r="K2856" s="95"/>
      <c r="L2856" s="95"/>
      <c r="M2856" s="22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</row>
    <row r="2857">
      <c r="A2857" s="26"/>
      <c r="B2857" s="73"/>
      <c r="C2857" s="73"/>
      <c r="D2857" s="95"/>
      <c r="E2857" s="73"/>
      <c r="F2857" s="73"/>
      <c r="G2857" s="73"/>
      <c r="H2857" s="73"/>
      <c r="I2857" s="95"/>
      <c r="J2857" s="73"/>
      <c r="K2857" s="95"/>
      <c r="L2857" s="95"/>
      <c r="M2857" s="22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</row>
    <row r="2858">
      <c r="A2858" s="26"/>
      <c r="B2858" s="73"/>
      <c r="C2858" s="73"/>
      <c r="D2858" s="95"/>
      <c r="E2858" s="73"/>
      <c r="F2858" s="73"/>
      <c r="G2858" s="73"/>
      <c r="H2858" s="73"/>
      <c r="I2858" s="95"/>
      <c r="J2858" s="73"/>
      <c r="K2858" s="95"/>
      <c r="L2858" s="95"/>
      <c r="M2858" s="22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</row>
    <row r="2859">
      <c r="A2859" s="26"/>
      <c r="B2859" s="73"/>
      <c r="C2859" s="73"/>
      <c r="D2859" s="95"/>
      <c r="E2859" s="73"/>
      <c r="F2859" s="73"/>
      <c r="G2859" s="73"/>
      <c r="H2859" s="73"/>
      <c r="I2859" s="95"/>
      <c r="J2859" s="73"/>
      <c r="K2859" s="95"/>
      <c r="L2859" s="95"/>
      <c r="M2859" s="22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</row>
    <row r="2860">
      <c r="A2860" s="26"/>
      <c r="B2860" s="73"/>
      <c r="C2860" s="73"/>
      <c r="D2860" s="95"/>
      <c r="E2860" s="73"/>
      <c r="F2860" s="73"/>
      <c r="G2860" s="73"/>
      <c r="H2860" s="73"/>
      <c r="I2860" s="95"/>
      <c r="J2860" s="73"/>
      <c r="K2860" s="95"/>
      <c r="L2860" s="95"/>
      <c r="M2860" s="22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</row>
    <row r="2861">
      <c r="A2861" s="26"/>
      <c r="B2861" s="73"/>
      <c r="C2861" s="73"/>
      <c r="D2861" s="95"/>
      <c r="E2861" s="73"/>
      <c r="F2861" s="73"/>
      <c r="G2861" s="73"/>
      <c r="H2861" s="73"/>
      <c r="I2861" s="95"/>
      <c r="J2861" s="73"/>
      <c r="K2861" s="95"/>
      <c r="L2861" s="95"/>
      <c r="M2861" s="22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</row>
    <row r="2862">
      <c r="A2862" s="26"/>
      <c r="B2862" s="73"/>
      <c r="C2862" s="73"/>
      <c r="D2862" s="95"/>
      <c r="E2862" s="73"/>
      <c r="F2862" s="73"/>
      <c r="G2862" s="73"/>
      <c r="H2862" s="73"/>
      <c r="I2862" s="95"/>
      <c r="J2862" s="73"/>
      <c r="K2862" s="95"/>
      <c r="L2862" s="95"/>
      <c r="M2862" s="22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</row>
    <row r="2863">
      <c r="A2863" s="26"/>
      <c r="B2863" s="73"/>
      <c r="C2863" s="73"/>
      <c r="D2863" s="95"/>
      <c r="E2863" s="73"/>
      <c r="F2863" s="73"/>
      <c r="G2863" s="73"/>
      <c r="H2863" s="73"/>
      <c r="I2863" s="95"/>
      <c r="J2863" s="73"/>
      <c r="K2863" s="95"/>
      <c r="L2863" s="95"/>
      <c r="M2863" s="22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</row>
    <row r="2864">
      <c r="A2864" s="26"/>
      <c r="B2864" s="73"/>
      <c r="C2864" s="73"/>
      <c r="D2864" s="95"/>
      <c r="E2864" s="73"/>
      <c r="F2864" s="73"/>
      <c r="G2864" s="73"/>
      <c r="H2864" s="73"/>
      <c r="I2864" s="95"/>
      <c r="J2864" s="73"/>
      <c r="K2864" s="95"/>
      <c r="L2864" s="95"/>
      <c r="M2864" s="22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</row>
    <row r="2865">
      <c r="A2865" s="26"/>
      <c r="B2865" s="73"/>
      <c r="C2865" s="73"/>
      <c r="D2865" s="95"/>
      <c r="E2865" s="73"/>
      <c r="F2865" s="73"/>
      <c r="G2865" s="73"/>
      <c r="H2865" s="73"/>
      <c r="I2865" s="95"/>
      <c r="J2865" s="73"/>
      <c r="K2865" s="95"/>
      <c r="L2865" s="95"/>
      <c r="M2865" s="22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</row>
    <row r="2866">
      <c r="A2866" s="26"/>
      <c r="B2866" s="73"/>
      <c r="C2866" s="73"/>
      <c r="D2866" s="95"/>
      <c r="E2866" s="73"/>
      <c r="F2866" s="73"/>
      <c r="G2866" s="73"/>
      <c r="H2866" s="73"/>
      <c r="I2866" s="95"/>
      <c r="J2866" s="73"/>
      <c r="K2866" s="95"/>
      <c r="L2866" s="95"/>
      <c r="M2866" s="22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</row>
    <row r="2867">
      <c r="A2867" s="26"/>
      <c r="B2867" s="73"/>
      <c r="C2867" s="73"/>
      <c r="D2867" s="95"/>
      <c r="E2867" s="73"/>
      <c r="F2867" s="73"/>
      <c r="G2867" s="73"/>
      <c r="H2867" s="73"/>
      <c r="I2867" s="95"/>
      <c r="J2867" s="73"/>
      <c r="K2867" s="95"/>
      <c r="L2867" s="95"/>
      <c r="M2867" s="22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</row>
    <row r="2868">
      <c r="A2868" s="26"/>
      <c r="B2868" s="73"/>
      <c r="C2868" s="73"/>
      <c r="D2868" s="95"/>
      <c r="E2868" s="73"/>
      <c r="F2868" s="73"/>
      <c r="G2868" s="73"/>
      <c r="H2868" s="73"/>
      <c r="I2868" s="95"/>
      <c r="J2868" s="73"/>
      <c r="K2868" s="95"/>
      <c r="L2868" s="95"/>
      <c r="M2868" s="22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</row>
    <row r="2869">
      <c r="A2869" s="26"/>
      <c r="B2869" s="73"/>
      <c r="C2869" s="73"/>
      <c r="D2869" s="95"/>
      <c r="E2869" s="73"/>
      <c r="F2869" s="73"/>
      <c r="G2869" s="73"/>
      <c r="H2869" s="73"/>
      <c r="I2869" s="95"/>
      <c r="J2869" s="73"/>
      <c r="K2869" s="95"/>
      <c r="L2869" s="95"/>
      <c r="M2869" s="22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</row>
    <row r="2870">
      <c r="A2870" s="26"/>
      <c r="B2870" s="73"/>
      <c r="C2870" s="73"/>
      <c r="D2870" s="95"/>
      <c r="E2870" s="73"/>
      <c r="F2870" s="73"/>
      <c r="G2870" s="73"/>
      <c r="H2870" s="73"/>
      <c r="I2870" s="95"/>
      <c r="J2870" s="73"/>
      <c r="K2870" s="95"/>
      <c r="L2870" s="95"/>
      <c r="M2870" s="22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</row>
    <row r="2871">
      <c r="A2871" s="26"/>
      <c r="B2871" s="73"/>
      <c r="C2871" s="73"/>
      <c r="D2871" s="95"/>
      <c r="E2871" s="73"/>
      <c r="F2871" s="73"/>
      <c r="G2871" s="73"/>
      <c r="H2871" s="73"/>
      <c r="I2871" s="95"/>
      <c r="J2871" s="73"/>
      <c r="K2871" s="95"/>
      <c r="L2871" s="95"/>
      <c r="M2871" s="22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</row>
    <row r="2872">
      <c r="A2872" s="26"/>
      <c r="B2872" s="73"/>
      <c r="C2872" s="73"/>
      <c r="D2872" s="95"/>
      <c r="E2872" s="73"/>
      <c r="F2872" s="73"/>
      <c r="G2872" s="73"/>
      <c r="H2872" s="73"/>
      <c r="I2872" s="95"/>
      <c r="J2872" s="73"/>
      <c r="K2872" s="95"/>
      <c r="L2872" s="95"/>
      <c r="M2872" s="22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</row>
    <row r="2873">
      <c r="A2873" s="26"/>
      <c r="B2873" s="73"/>
      <c r="C2873" s="73"/>
      <c r="D2873" s="95"/>
      <c r="E2873" s="73"/>
      <c r="F2873" s="73"/>
      <c r="G2873" s="73"/>
      <c r="H2873" s="73"/>
      <c r="I2873" s="95"/>
      <c r="J2873" s="73"/>
      <c r="K2873" s="95"/>
      <c r="L2873" s="95"/>
      <c r="M2873" s="22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</row>
    <row r="2874">
      <c r="A2874" s="26"/>
      <c r="B2874" s="73"/>
      <c r="C2874" s="73"/>
      <c r="D2874" s="95"/>
      <c r="E2874" s="73"/>
      <c r="F2874" s="73"/>
      <c r="G2874" s="73"/>
      <c r="H2874" s="73"/>
      <c r="I2874" s="95"/>
      <c r="J2874" s="73"/>
      <c r="K2874" s="95"/>
      <c r="L2874" s="95"/>
      <c r="M2874" s="22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</row>
    <row r="2875">
      <c r="A2875" s="26"/>
      <c r="B2875" s="73"/>
      <c r="C2875" s="73"/>
      <c r="D2875" s="95"/>
      <c r="E2875" s="73"/>
      <c r="F2875" s="73"/>
      <c r="G2875" s="73"/>
      <c r="H2875" s="73"/>
      <c r="I2875" s="95"/>
      <c r="J2875" s="73"/>
      <c r="K2875" s="95"/>
      <c r="L2875" s="95"/>
      <c r="M2875" s="22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</row>
    <row r="2876">
      <c r="A2876" s="26"/>
      <c r="B2876" s="73"/>
      <c r="C2876" s="73"/>
      <c r="D2876" s="95"/>
      <c r="E2876" s="73"/>
      <c r="F2876" s="73"/>
      <c r="G2876" s="73"/>
      <c r="H2876" s="73"/>
      <c r="I2876" s="95"/>
      <c r="J2876" s="73"/>
      <c r="K2876" s="95"/>
      <c r="L2876" s="95"/>
      <c r="M2876" s="22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</row>
    <row r="2877">
      <c r="A2877" s="26"/>
      <c r="B2877" s="73"/>
      <c r="C2877" s="73"/>
      <c r="D2877" s="95"/>
      <c r="E2877" s="73"/>
      <c r="F2877" s="73"/>
      <c r="G2877" s="73"/>
      <c r="H2877" s="73"/>
      <c r="I2877" s="95"/>
      <c r="J2877" s="73"/>
      <c r="K2877" s="95"/>
      <c r="L2877" s="95"/>
      <c r="M2877" s="22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</row>
    <row r="2878">
      <c r="A2878" s="26"/>
      <c r="B2878" s="73"/>
      <c r="C2878" s="73"/>
      <c r="D2878" s="95"/>
      <c r="E2878" s="73"/>
      <c r="F2878" s="73"/>
      <c r="G2878" s="73"/>
      <c r="H2878" s="73"/>
      <c r="I2878" s="95"/>
      <c r="J2878" s="73"/>
      <c r="K2878" s="95"/>
      <c r="L2878" s="95"/>
      <c r="M2878" s="22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</row>
    <row r="2879">
      <c r="A2879" s="26"/>
      <c r="B2879" s="73"/>
      <c r="C2879" s="73"/>
      <c r="D2879" s="95"/>
      <c r="E2879" s="73"/>
      <c r="F2879" s="73"/>
      <c r="G2879" s="73"/>
      <c r="H2879" s="73"/>
      <c r="I2879" s="95"/>
      <c r="J2879" s="73"/>
      <c r="K2879" s="95"/>
      <c r="L2879" s="95"/>
      <c r="M2879" s="22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</row>
    <row r="2880">
      <c r="A2880" s="26"/>
      <c r="B2880" s="73"/>
      <c r="C2880" s="73"/>
      <c r="D2880" s="95"/>
      <c r="E2880" s="73"/>
      <c r="F2880" s="73"/>
      <c r="G2880" s="73"/>
      <c r="H2880" s="73"/>
      <c r="I2880" s="95"/>
      <c r="J2880" s="73"/>
      <c r="K2880" s="95"/>
      <c r="L2880" s="95"/>
      <c r="M2880" s="22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</row>
    <row r="2881">
      <c r="A2881" s="26"/>
      <c r="B2881" s="73"/>
      <c r="C2881" s="73"/>
      <c r="D2881" s="95"/>
      <c r="E2881" s="73"/>
      <c r="F2881" s="73"/>
      <c r="G2881" s="73"/>
      <c r="H2881" s="73"/>
      <c r="I2881" s="95"/>
      <c r="J2881" s="73"/>
      <c r="K2881" s="95"/>
      <c r="L2881" s="95"/>
      <c r="M2881" s="22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</row>
    <row r="2882">
      <c r="A2882" s="26"/>
      <c r="B2882" s="73"/>
      <c r="C2882" s="73"/>
      <c r="D2882" s="95"/>
      <c r="E2882" s="73"/>
      <c r="F2882" s="73"/>
      <c r="G2882" s="73"/>
      <c r="H2882" s="73"/>
      <c r="I2882" s="95"/>
      <c r="J2882" s="73"/>
      <c r="K2882" s="95"/>
      <c r="L2882" s="95"/>
      <c r="M2882" s="22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</row>
    <row r="2883">
      <c r="A2883" s="26"/>
      <c r="B2883" s="73"/>
      <c r="C2883" s="73"/>
      <c r="D2883" s="95"/>
      <c r="E2883" s="73"/>
      <c r="F2883" s="73"/>
      <c r="G2883" s="73"/>
      <c r="H2883" s="73"/>
      <c r="I2883" s="95"/>
      <c r="J2883" s="73"/>
      <c r="K2883" s="95"/>
      <c r="L2883" s="95"/>
      <c r="M2883" s="22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</row>
    <row r="2884">
      <c r="A2884" s="26"/>
      <c r="B2884" s="73"/>
      <c r="C2884" s="73"/>
      <c r="D2884" s="95"/>
      <c r="E2884" s="73"/>
      <c r="F2884" s="73"/>
      <c r="G2884" s="73"/>
      <c r="H2884" s="73"/>
      <c r="I2884" s="95"/>
      <c r="J2884" s="73"/>
      <c r="K2884" s="95"/>
      <c r="L2884" s="95"/>
      <c r="M2884" s="22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</row>
    <row r="2885">
      <c r="A2885" s="26"/>
      <c r="B2885" s="73"/>
      <c r="C2885" s="73"/>
      <c r="D2885" s="95"/>
      <c r="E2885" s="73"/>
      <c r="F2885" s="73"/>
      <c r="G2885" s="73"/>
      <c r="H2885" s="73"/>
      <c r="I2885" s="95"/>
      <c r="J2885" s="73"/>
      <c r="K2885" s="95"/>
      <c r="L2885" s="95"/>
      <c r="M2885" s="22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</row>
    <row r="2886">
      <c r="A2886" s="26"/>
      <c r="B2886" s="73"/>
      <c r="C2886" s="73"/>
      <c r="D2886" s="95"/>
      <c r="E2886" s="73"/>
      <c r="F2886" s="73"/>
      <c r="G2886" s="73"/>
      <c r="H2886" s="73"/>
      <c r="I2886" s="95"/>
      <c r="J2886" s="73"/>
      <c r="K2886" s="95"/>
      <c r="L2886" s="95"/>
      <c r="M2886" s="22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</row>
    <row r="2887">
      <c r="A2887" s="26"/>
      <c r="B2887" s="73"/>
      <c r="C2887" s="73"/>
      <c r="D2887" s="95"/>
      <c r="E2887" s="73"/>
      <c r="F2887" s="73"/>
      <c r="G2887" s="73"/>
      <c r="H2887" s="73"/>
      <c r="I2887" s="95"/>
      <c r="J2887" s="73"/>
      <c r="K2887" s="95"/>
      <c r="L2887" s="95"/>
      <c r="M2887" s="22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</row>
    <row r="2888">
      <c r="A2888" s="26"/>
      <c r="B2888" s="73"/>
      <c r="C2888" s="73"/>
      <c r="D2888" s="95"/>
      <c r="E2888" s="73"/>
      <c r="F2888" s="73"/>
      <c r="G2888" s="73"/>
      <c r="H2888" s="73"/>
      <c r="I2888" s="95"/>
      <c r="J2888" s="73"/>
      <c r="K2888" s="95"/>
      <c r="L2888" s="95"/>
      <c r="M2888" s="22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</row>
    <row r="2889">
      <c r="A2889" s="26"/>
      <c r="B2889" s="73"/>
      <c r="C2889" s="73"/>
      <c r="D2889" s="95"/>
      <c r="E2889" s="73"/>
      <c r="F2889" s="73"/>
      <c r="G2889" s="73"/>
      <c r="H2889" s="73"/>
      <c r="I2889" s="95"/>
      <c r="J2889" s="73"/>
      <c r="K2889" s="95"/>
      <c r="L2889" s="95"/>
      <c r="M2889" s="22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</row>
    <row r="2890">
      <c r="A2890" s="26"/>
      <c r="B2890" s="73"/>
      <c r="C2890" s="73"/>
      <c r="D2890" s="95"/>
      <c r="E2890" s="73"/>
      <c r="F2890" s="73"/>
      <c r="G2890" s="73"/>
      <c r="H2890" s="73"/>
      <c r="I2890" s="95"/>
      <c r="J2890" s="73"/>
      <c r="K2890" s="95"/>
      <c r="L2890" s="95"/>
      <c r="M2890" s="22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</row>
    <row r="2891">
      <c r="A2891" s="26"/>
      <c r="B2891" s="73"/>
      <c r="C2891" s="73"/>
      <c r="D2891" s="95"/>
      <c r="E2891" s="73"/>
      <c r="F2891" s="73"/>
      <c r="G2891" s="73"/>
      <c r="H2891" s="73"/>
      <c r="I2891" s="95"/>
      <c r="J2891" s="73"/>
      <c r="K2891" s="95"/>
      <c r="L2891" s="95"/>
      <c r="M2891" s="22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</row>
    <row r="2892">
      <c r="A2892" s="26"/>
      <c r="B2892" s="73"/>
      <c r="C2892" s="73"/>
      <c r="D2892" s="95"/>
      <c r="E2892" s="73"/>
      <c r="F2892" s="73"/>
      <c r="G2892" s="73"/>
      <c r="H2892" s="73"/>
      <c r="I2892" s="95"/>
      <c r="J2892" s="73"/>
      <c r="K2892" s="95"/>
      <c r="L2892" s="95"/>
      <c r="M2892" s="22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</row>
    <row r="2893">
      <c r="A2893" s="26"/>
      <c r="B2893" s="73"/>
      <c r="C2893" s="73"/>
      <c r="D2893" s="95"/>
      <c r="E2893" s="73"/>
      <c r="F2893" s="73"/>
      <c r="G2893" s="73"/>
      <c r="H2893" s="73"/>
      <c r="I2893" s="95"/>
      <c r="J2893" s="73"/>
      <c r="K2893" s="95"/>
      <c r="L2893" s="95"/>
      <c r="M2893" s="22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</row>
    <row r="2894">
      <c r="A2894" s="26"/>
      <c r="B2894" s="73"/>
      <c r="C2894" s="73"/>
      <c r="D2894" s="95"/>
      <c r="E2894" s="73"/>
      <c r="F2894" s="73"/>
      <c r="G2894" s="73"/>
      <c r="H2894" s="73"/>
      <c r="I2894" s="95"/>
      <c r="J2894" s="73"/>
      <c r="K2894" s="95"/>
      <c r="L2894" s="95"/>
      <c r="M2894" s="22"/>
      <c r="N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</row>
    <row r="2895">
      <c r="A2895" s="26"/>
      <c r="B2895" s="73"/>
      <c r="C2895" s="73"/>
      <c r="D2895" s="95"/>
      <c r="E2895" s="73"/>
      <c r="F2895" s="73"/>
      <c r="G2895" s="73"/>
      <c r="H2895" s="73"/>
      <c r="I2895" s="95"/>
      <c r="J2895" s="73"/>
      <c r="K2895" s="95"/>
      <c r="L2895" s="95"/>
      <c r="M2895" s="22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</row>
    <row r="2896">
      <c r="A2896" s="26"/>
      <c r="B2896" s="73"/>
      <c r="C2896" s="73"/>
      <c r="D2896" s="95"/>
      <c r="E2896" s="73"/>
      <c r="F2896" s="73"/>
      <c r="G2896" s="73"/>
      <c r="H2896" s="73"/>
      <c r="I2896" s="95"/>
      <c r="J2896" s="73"/>
      <c r="K2896" s="95"/>
      <c r="L2896" s="95"/>
      <c r="M2896" s="22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</row>
    <row r="2897">
      <c r="A2897" s="26"/>
      <c r="B2897" s="73"/>
      <c r="C2897" s="73"/>
      <c r="D2897" s="95"/>
      <c r="E2897" s="73"/>
      <c r="F2897" s="73"/>
      <c r="G2897" s="73"/>
      <c r="H2897" s="73"/>
      <c r="I2897" s="95"/>
      <c r="J2897" s="73"/>
      <c r="K2897" s="95"/>
      <c r="L2897" s="95"/>
      <c r="M2897" s="22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</row>
    <row r="2898">
      <c r="A2898" s="26"/>
      <c r="B2898" s="73"/>
      <c r="C2898" s="73"/>
      <c r="D2898" s="95"/>
      <c r="E2898" s="73"/>
      <c r="F2898" s="73"/>
      <c r="G2898" s="73"/>
      <c r="H2898" s="73"/>
      <c r="I2898" s="95"/>
      <c r="J2898" s="73"/>
      <c r="K2898" s="95"/>
      <c r="L2898" s="95"/>
      <c r="M2898" s="22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</row>
    <row r="2899">
      <c r="A2899" s="26"/>
      <c r="B2899" s="73"/>
      <c r="C2899" s="73"/>
      <c r="D2899" s="95"/>
      <c r="E2899" s="73"/>
      <c r="F2899" s="73"/>
      <c r="G2899" s="73"/>
      <c r="H2899" s="73"/>
      <c r="I2899" s="95"/>
      <c r="J2899" s="73"/>
      <c r="K2899" s="95"/>
      <c r="L2899" s="95"/>
      <c r="M2899" s="22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</row>
    <row r="2900">
      <c r="A2900" s="26"/>
      <c r="B2900" s="73"/>
      <c r="C2900" s="73"/>
      <c r="D2900" s="95"/>
      <c r="E2900" s="73"/>
      <c r="F2900" s="73"/>
      <c r="G2900" s="73"/>
      <c r="H2900" s="73"/>
      <c r="I2900" s="95"/>
      <c r="J2900" s="73"/>
      <c r="K2900" s="95"/>
      <c r="L2900" s="95"/>
      <c r="M2900" s="22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</row>
    <row r="2901">
      <c r="A2901" s="26"/>
      <c r="B2901" s="73"/>
      <c r="C2901" s="73"/>
      <c r="D2901" s="95"/>
      <c r="E2901" s="73"/>
      <c r="F2901" s="73"/>
      <c r="G2901" s="73"/>
      <c r="H2901" s="73"/>
      <c r="I2901" s="95"/>
      <c r="J2901" s="73"/>
      <c r="K2901" s="95"/>
      <c r="L2901" s="95"/>
      <c r="M2901" s="22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</row>
    <row r="2902">
      <c r="A2902" s="26"/>
      <c r="B2902" s="73"/>
      <c r="C2902" s="73"/>
      <c r="D2902" s="95"/>
      <c r="E2902" s="73"/>
      <c r="F2902" s="73"/>
      <c r="G2902" s="73"/>
      <c r="H2902" s="73"/>
      <c r="I2902" s="95"/>
      <c r="J2902" s="73"/>
      <c r="K2902" s="95"/>
      <c r="L2902" s="95"/>
      <c r="M2902" s="22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</row>
    <row r="2903">
      <c r="A2903" s="26"/>
      <c r="B2903" s="73"/>
      <c r="C2903" s="73"/>
      <c r="D2903" s="95"/>
      <c r="E2903" s="73"/>
      <c r="F2903" s="73"/>
      <c r="G2903" s="73"/>
      <c r="H2903" s="73"/>
      <c r="I2903" s="95"/>
      <c r="J2903" s="73"/>
      <c r="K2903" s="95"/>
      <c r="L2903" s="95"/>
      <c r="M2903" s="22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</row>
    <row r="2904">
      <c r="A2904" s="26"/>
      <c r="B2904" s="73"/>
      <c r="C2904" s="73"/>
      <c r="D2904" s="95"/>
      <c r="E2904" s="73"/>
      <c r="F2904" s="73"/>
      <c r="G2904" s="73"/>
      <c r="H2904" s="73"/>
      <c r="I2904" s="95"/>
      <c r="J2904" s="73"/>
      <c r="K2904" s="95"/>
      <c r="L2904" s="95"/>
      <c r="M2904" s="22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</row>
    <row r="2905">
      <c r="A2905" s="26"/>
      <c r="B2905" s="73"/>
      <c r="C2905" s="73"/>
      <c r="D2905" s="95"/>
      <c r="E2905" s="73"/>
      <c r="F2905" s="73"/>
      <c r="G2905" s="73"/>
      <c r="H2905" s="73"/>
      <c r="I2905" s="95"/>
      <c r="J2905" s="73"/>
      <c r="K2905" s="95"/>
      <c r="L2905" s="95"/>
      <c r="M2905" s="22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</row>
    <row r="2906">
      <c r="A2906" s="26"/>
      <c r="B2906" s="73"/>
      <c r="C2906" s="73"/>
      <c r="D2906" s="95"/>
      <c r="E2906" s="73"/>
      <c r="F2906" s="73"/>
      <c r="G2906" s="73"/>
      <c r="H2906" s="73"/>
      <c r="I2906" s="95"/>
      <c r="J2906" s="73"/>
      <c r="K2906" s="95"/>
      <c r="L2906" s="95"/>
      <c r="M2906" s="22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</row>
    <row r="2907">
      <c r="A2907" s="26"/>
      <c r="B2907" s="73"/>
      <c r="C2907" s="73"/>
      <c r="D2907" s="95"/>
      <c r="E2907" s="73"/>
      <c r="F2907" s="73"/>
      <c r="G2907" s="73"/>
      <c r="H2907" s="73"/>
      <c r="I2907" s="95"/>
      <c r="J2907" s="73"/>
      <c r="K2907" s="95"/>
      <c r="L2907" s="95"/>
      <c r="M2907" s="22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</row>
    <row r="2908">
      <c r="A2908" s="26"/>
      <c r="B2908" s="73"/>
      <c r="C2908" s="73"/>
      <c r="D2908" s="95"/>
      <c r="E2908" s="73"/>
      <c r="F2908" s="73"/>
      <c r="G2908" s="73"/>
      <c r="H2908" s="73"/>
      <c r="I2908" s="95"/>
      <c r="J2908" s="73"/>
      <c r="K2908" s="95"/>
      <c r="L2908" s="95"/>
      <c r="M2908" s="22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</row>
    <row r="2909">
      <c r="A2909" s="26"/>
      <c r="B2909" s="73"/>
      <c r="C2909" s="73"/>
      <c r="D2909" s="95"/>
      <c r="E2909" s="73"/>
      <c r="F2909" s="73"/>
      <c r="G2909" s="73"/>
      <c r="H2909" s="73"/>
      <c r="I2909" s="95"/>
      <c r="J2909" s="73"/>
      <c r="K2909" s="95"/>
      <c r="L2909" s="95"/>
      <c r="M2909" s="22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</row>
    <row r="2910">
      <c r="A2910" s="26"/>
      <c r="B2910" s="73"/>
      <c r="C2910" s="73"/>
      <c r="D2910" s="95"/>
      <c r="E2910" s="73"/>
      <c r="F2910" s="73"/>
      <c r="G2910" s="73"/>
      <c r="H2910" s="73"/>
      <c r="I2910" s="95"/>
      <c r="J2910" s="73"/>
      <c r="K2910" s="95"/>
      <c r="L2910" s="95"/>
      <c r="M2910" s="22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</row>
    <row r="2911">
      <c r="A2911" s="26"/>
      <c r="B2911" s="73"/>
      <c r="C2911" s="73"/>
      <c r="D2911" s="95"/>
      <c r="E2911" s="73"/>
      <c r="F2911" s="73"/>
      <c r="G2911" s="73"/>
      <c r="H2911" s="73"/>
      <c r="I2911" s="95"/>
      <c r="J2911" s="73"/>
      <c r="K2911" s="95"/>
      <c r="L2911" s="95"/>
      <c r="M2911" s="22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</row>
    <row r="2912">
      <c r="A2912" s="26"/>
      <c r="B2912" s="73"/>
      <c r="C2912" s="73"/>
      <c r="D2912" s="95"/>
      <c r="E2912" s="73"/>
      <c r="F2912" s="73"/>
      <c r="G2912" s="73"/>
      <c r="H2912" s="73"/>
      <c r="I2912" s="95"/>
      <c r="J2912" s="73"/>
      <c r="K2912" s="95"/>
      <c r="L2912" s="95"/>
      <c r="M2912" s="22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</row>
    <row r="2913">
      <c r="A2913" s="26"/>
      <c r="B2913" s="73"/>
      <c r="C2913" s="73"/>
      <c r="D2913" s="95"/>
      <c r="E2913" s="73"/>
      <c r="F2913" s="73"/>
      <c r="G2913" s="73"/>
      <c r="H2913" s="73"/>
      <c r="I2913" s="95"/>
      <c r="J2913" s="73"/>
      <c r="K2913" s="95"/>
      <c r="L2913" s="95"/>
      <c r="M2913" s="22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</row>
    <row r="2914">
      <c r="A2914" s="26"/>
      <c r="B2914" s="73"/>
      <c r="C2914" s="73"/>
      <c r="D2914" s="95"/>
      <c r="E2914" s="73"/>
      <c r="F2914" s="73"/>
      <c r="G2914" s="73"/>
      <c r="H2914" s="73"/>
      <c r="I2914" s="95"/>
      <c r="J2914" s="73"/>
      <c r="K2914" s="95"/>
      <c r="L2914" s="95"/>
      <c r="M2914" s="22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</row>
    <row r="2915">
      <c r="A2915" s="26"/>
      <c r="B2915" s="73"/>
      <c r="C2915" s="73"/>
      <c r="D2915" s="95"/>
      <c r="E2915" s="73"/>
      <c r="F2915" s="73"/>
      <c r="G2915" s="73"/>
      <c r="H2915" s="73"/>
      <c r="I2915" s="95"/>
      <c r="J2915" s="73"/>
      <c r="K2915" s="95"/>
      <c r="L2915" s="95"/>
      <c r="M2915" s="22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</row>
    <row r="2916">
      <c r="A2916" s="26"/>
      <c r="B2916" s="73"/>
      <c r="C2916" s="73"/>
      <c r="D2916" s="95"/>
      <c r="E2916" s="73"/>
      <c r="F2916" s="73"/>
      <c r="G2916" s="73"/>
      <c r="H2916" s="73"/>
      <c r="I2916" s="95"/>
      <c r="J2916" s="73"/>
      <c r="K2916" s="95"/>
      <c r="L2916" s="95"/>
      <c r="M2916" s="22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</row>
    <row r="2917">
      <c r="A2917" s="26"/>
      <c r="B2917" s="73"/>
      <c r="C2917" s="73"/>
      <c r="D2917" s="95"/>
      <c r="E2917" s="73"/>
      <c r="F2917" s="73"/>
      <c r="G2917" s="73"/>
      <c r="H2917" s="73"/>
      <c r="I2917" s="95"/>
      <c r="J2917" s="73"/>
      <c r="K2917" s="95"/>
      <c r="L2917" s="95"/>
      <c r="M2917" s="22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</row>
    <row r="2918">
      <c r="A2918" s="26"/>
      <c r="B2918" s="73"/>
      <c r="C2918" s="73"/>
      <c r="D2918" s="95"/>
      <c r="E2918" s="73"/>
      <c r="F2918" s="73"/>
      <c r="G2918" s="73"/>
      <c r="H2918" s="73"/>
      <c r="I2918" s="95"/>
      <c r="J2918" s="73"/>
      <c r="K2918" s="95"/>
      <c r="L2918" s="95"/>
      <c r="M2918" s="22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</row>
    <row r="2919">
      <c r="A2919" s="26"/>
      <c r="B2919" s="73"/>
      <c r="C2919" s="73"/>
      <c r="D2919" s="95"/>
      <c r="E2919" s="73"/>
      <c r="F2919" s="73"/>
      <c r="G2919" s="73"/>
      <c r="H2919" s="73"/>
      <c r="I2919" s="95"/>
      <c r="J2919" s="73"/>
      <c r="K2919" s="95"/>
      <c r="L2919" s="95"/>
      <c r="M2919" s="22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</row>
    <row r="2920">
      <c r="A2920" s="26"/>
      <c r="B2920" s="73"/>
      <c r="C2920" s="73"/>
      <c r="D2920" s="95"/>
      <c r="E2920" s="73"/>
      <c r="F2920" s="73"/>
      <c r="G2920" s="73"/>
      <c r="H2920" s="73"/>
      <c r="I2920" s="95"/>
      <c r="J2920" s="73"/>
      <c r="K2920" s="95"/>
      <c r="L2920" s="95"/>
      <c r="M2920" s="22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</row>
    <row r="2921">
      <c r="A2921" s="26"/>
      <c r="B2921" s="73"/>
      <c r="C2921" s="73"/>
      <c r="D2921" s="95"/>
      <c r="E2921" s="73"/>
      <c r="F2921" s="73"/>
      <c r="G2921" s="73"/>
      <c r="H2921" s="73"/>
      <c r="I2921" s="95"/>
      <c r="J2921" s="73"/>
      <c r="K2921" s="95"/>
      <c r="L2921" s="95"/>
      <c r="M2921" s="22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</row>
    <row r="2922">
      <c r="A2922" s="26"/>
      <c r="B2922" s="73"/>
      <c r="C2922" s="73"/>
      <c r="D2922" s="95"/>
      <c r="E2922" s="73"/>
      <c r="F2922" s="73"/>
      <c r="G2922" s="73"/>
      <c r="H2922" s="73"/>
      <c r="I2922" s="95"/>
      <c r="J2922" s="73"/>
      <c r="K2922" s="95"/>
      <c r="L2922" s="95"/>
      <c r="M2922" s="22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</row>
    <row r="2923">
      <c r="A2923" s="26"/>
      <c r="B2923" s="73"/>
      <c r="C2923" s="73"/>
      <c r="D2923" s="95"/>
      <c r="E2923" s="73"/>
      <c r="F2923" s="73"/>
      <c r="G2923" s="73"/>
      <c r="H2923" s="73"/>
      <c r="I2923" s="95"/>
      <c r="J2923" s="73"/>
      <c r="K2923" s="95"/>
      <c r="L2923" s="95"/>
      <c r="M2923" s="22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</row>
    <row r="2924">
      <c r="A2924" s="26"/>
      <c r="B2924" s="73"/>
      <c r="C2924" s="73"/>
      <c r="D2924" s="95"/>
      <c r="E2924" s="73"/>
      <c r="F2924" s="73"/>
      <c r="G2924" s="73"/>
      <c r="H2924" s="73"/>
      <c r="I2924" s="95"/>
      <c r="J2924" s="73"/>
      <c r="K2924" s="95"/>
      <c r="L2924" s="95"/>
      <c r="M2924" s="22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</row>
    <row r="2925">
      <c r="A2925" s="26"/>
      <c r="B2925" s="73"/>
      <c r="C2925" s="73"/>
      <c r="D2925" s="95"/>
      <c r="E2925" s="73"/>
      <c r="F2925" s="73"/>
      <c r="G2925" s="73"/>
      <c r="H2925" s="73"/>
      <c r="I2925" s="95"/>
      <c r="J2925" s="73"/>
      <c r="K2925" s="95"/>
      <c r="L2925" s="95"/>
      <c r="M2925" s="22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</row>
    <row r="2926">
      <c r="A2926" s="26"/>
      <c r="B2926" s="73"/>
      <c r="C2926" s="73"/>
      <c r="D2926" s="95"/>
      <c r="E2926" s="73"/>
      <c r="F2926" s="73"/>
      <c r="G2926" s="73"/>
      <c r="H2926" s="73"/>
      <c r="I2926" s="95"/>
      <c r="J2926" s="73"/>
      <c r="K2926" s="95"/>
      <c r="L2926" s="95"/>
      <c r="M2926" s="22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</row>
    <row r="2927">
      <c r="A2927" s="26"/>
      <c r="B2927" s="73"/>
      <c r="C2927" s="73"/>
      <c r="D2927" s="95"/>
      <c r="E2927" s="73"/>
      <c r="F2927" s="73"/>
      <c r="G2927" s="73"/>
      <c r="H2927" s="73"/>
      <c r="I2927" s="95"/>
      <c r="J2927" s="73"/>
      <c r="K2927" s="95"/>
      <c r="L2927" s="95"/>
      <c r="M2927" s="22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</row>
    <row r="2928">
      <c r="A2928" s="26"/>
      <c r="B2928" s="73"/>
      <c r="C2928" s="73"/>
      <c r="D2928" s="95"/>
      <c r="E2928" s="73"/>
      <c r="F2928" s="73"/>
      <c r="G2928" s="73"/>
      <c r="H2928" s="73"/>
      <c r="I2928" s="95"/>
      <c r="J2928" s="73"/>
      <c r="K2928" s="95"/>
      <c r="L2928" s="95"/>
      <c r="M2928" s="22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</row>
    <row r="2929">
      <c r="A2929" s="26"/>
      <c r="B2929" s="73"/>
      <c r="C2929" s="73"/>
      <c r="D2929" s="95"/>
      <c r="E2929" s="73"/>
      <c r="F2929" s="73"/>
      <c r="G2929" s="73"/>
      <c r="H2929" s="73"/>
      <c r="I2929" s="95"/>
      <c r="J2929" s="73"/>
      <c r="K2929" s="95"/>
      <c r="L2929" s="95"/>
      <c r="M2929" s="22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</row>
    <row r="2930">
      <c r="A2930" s="26"/>
      <c r="B2930" s="73"/>
      <c r="C2930" s="73"/>
      <c r="D2930" s="95"/>
      <c r="E2930" s="73"/>
      <c r="F2930" s="73"/>
      <c r="G2930" s="73"/>
      <c r="H2930" s="73"/>
      <c r="I2930" s="95"/>
      <c r="J2930" s="73"/>
      <c r="K2930" s="95"/>
      <c r="L2930" s="95"/>
      <c r="M2930" s="22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</row>
    <row r="2931">
      <c r="A2931" s="26"/>
      <c r="B2931" s="73"/>
      <c r="C2931" s="73"/>
      <c r="D2931" s="95"/>
      <c r="E2931" s="73"/>
      <c r="F2931" s="73"/>
      <c r="G2931" s="73"/>
      <c r="H2931" s="73"/>
      <c r="I2931" s="95"/>
      <c r="J2931" s="73"/>
      <c r="K2931" s="95"/>
      <c r="L2931" s="95"/>
      <c r="M2931" s="22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</row>
    <row r="2932">
      <c r="A2932" s="26"/>
      <c r="B2932" s="73"/>
      <c r="C2932" s="73"/>
      <c r="D2932" s="95"/>
      <c r="E2932" s="73"/>
      <c r="F2932" s="73"/>
      <c r="G2932" s="73"/>
      <c r="H2932" s="73"/>
      <c r="I2932" s="95"/>
      <c r="J2932" s="73"/>
      <c r="K2932" s="95"/>
      <c r="L2932" s="95"/>
      <c r="M2932" s="22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</row>
    <row r="2933">
      <c r="A2933" s="26"/>
      <c r="B2933" s="73"/>
      <c r="C2933" s="73"/>
      <c r="D2933" s="95"/>
      <c r="E2933" s="73"/>
      <c r="F2933" s="73"/>
      <c r="G2933" s="73"/>
      <c r="H2933" s="73"/>
      <c r="I2933" s="95"/>
      <c r="J2933" s="73"/>
      <c r="K2933" s="95"/>
      <c r="L2933" s="95"/>
      <c r="M2933" s="22"/>
      <c r="N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</row>
    <row r="2934">
      <c r="A2934" s="26"/>
      <c r="B2934" s="73"/>
      <c r="C2934" s="73"/>
      <c r="D2934" s="95"/>
      <c r="E2934" s="73"/>
      <c r="F2934" s="73"/>
      <c r="G2934" s="73"/>
      <c r="H2934" s="73"/>
      <c r="I2934" s="95"/>
      <c r="J2934" s="73"/>
      <c r="K2934" s="95"/>
      <c r="L2934" s="95"/>
      <c r="M2934" s="22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</row>
    <row r="2935">
      <c r="A2935" s="26"/>
      <c r="B2935" s="73"/>
      <c r="C2935" s="73"/>
      <c r="D2935" s="95"/>
      <c r="E2935" s="73"/>
      <c r="F2935" s="73"/>
      <c r="G2935" s="73"/>
      <c r="H2935" s="73"/>
      <c r="I2935" s="95"/>
      <c r="J2935" s="73"/>
      <c r="K2935" s="95"/>
      <c r="L2935" s="95"/>
      <c r="M2935" s="22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</row>
    <row r="2936">
      <c r="A2936" s="26"/>
      <c r="B2936" s="73"/>
      <c r="C2936" s="73"/>
      <c r="D2936" s="95"/>
      <c r="E2936" s="73"/>
      <c r="F2936" s="73"/>
      <c r="G2936" s="73"/>
      <c r="H2936" s="73"/>
      <c r="I2936" s="95"/>
      <c r="J2936" s="73"/>
      <c r="K2936" s="95"/>
      <c r="L2936" s="95"/>
      <c r="M2936" s="22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</row>
    <row r="2937">
      <c r="A2937" s="26"/>
      <c r="B2937" s="73"/>
      <c r="C2937" s="73"/>
      <c r="D2937" s="95"/>
      <c r="E2937" s="73"/>
      <c r="F2937" s="73"/>
      <c r="G2937" s="73"/>
      <c r="H2937" s="73"/>
      <c r="I2937" s="95"/>
      <c r="J2937" s="73"/>
      <c r="K2937" s="95"/>
      <c r="L2937" s="95"/>
      <c r="M2937" s="22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</row>
    <row r="2938">
      <c r="A2938" s="26"/>
      <c r="B2938" s="73"/>
      <c r="C2938" s="73"/>
      <c r="D2938" s="95"/>
      <c r="E2938" s="73"/>
      <c r="F2938" s="73"/>
      <c r="G2938" s="73"/>
      <c r="H2938" s="73"/>
      <c r="I2938" s="95"/>
      <c r="J2938" s="73"/>
      <c r="K2938" s="95"/>
      <c r="L2938" s="95"/>
      <c r="M2938" s="22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</row>
    <row r="2939">
      <c r="A2939" s="26"/>
      <c r="B2939" s="73"/>
      <c r="C2939" s="73"/>
      <c r="D2939" s="95"/>
      <c r="E2939" s="73"/>
      <c r="F2939" s="73"/>
      <c r="G2939" s="73"/>
      <c r="H2939" s="73"/>
      <c r="I2939" s="95"/>
      <c r="J2939" s="73"/>
      <c r="K2939" s="95"/>
      <c r="L2939" s="95"/>
      <c r="M2939" s="22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</row>
    <row r="2940">
      <c r="A2940" s="26"/>
      <c r="B2940" s="73"/>
      <c r="C2940" s="73"/>
      <c r="D2940" s="95"/>
      <c r="E2940" s="73"/>
      <c r="F2940" s="73"/>
      <c r="G2940" s="73"/>
      <c r="H2940" s="73"/>
      <c r="I2940" s="95"/>
      <c r="J2940" s="73"/>
      <c r="K2940" s="95"/>
      <c r="L2940" s="95"/>
      <c r="M2940" s="22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</row>
    <row r="2941">
      <c r="A2941" s="26"/>
      <c r="B2941" s="73"/>
      <c r="C2941" s="73"/>
      <c r="D2941" s="95"/>
      <c r="E2941" s="73"/>
      <c r="F2941" s="73"/>
      <c r="G2941" s="73"/>
      <c r="H2941" s="73"/>
      <c r="I2941" s="95"/>
      <c r="J2941" s="73"/>
      <c r="K2941" s="95"/>
      <c r="L2941" s="95"/>
      <c r="M2941" s="22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</row>
    <row r="2942">
      <c r="A2942" s="26"/>
      <c r="B2942" s="73"/>
      <c r="C2942" s="73"/>
      <c r="D2942" s="95"/>
      <c r="E2942" s="73"/>
      <c r="F2942" s="73"/>
      <c r="G2942" s="73"/>
      <c r="H2942" s="73"/>
      <c r="I2942" s="95"/>
      <c r="J2942" s="73"/>
      <c r="K2942" s="95"/>
      <c r="L2942" s="95"/>
      <c r="M2942" s="22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</row>
    <row r="2943">
      <c r="A2943" s="26"/>
      <c r="B2943" s="73"/>
      <c r="C2943" s="73"/>
      <c r="D2943" s="95"/>
      <c r="E2943" s="73"/>
      <c r="F2943" s="73"/>
      <c r="G2943" s="73"/>
      <c r="H2943" s="73"/>
      <c r="I2943" s="95"/>
      <c r="J2943" s="73"/>
      <c r="K2943" s="95"/>
      <c r="L2943" s="95"/>
      <c r="M2943" s="22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</row>
    <row r="2944">
      <c r="A2944" s="26"/>
      <c r="B2944" s="73"/>
      <c r="C2944" s="73"/>
      <c r="D2944" s="95"/>
      <c r="E2944" s="73"/>
      <c r="F2944" s="73"/>
      <c r="G2944" s="73"/>
      <c r="H2944" s="73"/>
      <c r="I2944" s="95"/>
      <c r="J2944" s="73"/>
      <c r="K2944" s="95"/>
      <c r="L2944" s="95"/>
      <c r="M2944" s="22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</row>
    <row r="2945">
      <c r="A2945" s="26"/>
      <c r="B2945" s="73"/>
      <c r="C2945" s="73"/>
      <c r="D2945" s="95"/>
      <c r="E2945" s="73"/>
      <c r="F2945" s="73"/>
      <c r="G2945" s="73"/>
      <c r="H2945" s="73"/>
      <c r="I2945" s="95"/>
      <c r="J2945" s="73"/>
      <c r="K2945" s="95"/>
      <c r="L2945" s="95"/>
      <c r="M2945" s="22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</row>
    <row r="2946">
      <c r="A2946" s="26"/>
      <c r="B2946" s="73"/>
      <c r="C2946" s="73"/>
      <c r="D2946" s="95"/>
      <c r="E2946" s="73"/>
      <c r="F2946" s="73"/>
      <c r="G2946" s="73"/>
      <c r="H2946" s="73"/>
      <c r="I2946" s="95"/>
      <c r="J2946" s="73"/>
      <c r="K2946" s="95"/>
      <c r="L2946" s="95"/>
      <c r="M2946" s="22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</row>
    <row r="2947">
      <c r="A2947" s="26"/>
      <c r="B2947" s="73"/>
      <c r="C2947" s="73"/>
      <c r="D2947" s="95"/>
      <c r="E2947" s="73"/>
      <c r="F2947" s="73"/>
      <c r="G2947" s="73"/>
      <c r="H2947" s="73"/>
      <c r="I2947" s="95"/>
      <c r="J2947" s="73"/>
      <c r="K2947" s="95"/>
      <c r="L2947" s="95"/>
      <c r="M2947" s="22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</row>
    <row r="2948">
      <c r="A2948" s="26"/>
      <c r="B2948" s="73"/>
      <c r="C2948" s="73"/>
      <c r="D2948" s="95"/>
      <c r="E2948" s="73"/>
      <c r="F2948" s="73"/>
      <c r="G2948" s="73"/>
      <c r="H2948" s="73"/>
      <c r="I2948" s="95"/>
      <c r="J2948" s="73"/>
      <c r="K2948" s="95"/>
      <c r="L2948" s="95"/>
      <c r="M2948" s="22"/>
      <c r="N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</row>
    <row r="2949">
      <c r="A2949" s="26"/>
      <c r="B2949" s="73"/>
      <c r="C2949" s="73"/>
      <c r="D2949" s="95"/>
      <c r="E2949" s="73"/>
      <c r="F2949" s="73"/>
      <c r="G2949" s="73"/>
      <c r="H2949" s="73"/>
      <c r="I2949" s="95"/>
      <c r="J2949" s="73"/>
      <c r="K2949" s="95"/>
      <c r="L2949" s="95"/>
      <c r="M2949" s="22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</row>
    <row r="2950">
      <c r="A2950" s="26"/>
      <c r="B2950" s="73"/>
      <c r="C2950" s="73"/>
      <c r="D2950" s="95"/>
      <c r="E2950" s="73"/>
      <c r="F2950" s="73"/>
      <c r="G2950" s="73"/>
      <c r="H2950" s="73"/>
      <c r="I2950" s="95"/>
      <c r="J2950" s="73"/>
      <c r="K2950" s="95"/>
      <c r="L2950" s="95"/>
      <c r="M2950" s="22"/>
      <c r="N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6"/>
    </row>
    <row r="2951">
      <c r="A2951" s="26"/>
      <c r="B2951" s="73"/>
      <c r="C2951" s="73"/>
      <c r="D2951" s="95"/>
      <c r="E2951" s="73"/>
      <c r="F2951" s="73"/>
      <c r="G2951" s="73"/>
      <c r="H2951" s="73"/>
      <c r="I2951" s="95"/>
      <c r="J2951" s="73"/>
      <c r="K2951" s="95"/>
      <c r="L2951" s="95"/>
      <c r="M2951" s="22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</row>
    <row r="2952">
      <c r="A2952" s="26"/>
      <c r="B2952" s="73"/>
      <c r="C2952" s="73"/>
      <c r="D2952" s="95"/>
      <c r="E2952" s="73"/>
      <c r="F2952" s="73"/>
      <c r="G2952" s="73"/>
      <c r="H2952" s="73"/>
      <c r="I2952" s="95"/>
      <c r="J2952" s="73"/>
      <c r="K2952" s="95"/>
      <c r="L2952" s="95"/>
      <c r="M2952" s="22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</row>
    <row r="2953">
      <c r="A2953" s="26"/>
      <c r="B2953" s="73"/>
      <c r="C2953" s="73"/>
      <c r="D2953" s="95"/>
      <c r="E2953" s="73"/>
      <c r="F2953" s="73"/>
      <c r="G2953" s="73"/>
      <c r="H2953" s="73"/>
      <c r="I2953" s="95"/>
      <c r="J2953" s="73"/>
      <c r="K2953" s="95"/>
      <c r="L2953" s="95"/>
      <c r="M2953" s="22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</row>
    <row r="2954">
      <c r="A2954" s="26"/>
      <c r="B2954" s="73"/>
      <c r="C2954" s="73"/>
      <c r="D2954" s="95"/>
      <c r="E2954" s="73"/>
      <c r="F2954" s="73"/>
      <c r="G2954" s="73"/>
      <c r="H2954" s="73"/>
      <c r="I2954" s="95"/>
      <c r="J2954" s="73"/>
      <c r="K2954" s="95"/>
      <c r="L2954" s="95"/>
      <c r="M2954" s="22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</row>
    <row r="2955">
      <c r="A2955" s="26"/>
      <c r="B2955" s="73"/>
      <c r="C2955" s="73"/>
      <c r="D2955" s="95"/>
      <c r="E2955" s="73"/>
      <c r="F2955" s="73"/>
      <c r="G2955" s="73"/>
      <c r="H2955" s="73"/>
      <c r="I2955" s="95"/>
      <c r="J2955" s="73"/>
      <c r="K2955" s="95"/>
      <c r="L2955" s="95"/>
      <c r="M2955" s="22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</row>
    <row r="2956">
      <c r="A2956" s="26"/>
      <c r="B2956" s="73"/>
      <c r="C2956" s="73"/>
      <c r="D2956" s="95"/>
      <c r="E2956" s="73"/>
      <c r="F2956" s="73"/>
      <c r="G2956" s="73"/>
      <c r="H2956" s="73"/>
      <c r="I2956" s="95"/>
      <c r="J2956" s="73"/>
      <c r="K2956" s="95"/>
      <c r="L2956" s="95"/>
      <c r="M2956" s="22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</row>
    <row r="2957">
      <c r="A2957" s="26"/>
      <c r="B2957" s="73"/>
      <c r="C2957" s="73"/>
      <c r="D2957" s="95"/>
      <c r="E2957" s="73"/>
      <c r="F2957" s="73"/>
      <c r="G2957" s="73"/>
      <c r="H2957" s="73"/>
      <c r="I2957" s="95"/>
      <c r="J2957" s="73"/>
      <c r="K2957" s="95"/>
      <c r="L2957" s="95"/>
      <c r="M2957" s="22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</row>
    <row r="2958">
      <c r="A2958" s="26"/>
      <c r="B2958" s="73"/>
      <c r="C2958" s="73"/>
      <c r="D2958" s="95"/>
      <c r="E2958" s="73"/>
      <c r="F2958" s="73"/>
      <c r="G2958" s="73"/>
      <c r="H2958" s="73"/>
      <c r="I2958" s="95"/>
      <c r="J2958" s="73"/>
      <c r="K2958" s="95"/>
      <c r="L2958" s="95"/>
      <c r="M2958" s="22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</row>
    <row r="2959">
      <c r="A2959" s="26"/>
      <c r="B2959" s="73"/>
      <c r="C2959" s="73"/>
      <c r="D2959" s="95"/>
      <c r="E2959" s="73"/>
      <c r="F2959" s="73"/>
      <c r="G2959" s="73"/>
      <c r="H2959" s="73"/>
      <c r="I2959" s="95"/>
      <c r="J2959" s="73"/>
      <c r="K2959" s="95"/>
      <c r="L2959" s="95"/>
      <c r="M2959" s="22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</row>
    <row r="2960">
      <c r="A2960" s="26"/>
      <c r="B2960" s="73"/>
      <c r="C2960" s="73"/>
      <c r="D2960" s="95"/>
      <c r="E2960" s="73"/>
      <c r="F2960" s="73"/>
      <c r="G2960" s="73"/>
      <c r="H2960" s="73"/>
      <c r="I2960" s="95"/>
      <c r="J2960" s="73"/>
      <c r="K2960" s="95"/>
      <c r="L2960" s="95"/>
      <c r="M2960" s="22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</row>
    <row r="2961">
      <c r="A2961" s="26"/>
      <c r="B2961" s="73"/>
      <c r="C2961" s="73"/>
      <c r="D2961" s="95"/>
      <c r="E2961" s="73"/>
      <c r="F2961" s="73"/>
      <c r="G2961" s="73"/>
      <c r="H2961" s="73"/>
      <c r="I2961" s="95"/>
      <c r="J2961" s="73"/>
      <c r="K2961" s="95"/>
      <c r="L2961" s="95"/>
      <c r="M2961" s="22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</row>
    <row r="2962">
      <c r="A2962" s="26"/>
      <c r="B2962" s="73"/>
      <c r="C2962" s="73"/>
      <c r="D2962" s="95"/>
      <c r="E2962" s="73"/>
      <c r="F2962" s="73"/>
      <c r="G2962" s="73"/>
      <c r="H2962" s="73"/>
      <c r="I2962" s="95"/>
      <c r="J2962" s="73"/>
      <c r="K2962" s="95"/>
      <c r="L2962" s="95"/>
      <c r="M2962" s="22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</row>
    <row r="2963">
      <c r="A2963" s="26"/>
      <c r="B2963" s="73"/>
      <c r="C2963" s="73"/>
      <c r="D2963" s="95"/>
      <c r="E2963" s="73"/>
      <c r="F2963" s="73"/>
      <c r="G2963" s="73"/>
      <c r="H2963" s="73"/>
      <c r="I2963" s="95"/>
      <c r="J2963" s="73"/>
      <c r="K2963" s="95"/>
      <c r="L2963" s="95"/>
      <c r="M2963" s="22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</row>
    <row r="2964">
      <c r="A2964" s="26"/>
      <c r="B2964" s="73"/>
      <c r="C2964" s="73"/>
      <c r="D2964" s="95"/>
      <c r="E2964" s="73"/>
      <c r="F2964" s="73"/>
      <c r="G2964" s="73"/>
      <c r="H2964" s="73"/>
      <c r="I2964" s="95"/>
      <c r="J2964" s="73"/>
      <c r="K2964" s="95"/>
      <c r="L2964" s="95"/>
      <c r="M2964" s="22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</row>
    <row r="2965">
      <c r="A2965" s="26"/>
      <c r="B2965" s="73"/>
      <c r="C2965" s="73"/>
      <c r="D2965" s="95"/>
      <c r="E2965" s="73"/>
      <c r="F2965" s="73"/>
      <c r="G2965" s="73"/>
      <c r="H2965" s="73"/>
      <c r="I2965" s="95"/>
      <c r="J2965" s="73"/>
      <c r="K2965" s="95"/>
      <c r="L2965" s="95"/>
      <c r="M2965" s="22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</row>
    <row r="2966">
      <c r="A2966" s="26"/>
      <c r="B2966" s="73"/>
      <c r="C2966" s="73"/>
      <c r="D2966" s="95"/>
      <c r="E2966" s="73"/>
      <c r="F2966" s="73"/>
      <c r="G2966" s="73"/>
      <c r="H2966" s="73"/>
      <c r="I2966" s="95"/>
      <c r="J2966" s="73"/>
      <c r="K2966" s="95"/>
      <c r="L2966" s="95"/>
      <c r="M2966" s="22"/>
      <c r="N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6"/>
    </row>
    <row r="2967">
      <c r="A2967" s="26"/>
      <c r="B2967" s="73"/>
      <c r="C2967" s="73"/>
      <c r="D2967" s="95"/>
      <c r="E2967" s="73"/>
      <c r="F2967" s="73"/>
      <c r="G2967" s="73"/>
      <c r="H2967" s="73"/>
      <c r="I2967" s="95"/>
      <c r="J2967" s="73"/>
      <c r="K2967" s="95"/>
      <c r="L2967" s="95"/>
      <c r="M2967" s="22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</row>
    <row r="2968">
      <c r="A2968" s="26"/>
      <c r="B2968" s="73"/>
      <c r="C2968" s="73"/>
      <c r="D2968" s="95"/>
      <c r="E2968" s="73"/>
      <c r="F2968" s="73"/>
      <c r="G2968" s="73"/>
      <c r="H2968" s="73"/>
      <c r="I2968" s="95"/>
      <c r="J2968" s="73"/>
      <c r="K2968" s="95"/>
      <c r="L2968" s="95"/>
      <c r="M2968" s="22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</row>
    <row r="2969">
      <c r="A2969" s="26"/>
      <c r="B2969" s="73"/>
      <c r="C2969" s="73"/>
      <c r="D2969" s="95"/>
      <c r="E2969" s="73"/>
      <c r="F2969" s="73"/>
      <c r="G2969" s="73"/>
      <c r="H2969" s="73"/>
      <c r="I2969" s="95"/>
      <c r="J2969" s="73"/>
      <c r="K2969" s="95"/>
      <c r="L2969" s="95"/>
      <c r="M2969" s="22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</row>
    <row r="2970">
      <c r="A2970" s="26"/>
      <c r="B2970" s="73"/>
      <c r="C2970" s="73"/>
      <c r="D2970" s="95"/>
      <c r="E2970" s="73"/>
      <c r="F2970" s="73"/>
      <c r="G2970" s="73"/>
      <c r="H2970" s="73"/>
      <c r="I2970" s="95"/>
      <c r="J2970" s="73"/>
      <c r="K2970" s="95"/>
      <c r="L2970" s="95"/>
      <c r="M2970" s="22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</row>
    <row r="2971">
      <c r="A2971" s="26"/>
      <c r="B2971" s="73"/>
      <c r="C2971" s="73"/>
      <c r="D2971" s="95"/>
      <c r="E2971" s="73"/>
      <c r="F2971" s="73"/>
      <c r="G2971" s="73"/>
      <c r="H2971" s="73"/>
      <c r="I2971" s="95"/>
      <c r="J2971" s="73"/>
      <c r="K2971" s="95"/>
      <c r="L2971" s="95"/>
      <c r="M2971" s="22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</row>
    <row r="2972">
      <c r="A2972" s="26"/>
      <c r="B2972" s="73"/>
      <c r="C2972" s="73"/>
      <c r="D2972" s="95"/>
      <c r="E2972" s="73"/>
      <c r="F2972" s="73"/>
      <c r="G2972" s="73"/>
      <c r="H2972" s="73"/>
      <c r="I2972" s="95"/>
      <c r="J2972" s="73"/>
      <c r="K2972" s="95"/>
      <c r="L2972" s="95"/>
      <c r="M2972" s="22"/>
      <c r="N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6"/>
    </row>
    <row r="2973">
      <c r="A2973" s="26"/>
      <c r="B2973" s="73"/>
      <c r="C2973" s="73"/>
      <c r="D2973" s="95"/>
      <c r="E2973" s="73"/>
      <c r="F2973" s="73"/>
      <c r="G2973" s="73"/>
      <c r="H2973" s="73"/>
      <c r="I2973" s="95"/>
      <c r="J2973" s="73"/>
      <c r="K2973" s="95"/>
      <c r="L2973" s="95"/>
      <c r="M2973" s="22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</row>
    <row r="2974">
      <c r="A2974" s="26"/>
      <c r="B2974" s="73"/>
      <c r="C2974" s="73"/>
      <c r="D2974" s="95"/>
      <c r="E2974" s="73"/>
      <c r="F2974" s="73"/>
      <c r="G2974" s="73"/>
      <c r="H2974" s="73"/>
      <c r="I2974" s="95"/>
      <c r="J2974" s="73"/>
      <c r="K2974" s="95"/>
      <c r="L2974" s="95"/>
      <c r="M2974" s="22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</row>
    <row r="2975">
      <c r="A2975" s="26"/>
      <c r="B2975" s="73"/>
      <c r="C2975" s="73"/>
      <c r="D2975" s="95"/>
      <c r="E2975" s="73"/>
      <c r="F2975" s="73"/>
      <c r="G2975" s="73"/>
      <c r="H2975" s="73"/>
      <c r="I2975" s="95"/>
      <c r="J2975" s="73"/>
      <c r="K2975" s="95"/>
      <c r="L2975" s="95"/>
      <c r="M2975" s="22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</row>
    <row r="2976">
      <c r="A2976" s="26"/>
      <c r="B2976" s="73"/>
      <c r="C2976" s="73"/>
      <c r="D2976" s="95"/>
      <c r="E2976" s="73"/>
      <c r="F2976" s="73"/>
      <c r="G2976" s="73"/>
      <c r="H2976" s="73"/>
      <c r="I2976" s="95"/>
      <c r="J2976" s="73"/>
      <c r="K2976" s="95"/>
      <c r="L2976" s="95"/>
      <c r="M2976" s="22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</row>
    <row r="2977">
      <c r="A2977" s="26"/>
      <c r="B2977" s="73"/>
      <c r="C2977" s="73"/>
      <c r="D2977" s="95"/>
      <c r="E2977" s="73"/>
      <c r="F2977" s="73"/>
      <c r="G2977" s="73"/>
      <c r="H2977" s="73"/>
      <c r="I2977" s="95"/>
      <c r="J2977" s="73"/>
      <c r="K2977" s="95"/>
      <c r="L2977" s="95"/>
      <c r="M2977" s="22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</row>
    <row r="2978">
      <c r="A2978" s="26"/>
      <c r="B2978" s="73"/>
      <c r="C2978" s="73"/>
      <c r="D2978" s="95"/>
      <c r="E2978" s="73"/>
      <c r="F2978" s="73"/>
      <c r="G2978" s="73"/>
      <c r="H2978" s="73"/>
      <c r="I2978" s="95"/>
      <c r="J2978" s="73"/>
      <c r="K2978" s="95"/>
      <c r="L2978" s="95"/>
      <c r="M2978" s="22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</row>
    <row r="2979">
      <c r="A2979" s="26"/>
      <c r="B2979" s="73"/>
      <c r="C2979" s="73"/>
      <c r="D2979" s="95"/>
      <c r="E2979" s="73"/>
      <c r="F2979" s="73"/>
      <c r="G2979" s="73"/>
      <c r="H2979" s="73"/>
      <c r="I2979" s="95"/>
      <c r="J2979" s="73"/>
      <c r="K2979" s="95"/>
      <c r="L2979" s="95"/>
      <c r="M2979" s="22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</row>
    <row r="2980">
      <c r="A2980" s="26"/>
      <c r="B2980" s="73"/>
      <c r="C2980" s="73"/>
      <c r="D2980" s="95"/>
      <c r="E2980" s="73"/>
      <c r="F2980" s="73"/>
      <c r="G2980" s="73"/>
      <c r="H2980" s="73"/>
      <c r="I2980" s="95"/>
      <c r="J2980" s="73"/>
      <c r="K2980" s="95"/>
      <c r="L2980" s="95"/>
      <c r="M2980" s="22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</row>
    <row r="2981">
      <c r="A2981" s="26"/>
      <c r="B2981" s="73"/>
      <c r="C2981" s="73"/>
      <c r="D2981" s="95"/>
      <c r="E2981" s="73"/>
      <c r="F2981" s="73"/>
      <c r="G2981" s="73"/>
      <c r="H2981" s="73"/>
      <c r="I2981" s="95"/>
      <c r="J2981" s="73"/>
      <c r="K2981" s="95"/>
      <c r="L2981" s="95"/>
      <c r="M2981" s="22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</row>
    <row r="2982">
      <c r="A2982" s="26"/>
      <c r="B2982" s="73"/>
      <c r="C2982" s="73"/>
      <c r="D2982" s="95"/>
      <c r="E2982" s="73"/>
      <c r="F2982" s="73"/>
      <c r="G2982" s="73"/>
      <c r="H2982" s="73"/>
      <c r="I2982" s="95"/>
      <c r="J2982" s="73"/>
      <c r="K2982" s="95"/>
      <c r="L2982" s="95"/>
      <c r="M2982" s="22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</row>
    <row r="2983">
      <c r="A2983" s="26"/>
      <c r="B2983" s="73"/>
      <c r="C2983" s="73"/>
      <c r="D2983" s="95"/>
      <c r="E2983" s="73"/>
      <c r="F2983" s="73"/>
      <c r="G2983" s="73"/>
      <c r="H2983" s="73"/>
      <c r="I2983" s="95"/>
      <c r="J2983" s="73"/>
      <c r="K2983" s="95"/>
      <c r="L2983" s="95"/>
      <c r="M2983" s="22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</row>
    <row r="2984">
      <c r="A2984" s="26"/>
      <c r="B2984" s="73"/>
      <c r="C2984" s="73"/>
      <c r="D2984" s="95"/>
      <c r="E2984" s="73"/>
      <c r="F2984" s="73"/>
      <c r="G2984" s="73"/>
      <c r="H2984" s="73"/>
      <c r="I2984" s="95"/>
      <c r="J2984" s="73"/>
      <c r="K2984" s="95"/>
      <c r="L2984" s="95"/>
      <c r="M2984" s="22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</row>
    <row r="2985">
      <c r="A2985" s="26"/>
      <c r="B2985" s="73"/>
      <c r="C2985" s="73"/>
      <c r="D2985" s="95"/>
      <c r="E2985" s="73"/>
      <c r="F2985" s="73"/>
      <c r="G2985" s="73"/>
      <c r="H2985" s="73"/>
      <c r="I2985" s="95"/>
      <c r="J2985" s="73"/>
      <c r="K2985" s="95"/>
      <c r="L2985" s="95"/>
      <c r="M2985" s="22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</row>
    <row r="2986">
      <c r="A2986" s="26"/>
      <c r="B2986" s="73"/>
      <c r="C2986" s="73"/>
      <c r="D2986" s="95"/>
      <c r="E2986" s="73"/>
      <c r="F2986" s="73"/>
      <c r="G2986" s="73"/>
      <c r="H2986" s="73"/>
      <c r="I2986" s="95"/>
      <c r="J2986" s="73"/>
      <c r="K2986" s="95"/>
      <c r="L2986" s="95"/>
      <c r="M2986" s="22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</row>
    <row r="2987">
      <c r="A2987" s="26"/>
      <c r="B2987" s="73"/>
      <c r="C2987" s="73"/>
      <c r="D2987" s="95"/>
      <c r="E2987" s="73"/>
      <c r="F2987" s="73"/>
      <c r="G2987" s="73"/>
      <c r="H2987" s="73"/>
      <c r="I2987" s="95"/>
      <c r="J2987" s="73"/>
      <c r="K2987" s="95"/>
      <c r="L2987" s="95"/>
      <c r="M2987" s="22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</row>
    <row r="2988">
      <c r="A2988" s="26"/>
      <c r="B2988" s="73"/>
      <c r="C2988" s="73"/>
      <c r="D2988" s="95"/>
      <c r="E2988" s="73"/>
      <c r="F2988" s="73"/>
      <c r="G2988" s="73"/>
      <c r="H2988" s="73"/>
      <c r="I2988" s="95"/>
      <c r="J2988" s="73"/>
      <c r="K2988" s="95"/>
      <c r="L2988" s="95"/>
      <c r="M2988" s="22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</row>
    <row r="2989">
      <c r="A2989" s="26"/>
      <c r="B2989" s="73"/>
      <c r="C2989" s="73"/>
      <c r="D2989" s="95"/>
      <c r="E2989" s="73"/>
      <c r="F2989" s="73"/>
      <c r="G2989" s="73"/>
      <c r="H2989" s="73"/>
      <c r="I2989" s="95"/>
      <c r="J2989" s="73"/>
      <c r="K2989" s="95"/>
      <c r="L2989" s="95"/>
      <c r="M2989" s="22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</row>
    <row r="2990">
      <c r="A2990" s="26"/>
      <c r="B2990" s="73"/>
      <c r="C2990" s="73"/>
      <c r="D2990" s="95"/>
      <c r="E2990" s="73"/>
      <c r="F2990" s="73"/>
      <c r="G2990" s="73"/>
      <c r="H2990" s="73"/>
      <c r="I2990" s="95"/>
      <c r="J2990" s="73"/>
      <c r="K2990" s="95"/>
      <c r="L2990" s="95"/>
      <c r="M2990" s="22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</row>
    <row r="2991">
      <c r="A2991" s="26"/>
      <c r="B2991" s="73"/>
      <c r="C2991" s="73"/>
      <c r="D2991" s="95"/>
      <c r="E2991" s="73"/>
      <c r="F2991" s="73"/>
      <c r="G2991" s="73"/>
      <c r="H2991" s="73"/>
      <c r="I2991" s="95"/>
      <c r="J2991" s="73"/>
      <c r="K2991" s="95"/>
      <c r="L2991" s="95"/>
      <c r="M2991" s="22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</row>
    <row r="2992">
      <c r="A2992" s="26"/>
      <c r="B2992" s="73"/>
      <c r="C2992" s="73"/>
      <c r="D2992" s="95"/>
      <c r="E2992" s="73"/>
      <c r="F2992" s="73"/>
      <c r="G2992" s="73"/>
      <c r="H2992" s="73"/>
      <c r="I2992" s="95"/>
      <c r="J2992" s="73"/>
      <c r="K2992" s="95"/>
      <c r="L2992" s="95"/>
      <c r="M2992" s="22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</row>
    <row r="2993">
      <c r="A2993" s="26"/>
      <c r="B2993" s="73"/>
      <c r="C2993" s="73"/>
      <c r="D2993" s="95"/>
      <c r="E2993" s="73"/>
      <c r="F2993" s="73"/>
      <c r="G2993" s="73"/>
      <c r="H2993" s="73"/>
      <c r="I2993" s="95"/>
      <c r="J2993" s="73"/>
      <c r="K2993" s="95"/>
      <c r="L2993" s="95"/>
      <c r="M2993" s="22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</row>
    <row r="2994">
      <c r="A2994" s="26"/>
      <c r="B2994" s="73"/>
      <c r="C2994" s="73"/>
      <c r="D2994" s="95"/>
      <c r="E2994" s="73"/>
      <c r="F2994" s="73"/>
      <c r="G2994" s="73"/>
      <c r="H2994" s="73"/>
      <c r="I2994" s="95"/>
      <c r="J2994" s="73"/>
      <c r="K2994" s="95"/>
      <c r="L2994" s="95"/>
      <c r="M2994" s="22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</row>
    <row r="2995">
      <c r="A2995" s="26"/>
      <c r="B2995" s="73"/>
      <c r="C2995" s="73"/>
      <c r="D2995" s="95"/>
      <c r="E2995" s="73"/>
      <c r="F2995" s="73"/>
      <c r="G2995" s="73"/>
      <c r="H2995" s="73"/>
      <c r="I2995" s="95"/>
      <c r="J2995" s="73"/>
      <c r="K2995" s="95"/>
      <c r="L2995" s="95"/>
      <c r="M2995" s="22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</row>
    <row r="2996">
      <c r="A2996" s="26"/>
      <c r="B2996" s="73"/>
      <c r="C2996" s="73"/>
      <c r="D2996" s="95"/>
      <c r="E2996" s="73"/>
      <c r="F2996" s="73"/>
      <c r="G2996" s="73"/>
      <c r="H2996" s="73"/>
      <c r="I2996" s="95"/>
      <c r="J2996" s="73"/>
      <c r="K2996" s="95"/>
      <c r="L2996" s="95"/>
      <c r="M2996" s="22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</row>
    <row r="2997">
      <c r="A2997" s="26"/>
      <c r="B2997" s="73"/>
      <c r="C2997" s="73"/>
      <c r="D2997" s="95"/>
      <c r="E2997" s="73"/>
      <c r="F2997" s="73"/>
      <c r="G2997" s="73"/>
      <c r="H2997" s="73"/>
      <c r="I2997" s="95"/>
      <c r="J2997" s="73"/>
      <c r="K2997" s="95"/>
      <c r="L2997" s="95"/>
      <c r="M2997" s="22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</row>
    <row r="2998">
      <c r="A2998" s="26"/>
      <c r="B2998" s="73"/>
      <c r="C2998" s="73"/>
      <c r="D2998" s="95"/>
      <c r="E2998" s="73"/>
      <c r="F2998" s="73"/>
      <c r="G2998" s="73"/>
      <c r="H2998" s="73"/>
      <c r="I2998" s="95"/>
      <c r="J2998" s="73"/>
      <c r="K2998" s="95"/>
      <c r="L2998" s="95"/>
      <c r="M2998" s="22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</row>
    <row r="2999">
      <c r="A2999" s="26"/>
      <c r="B2999" s="73"/>
      <c r="C2999" s="73"/>
      <c r="D2999" s="95"/>
      <c r="E2999" s="73"/>
      <c r="F2999" s="73"/>
      <c r="G2999" s="73"/>
      <c r="H2999" s="73"/>
      <c r="I2999" s="95"/>
      <c r="J2999" s="73"/>
      <c r="K2999" s="95"/>
      <c r="L2999" s="95"/>
      <c r="M2999" s="22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</row>
    <row r="3000">
      <c r="A3000" s="26"/>
      <c r="B3000" s="73"/>
      <c r="C3000" s="73"/>
      <c r="D3000" s="95"/>
      <c r="E3000" s="73"/>
      <c r="F3000" s="73"/>
      <c r="G3000" s="73"/>
      <c r="H3000" s="73"/>
      <c r="I3000" s="95"/>
      <c r="J3000" s="73"/>
      <c r="K3000" s="95"/>
      <c r="L3000" s="95"/>
      <c r="M3000" s="22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</row>
    <row r="3001">
      <c r="A3001" s="26"/>
      <c r="D3001" s="120"/>
      <c r="M3001" s="22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</row>
    <row r="3002">
      <c r="A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</row>
  </sheetData>
  <autoFilter ref="$A$1:$N$1737"/>
  <customSheetViews>
    <customSheetView guid="{09B636C8-FE7A-43DD-AC47-05471FF9A175}" filter="1" showAutoFilter="1">
      <autoFilter ref="$A$1:$N$3002"/>
    </customSheetView>
    <customSheetView guid="{E32ADFDF-A5FF-47E0-AEA9-FC15DD1BFC8D}" filter="1" showAutoFilter="1">
      <autoFilter ref="$A$1:$L$1514"/>
    </customSheetView>
  </customSheetViews>
  <conditionalFormatting sqref="C1:C3002 P1">
    <cfRule type="containsText" dxfId="3" priority="1" operator="containsText" text="000 | KARYA UMUM">
      <formula>NOT(ISERROR(SEARCH(("000 | KARYA UMUM"),(C1))))</formula>
    </cfRule>
  </conditionalFormatting>
  <conditionalFormatting sqref="C1:C3002 P1">
    <cfRule type="containsText" dxfId="4" priority="2" operator="containsText" text="100 | FILSAFAT &amp; PSIKOLOGI">
      <formula>NOT(ISERROR(SEARCH(("100 | FILSAFAT &amp; PSIKOLOGI"),(C1))))</formula>
    </cfRule>
  </conditionalFormatting>
  <conditionalFormatting sqref="C1:C3002 P1">
    <cfRule type="containsText" dxfId="5" priority="3" operator="containsText" text="200 | AGAMA">
      <formula>NOT(ISERROR(SEARCH(("200 | AGAMA"),(C1))))</formula>
    </cfRule>
  </conditionalFormatting>
  <conditionalFormatting sqref="C1:C3002 P1">
    <cfRule type="containsText" dxfId="6" priority="4" operator="containsText" text="300 | ILMU SOSIAL">
      <formula>NOT(ISERROR(SEARCH(("300 | ILMU SOSIAL"),(C1))))</formula>
    </cfRule>
  </conditionalFormatting>
  <conditionalFormatting sqref="C1:C3002 P1">
    <cfRule type="containsText" dxfId="7" priority="5" operator="containsText" text="400 | BAHASA">
      <formula>NOT(ISERROR(SEARCH(("400 | BAHASA"),(C1))))</formula>
    </cfRule>
  </conditionalFormatting>
  <conditionalFormatting sqref="C1:C3002 P1">
    <cfRule type="containsText" dxfId="8" priority="6" operator="containsText" text="500 | ILMU MURNI">
      <formula>NOT(ISERROR(SEARCH(("500 | ILMU MURNI"),(C1))))</formula>
    </cfRule>
  </conditionalFormatting>
  <conditionalFormatting sqref="C1:C3002 P1">
    <cfRule type="containsText" dxfId="9" priority="7" operator="containsText" text="600 | ILMU TERAPAN">
      <formula>NOT(ISERROR(SEARCH(("600 | ILMU TERAPAN"),(C1))))</formula>
    </cfRule>
  </conditionalFormatting>
  <conditionalFormatting sqref="C1:C3002 P1">
    <cfRule type="containsText" dxfId="10" priority="8" operator="containsText" text="700 | SENI DAN OLAHRAGA">
      <formula>NOT(ISERROR(SEARCH(("700 | SENI DAN OLAHRAGA"),(C1))))</formula>
    </cfRule>
  </conditionalFormatting>
  <conditionalFormatting sqref="C1:C3002 P1">
    <cfRule type="containsText" dxfId="11" priority="9" operator="containsText" text="800 | KESUSASTRAAN">
      <formula>NOT(ISERROR(SEARCH(("800 | KESUSASTRAAN"),(C1))))</formula>
    </cfRule>
  </conditionalFormatting>
  <conditionalFormatting sqref="C1:C3002 P1">
    <cfRule type="containsText" dxfId="12" priority="10" operator="containsText" text="900 | SEJARAH &amp; GEOGRAFI">
      <formula>NOT(ISERROR(SEARCH(("900 | SEJARAH &amp; GEOGRAFI"),(C1))))</formula>
    </cfRule>
  </conditionalFormatting>
  <conditionalFormatting sqref="E17">
    <cfRule type="notContainsBlanks" dxfId="13" priority="11">
      <formula>LEN(TRIM(E17))&gt;0</formula>
    </cfRule>
  </conditionalFormatting>
  <conditionalFormatting sqref="A1">
    <cfRule type="notContainsBlanks" dxfId="13" priority="12">
      <formula>LEN(TRIM(A1))&gt;0</formula>
    </cfRule>
  </conditionalFormatting>
  <dataValidations>
    <dataValidation type="list" allowBlank="1" showErrorMessage="1" sqref="P1 C2:C3000">
      <formula1>"000 | KARYA UMUM,100 | FILSAFAT &amp; PSIKOLOGI,200 | AGAMA,300 | ILMU SOSIAL,400 | BAHASA,500 | ILMU MURNI,600 | ILMU TERAPAN,700 | SENI DAN OLAHRAGA,800 | KESUSASTRAAN,900 | SEJARAH &amp; GEOGRAFI"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</hyperlin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20.88"/>
    <col customWidth="1" min="3" max="3" width="32.0"/>
    <col customWidth="1" min="4" max="4" width="6.63"/>
    <col customWidth="1" min="5" max="5" width="17.25"/>
    <col customWidth="1" min="6" max="6" width="9.63"/>
    <col customWidth="1" min="7" max="7" width="17.25"/>
    <col customWidth="1" min="8" max="8" width="17.38"/>
    <col customWidth="1" min="9" max="9" width="21.38"/>
    <col customWidth="1" min="10" max="10" width="15.25"/>
    <col customWidth="1" min="11" max="11" width="6.75"/>
    <col customWidth="1" min="12" max="12" width="9.25"/>
    <col customWidth="1" min="13" max="13" width="6.63"/>
    <col customWidth="1" min="14" max="14" width="11.25"/>
    <col customWidth="1" min="15" max="15" width="16.88"/>
  </cols>
  <sheetData>
    <row r="1">
      <c r="A1" s="2" t="s">
        <v>1</v>
      </c>
      <c r="B1" s="3" t="s">
        <v>2</v>
      </c>
      <c r="C1" s="4" t="s">
        <v>3</v>
      </c>
      <c r="D1" s="4" t="s">
        <v>8</v>
      </c>
      <c r="E1" s="4" t="s">
        <v>4</v>
      </c>
      <c r="F1" s="4" t="s">
        <v>11</v>
      </c>
      <c r="G1" s="4" t="s">
        <v>7</v>
      </c>
      <c r="H1" s="4" t="s">
        <v>9</v>
      </c>
      <c r="I1" s="4" t="s">
        <v>10</v>
      </c>
      <c r="J1" s="4" t="s">
        <v>12</v>
      </c>
      <c r="K1" s="4" t="s">
        <v>13</v>
      </c>
      <c r="L1" s="4" t="s">
        <v>14</v>
      </c>
      <c r="M1" s="4" t="s">
        <v>15</v>
      </c>
      <c r="N1" s="6" t="s">
        <v>16</v>
      </c>
      <c r="O1" s="6" t="s">
        <v>17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>
        <v>1.0</v>
      </c>
      <c r="B2" s="11">
        <v>44781.0</v>
      </c>
      <c r="C2" s="12" t="s">
        <v>19</v>
      </c>
      <c r="D2" s="10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0">
        <v>2021.0</v>
      </c>
      <c r="L2" s="12" t="s">
        <v>27</v>
      </c>
      <c r="M2" s="10">
        <v>256.0</v>
      </c>
      <c r="N2" s="12" t="s">
        <v>29</v>
      </c>
      <c r="O2" s="14" t="s">
        <v>30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>
        <v>2.0</v>
      </c>
      <c r="B3" s="11">
        <v>44781.0</v>
      </c>
      <c r="C3" s="12" t="s">
        <v>32</v>
      </c>
      <c r="D3" s="10" t="s">
        <v>20</v>
      </c>
      <c r="E3" s="12" t="s">
        <v>21</v>
      </c>
      <c r="F3" s="12" t="s">
        <v>22</v>
      </c>
      <c r="G3" s="12" t="s">
        <v>33</v>
      </c>
      <c r="H3" s="12" t="s">
        <v>34</v>
      </c>
      <c r="I3" s="12" t="s">
        <v>25</v>
      </c>
      <c r="J3" s="12" t="s">
        <v>35</v>
      </c>
      <c r="K3" s="10">
        <v>2021.0</v>
      </c>
      <c r="L3" s="12" t="s">
        <v>36</v>
      </c>
      <c r="M3" s="10">
        <v>256.0</v>
      </c>
      <c r="N3" s="12" t="s">
        <v>29</v>
      </c>
      <c r="O3" s="14" t="s">
        <v>37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3.0</v>
      </c>
      <c r="B4" s="11">
        <v>44781.0</v>
      </c>
      <c r="C4" s="12" t="s">
        <v>39</v>
      </c>
      <c r="D4" s="10" t="s">
        <v>20</v>
      </c>
      <c r="E4" s="12" t="s">
        <v>21</v>
      </c>
      <c r="F4" s="12" t="s">
        <v>22</v>
      </c>
      <c r="G4" s="12" t="s">
        <v>40</v>
      </c>
      <c r="H4" s="12" t="s">
        <v>41</v>
      </c>
      <c r="I4" s="12" t="s">
        <v>25</v>
      </c>
      <c r="J4" s="12" t="s">
        <v>42</v>
      </c>
      <c r="K4" s="10">
        <v>2021.0</v>
      </c>
      <c r="L4" s="12" t="s">
        <v>43</v>
      </c>
      <c r="M4" s="10">
        <v>256.0</v>
      </c>
      <c r="N4" s="12" t="s">
        <v>29</v>
      </c>
      <c r="O4" s="14" t="s">
        <v>44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>
        <v>4.0</v>
      </c>
      <c r="B5" s="11">
        <v>44781.0</v>
      </c>
      <c r="C5" s="12" t="s">
        <v>45</v>
      </c>
      <c r="D5" s="10" t="s">
        <v>20</v>
      </c>
      <c r="E5" s="12" t="s">
        <v>21</v>
      </c>
      <c r="F5" s="12" t="s">
        <v>22</v>
      </c>
      <c r="G5" s="12" t="s">
        <v>46</v>
      </c>
      <c r="H5" s="12" t="s">
        <v>47</v>
      </c>
      <c r="I5" s="12" t="s">
        <v>25</v>
      </c>
      <c r="J5" s="12" t="s">
        <v>48</v>
      </c>
      <c r="K5" s="10">
        <v>2021.0</v>
      </c>
      <c r="L5" s="12" t="s">
        <v>49</v>
      </c>
      <c r="M5" s="10">
        <v>256.0</v>
      </c>
      <c r="N5" s="12" t="s">
        <v>29</v>
      </c>
      <c r="O5" s="14" t="s">
        <v>50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5.0</v>
      </c>
      <c r="B6" s="11">
        <v>44781.0</v>
      </c>
      <c r="C6" s="12" t="s">
        <v>56</v>
      </c>
      <c r="D6" s="10" t="s">
        <v>20</v>
      </c>
      <c r="E6" s="12" t="s">
        <v>21</v>
      </c>
      <c r="F6" s="12" t="s">
        <v>22</v>
      </c>
      <c r="G6" s="12" t="s">
        <v>58</v>
      </c>
      <c r="H6" s="12" t="s">
        <v>59</v>
      </c>
      <c r="I6" s="12" t="s">
        <v>25</v>
      </c>
      <c r="J6" s="12" t="s">
        <v>60</v>
      </c>
      <c r="K6" s="10">
        <v>2021.0</v>
      </c>
      <c r="L6" s="12" t="s">
        <v>61</v>
      </c>
      <c r="M6" s="10">
        <v>194.0</v>
      </c>
      <c r="N6" s="12" t="s">
        <v>62</v>
      </c>
      <c r="O6" s="14" t="s">
        <v>63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>
        <v>6.0</v>
      </c>
      <c r="B7" s="11">
        <v>44789.0</v>
      </c>
      <c r="C7" s="12" t="s">
        <v>72</v>
      </c>
      <c r="D7" s="10" t="s">
        <v>20</v>
      </c>
      <c r="E7" s="12" t="s">
        <v>21</v>
      </c>
      <c r="F7" s="12" t="s">
        <v>22</v>
      </c>
      <c r="G7" s="12" t="s">
        <v>73</v>
      </c>
      <c r="H7" s="12" t="s">
        <v>74</v>
      </c>
      <c r="I7" s="12" t="s">
        <v>25</v>
      </c>
      <c r="J7" s="12" t="s">
        <v>75</v>
      </c>
      <c r="K7" s="10">
        <v>2021.0</v>
      </c>
      <c r="L7" s="12" t="s">
        <v>76</v>
      </c>
      <c r="M7" s="10">
        <v>256.0</v>
      </c>
      <c r="N7" s="12" t="s">
        <v>29</v>
      </c>
      <c r="O7" s="14" t="s">
        <v>77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>
        <v>7.0</v>
      </c>
      <c r="B8" s="11">
        <v>44789.0</v>
      </c>
      <c r="C8" s="12" t="s">
        <v>78</v>
      </c>
      <c r="D8" s="10" t="s">
        <v>20</v>
      </c>
      <c r="E8" s="12" t="s">
        <v>21</v>
      </c>
      <c r="F8" s="12" t="s">
        <v>22</v>
      </c>
      <c r="G8" s="12" t="s">
        <v>79</v>
      </c>
      <c r="H8" s="12" t="s">
        <v>80</v>
      </c>
      <c r="I8" s="12" t="s">
        <v>25</v>
      </c>
      <c r="J8" s="12" t="s">
        <v>81</v>
      </c>
      <c r="K8" s="10">
        <v>2022.0</v>
      </c>
      <c r="L8" s="12" t="s">
        <v>49</v>
      </c>
      <c r="M8" s="10">
        <v>256.0</v>
      </c>
      <c r="N8" s="12" t="s">
        <v>29</v>
      </c>
      <c r="O8" s="14" t="s">
        <v>82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8.0</v>
      </c>
      <c r="B9" s="11">
        <v>44795.0</v>
      </c>
      <c r="C9" s="12" t="s">
        <v>90</v>
      </c>
      <c r="D9" s="10" t="s">
        <v>20</v>
      </c>
      <c r="E9" s="12" t="s">
        <v>21</v>
      </c>
      <c r="F9" s="12" t="s">
        <v>22</v>
      </c>
      <c r="G9" s="12" t="s">
        <v>91</v>
      </c>
      <c r="H9" s="12" t="s">
        <v>92</v>
      </c>
      <c r="I9" s="12" t="s">
        <v>25</v>
      </c>
      <c r="J9" s="12" t="s">
        <v>93</v>
      </c>
      <c r="K9" s="10">
        <v>2021.0</v>
      </c>
      <c r="L9" s="12" t="s">
        <v>94</v>
      </c>
      <c r="M9" s="10">
        <v>256.0</v>
      </c>
      <c r="N9" s="12" t="s">
        <v>29</v>
      </c>
      <c r="O9" s="14" t="s">
        <v>95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>
        <v>9.0</v>
      </c>
      <c r="B10" s="11">
        <v>44795.0</v>
      </c>
      <c r="C10" s="12" t="s">
        <v>56</v>
      </c>
      <c r="D10" s="10" t="s">
        <v>20</v>
      </c>
      <c r="E10" s="12" t="s">
        <v>21</v>
      </c>
      <c r="F10" s="12" t="s">
        <v>22</v>
      </c>
      <c r="G10" s="12" t="s">
        <v>58</v>
      </c>
      <c r="H10" s="12" t="s">
        <v>59</v>
      </c>
      <c r="I10" s="12" t="s">
        <v>25</v>
      </c>
      <c r="J10" s="12" t="s">
        <v>60</v>
      </c>
      <c r="K10" s="10">
        <v>2021.0</v>
      </c>
      <c r="L10" s="12" t="s">
        <v>61</v>
      </c>
      <c r="M10" s="10">
        <v>62.0</v>
      </c>
      <c r="N10" s="12" t="s">
        <v>109</v>
      </c>
      <c r="O10" s="14" t="s">
        <v>63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>
        <v>10.0</v>
      </c>
      <c r="B11" s="11">
        <v>45069.0</v>
      </c>
      <c r="C11" s="12" t="s">
        <v>111</v>
      </c>
      <c r="D11" s="10" t="s">
        <v>112</v>
      </c>
      <c r="E11" s="12" t="s">
        <v>21</v>
      </c>
      <c r="F11" s="12" t="s">
        <v>22</v>
      </c>
      <c r="G11" s="12" t="s">
        <v>40</v>
      </c>
      <c r="H11" s="12" t="s">
        <v>113</v>
      </c>
      <c r="I11" s="12" t="s">
        <v>25</v>
      </c>
      <c r="J11" s="12" t="s">
        <v>42</v>
      </c>
      <c r="K11" s="10">
        <v>2021.0</v>
      </c>
      <c r="L11" s="12" t="s">
        <v>115</v>
      </c>
      <c r="M11" s="10">
        <v>252.0</v>
      </c>
      <c r="N11" s="12" t="s">
        <v>116</v>
      </c>
      <c r="O11" s="14" t="s">
        <v>117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>
        <v>11.0</v>
      </c>
      <c r="B12" s="11">
        <v>45069.0</v>
      </c>
      <c r="C12" s="12" t="s">
        <v>130</v>
      </c>
      <c r="D12" s="10" t="s">
        <v>112</v>
      </c>
      <c r="E12" s="12" t="s">
        <v>21</v>
      </c>
      <c r="F12" s="12" t="s">
        <v>22</v>
      </c>
      <c r="G12" s="12" t="s">
        <v>131</v>
      </c>
      <c r="H12" s="12" t="s">
        <v>74</v>
      </c>
      <c r="I12" s="12" t="s">
        <v>25</v>
      </c>
      <c r="J12" s="12" t="s">
        <v>132</v>
      </c>
      <c r="K12" s="10">
        <v>2021.0</v>
      </c>
      <c r="L12" s="12" t="s">
        <v>133</v>
      </c>
      <c r="M12" s="10">
        <v>252.0</v>
      </c>
      <c r="N12" s="12" t="s">
        <v>116</v>
      </c>
      <c r="O12" s="14" t="s">
        <v>134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>
        <v>12.0</v>
      </c>
      <c r="B13" s="11">
        <v>45069.0</v>
      </c>
      <c r="C13" s="12" t="s">
        <v>148</v>
      </c>
      <c r="D13" s="10" t="s">
        <v>112</v>
      </c>
      <c r="E13" s="12" t="s">
        <v>21</v>
      </c>
      <c r="F13" s="12" t="s">
        <v>22</v>
      </c>
      <c r="G13" s="12" t="s">
        <v>150</v>
      </c>
      <c r="H13" s="12" t="s">
        <v>151</v>
      </c>
      <c r="I13" s="12" t="s">
        <v>25</v>
      </c>
      <c r="J13" s="12" t="s">
        <v>93</v>
      </c>
      <c r="K13" s="10">
        <v>2021.0</v>
      </c>
      <c r="L13" s="12" t="s">
        <v>152</v>
      </c>
      <c r="M13" s="10">
        <v>252.0</v>
      </c>
      <c r="N13" s="12" t="s">
        <v>116</v>
      </c>
      <c r="O13" s="14" t="s">
        <v>153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>
        <v>13.0</v>
      </c>
      <c r="B14" s="11">
        <v>45069.0</v>
      </c>
      <c r="C14" s="12" t="s">
        <v>161</v>
      </c>
      <c r="D14" s="10" t="s">
        <v>112</v>
      </c>
      <c r="E14" s="12" t="s">
        <v>21</v>
      </c>
      <c r="F14" s="12" t="s">
        <v>22</v>
      </c>
      <c r="G14" s="12" t="s">
        <v>162</v>
      </c>
      <c r="H14" s="12" t="s">
        <v>164</v>
      </c>
      <c r="I14" s="12" t="s">
        <v>25</v>
      </c>
      <c r="J14" s="12" t="s">
        <v>81</v>
      </c>
      <c r="K14" s="10">
        <v>2022.0</v>
      </c>
      <c r="L14" s="12" t="s">
        <v>165</v>
      </c>
      <c r="M14" s="10">
        <v>252.0</v>
      </c>
      <c r="N14" s="12" t="s">
        <v>116</v>
      </c>
      <c r="O14" s="14" t="s">
        <v>167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>
        <v>14.0</v>
      </c>
      <c r="B15" s="11">
        <v>45069.0</v>
      </c>
      <c r="C15" s="12" t="s">
        <v>181</v>
      </c>
      <c r="D15" s="10" t="s">
        <v>112</v>
      </c>
      <c r="E15" s="12" t="s">
        <v>21</v>
      </c>
      <c r="F15" s="12" t="s">
        <v>22</v>
      </c>
      <c r="G15" s="12" t="s">
        <v>183</v>
      </c>
      <c r="H15" s="12" t="s">
        <v>183</v>
      </c>
      <c r="I15" s="12" t="s">
        <v>184</v>
      </c>
      <c r="J15" s="22"/>
      <c r="K15" s="10">
        <v>2022.0</v>
      </c>
      <c r="L15" s="12" t="s">
        <v>185</v>
      </c>
      <c r="M15" s="10">
        <v>252.0</v>
      </c>
      <c r="N15" s="12" t="s">
        <v>116</v>
      </c>
      <c r="O15" s="14" t="s">
        <v>187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>
        <v>15.0</v>
      </c>
      <c r="B16" s="11">
        <v>45069.0</v>
      </c>
      <c r="C16" s="12" t="s">
        <v>196</v>
      </c>
      <c r="D16" s="10" t="s">
        <v>112</v>
      </c>
      <c r="E16" s="12" t="s">
        <v>21</v>
      </c>
      <c r="F16" s="12" t="s">
        <v>22</v>
      </c>
      <c r="G16" s="12" t="s">
        <v>183</v>
      </c>
      <c r="H16" s="12" t="s">
        <v>183</v>
      </c>
      <c r="I16" s="12" t="s">
        <v>184</v>
      </c>
      <c r="J16" s="12" t="s">
        <v>199</v>
      </c>
      <c r="K16" s="10">
        <v>2022.0</v>
      </c>
      <c r="L16" s="12" t="s">
        <v>201</v>
      </c>
      <c r="M16" s="10">
        <v>138.0</v>
      </c>
      <c r="N16" s="12" t="s">
        <v>202</v>
      </c>
      <c r="O16" s="14" t="s">
        <v>203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>
        <v>16.0</v>
      </c>
      <c r="B17" s="11">
        <v>45069.0</v>
      </c>
      <c r="C17" s="12" t="s">
        <v>211</v>
      </c>
      <c r="D17" s="10" t="s">
        <v>112</v>
      </c>
      <c r="E17" s="12" t="s">
        <v>214</v>
      </c>
      <c r="F17" s="12" t="s">
        <v>22</v>
      </c>
      <c r="G17" s="22"/>
      <c r="H17" s="22"/>
      <c r="I17" s="12" t="s">
        <v>25</v>
      </c>
      <c r="J17" s="22"/>
      <c r="K17" s="31"/>
      <c r="L17" s="22"/>
      <c r="M17" s="10">
        <v>2.0</v>
      </c>
      <c r="N17" s="12" t="s">
        <v>222</v>
      </c>
      <c r="O17" s="14" t="s">
        <v>224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>
        <v>17.0</v>
      </c>
      <c r="B18" s="11">
        <v>45069.0</v>
      </c>
      <c r="C18" s="12" t="s">
        <v>238</v>
      </c>
      <c r="D18" s="10" t="s">
        <v>112</v>
      </c>
      <c r="E18" s="12" t="s">
        <v>214</v>
      </c>
      <c r="F18" s="12" t="s">
        <v>22</v>
      </c>
      <c r="G18" s="12" t="s">
        <v>241</v>
      </c>
      <c r="H18" s="12" t="s">
        <v>242</v>
      </c>
      <c r="I18" s="12" t="s">
        <v>25</v>
      </c>
      <c r="J18" s="12" t="s">
        <v>244</v>
      </c>
      <c r="K18" s="10">
        <v>2021.0</v>
      </c>
      <c r="L18" s="12" t="s">
        <v>247</v>
      </c>
      <c r="M18" s="10">
        <v>2.0</v>
      </c>
      <c r="N18" s="12" t="s">
        <v>222</v>
      </c>
      <c r="O18" s="14" t="s">
        <v>248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>
        <v>18.0</v>
      </c>
      <c r="B19" s="11">
        <v>45069.0</v>
      </c>
      <c r="C19" s="12" t="s">
        <v>252</v>
      </c>
      <c r="D19" s="10" t="s">
        <v>112</v>
      </c>
      <c r="E19" s="12" t="s">
        <v>214</v>
      </c>
      <c r="F19" s="12" t="s">
        <v>22</v>
      </c>
      <c r="G19" s="12" t="s">
        <v>40</v>
      </c>
      <c r="H19" s="12" t="s">
        <v>113</v>
      </c>
      <c r="I19" s="12" t="s">
        <v>25</v>
      </c>
      <c r="J19" s="12" t="s">
        <v>254</v>
      </c>
      <c r="K19" s="10">
        <v>2021.0</v>
      </c>
      <c r="L19" s="12" t="s">
        <v>115</v>
      </c>
      <c r="M19" s="10">
        <v>2.0</v>
      </c>
      <c r="N19" s="12" t="s">
        <v>222</v>
      </c>
      <c r="O19" s="14" t="s">
        <v>257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>
        <v>19.0</v>
      </c>
      <c r="B20" s="11">
        <v>45069.0</v>
      </c>
      <c r="C20" s="12" t="s">
        <v>265</v>
      </c>
      <c r="D20" s="10" t="s">
        <v>112</v>
      </c>
      <c r="E20" s="12" t="s">
        <v>214</v>
      </c>
      <c r="F20" s="12" t="s">
        <v>22</v>
      </c>
      <c r="G20" s="12" t="s">
        <v>266</v>
      </c>
      <c r="H20" s="12" t="s">
        <v>267</v>
      </c>
      <c r="I20" s="12" t="s">
        <v>25</v>
      </c>
      <c r="J20" s="12" t="s">
        <v>270</v>
      </c>
      <c r="K20" s="10">
        <v>2021.0</v>
      </c>
      <c r="L20" s="12" t="s">
        <v>272</v>
      </c>
      <c r="M20" s="10">
        <v>2.0</v>
      </c>
      <c r="N20" s="12" t="s">
        <v>222</v>
      </c>
      <c r="O20" s="14" t="s">
        <v>274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>
        <v>20.0</v>
      </c>
      <c r="B21" s="11">
        <v>45069.0</v>
      </c>
      <c r="C21" s="12" t="s">
        <v>281</v>
      </c>
      <c r="D21" s="10" t="s">
        <v>112</v>
      </c>
      <c r="E21" s="12" t="s">
        <v>214</v>
      </c>
      <c r="F21" s="12" t="s">
        <v>22</v>
      </c>
      <c r="G21" s="12" t="s">
        <v>131</v>
      </c>
      <c r="H21" s="12" t="s">
        <v>282</v>
      </c>
      <c r="I21" s="12" t="s">
        <v>25</v>
      </c>
      <c r="J21" s="12" t="s">
        <v>283</v>
      </c>
      <c r="K21" s="10">
        <v>2021.0</v>
      </c>
      <c r="L21" s="12" t="s">
        <v>284</v>
      </c>
      <c r="M21" s="10">
        <v>2.0</v>
      </c>
      <c r="N21" s="12" t="s">
        <v>285</v>
      </c>
      <c r="O21" s="14" t="s">
        <v>286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>
        <v>21.0</v>
      </c>
      <c r="B22" s="11">
        <v>45069.0</v>
      </c>
      <c r="C22" s="12" t="s">
        <v>295</v>
      </c>
      <c r="D22" s="10" t="s">
        <v>112</v>
      </c>
      <c r="E22" s="12" t="s">
        <v>214</v>
      </c>
      <c r="F22" s="12" t="s">
        <v>22</v>
      </c>
      <c r="G22" s="12" t="s">
        <v>296</v>
      </c>
      <c r="H22" s="12" t="s">
        <v>297</v>
      </c>
      <c r="I22" s="12" t="s">
        <v>25</v>
      </c>
      <c r="J22" s="12" t="s">
        <v>298</v>
      </c>
      <c r="K22" s="10">
        <v>2021.0</v>
      </c>
      <c r="L22" s="12" t="s">
        <v>299</v>
      </c>
      <c r="M22" s="10">
        <v>2.0</v>
      </c>
      <c r="N22" s="12" t="s">
        <v>222</v>
      </c>
      <c r="O22" s="14" t="s">
        <v>300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>
        <v>22.0</v>
      </c>
      <c r="B23" s="11">
        <v>45069.0</v>
      </c>
      <c r="C23" s="12" t="s">
        <v>311</v>
      </c>
      <c r="D23" s="10" t="s">
        <v>112</v>
      </c>
      <c r="E23" s="12" t="s">
        <v>214</v>
      </c>
      <c r="F23" s="12" t="s">
        <v>22</v>
      </c>
      <c r="G23" s="12" t="s">
        <v>312</v>
      </c>
      <c r="H23" s="12" t="s">
        <v>313</v>
      </c>
      <c r="I23" s="12" t="s">
        <v>25</v>
      </c>
      <c r="J23" s="12" t="s">
        <v>314</v>
      </c>
      <c r="K23" s="10">
        <v>2021.0</v>
      </c>
      <c r="L23" s="12" t="s">
        <v>315</v>
      </c>
      <c r="M23" s="10">
        <v>2.0</v>
      </c>
      <c r="N23" s="12" t="s">
        <v>222</v>
      </c>
      <c r="O23" s="14" t="s">
        <v>316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>
        <v>23.0</v>
      </c>
      <c r="B24" s="11">
        <v>45069.0</v>
      </c>
      <c r="C24" s="12" t="s">
        <v>322</v>
      </c>
      <c r="D24" s="10" t="s">
        <v>112</v>
      </c>
      <c r="E24" s="12" t="s">
        <v>214</v>
      </c>
      <c r="F24" s="12" t="s">
        <v>22</v>
      </c>
      <c r="G24" s="12" t="s">
        <v>323</v>
      </c>
      <c r="H24" s="12" t="s">
        <v>324</v>
      </c>
      <c r="I24" s="12" t="s">
        <v>25</v>
      </c>
      <c r="J24" s="12" t="s">
        <v>325</v>
      </c>
      <c r="K24" s="10">
        <v>2021.0</v>
      </c>
      <c r="L24" s="12" t="s">
        <v>326</v>
      </c>
      <c r="M24" s="10">
        <v>2.0</v>
      </c>
      <c r="N24" s="12" t="s">
        <v>222</v>
      </c>
      <c r="O24" s="14" t="s">
        <v>327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>
        <v>24.0</v>
      </c>
      <c r="B25" s="11">
        <v>45069.0</v>
      </c>
      <c r="C25" s="12" t="s">
        <v>335</v>
      </c>
      <c r="D25" s="10" t="s">
        <v>112</v>
      </c>
      <c r="E25" s="12" t="s">
        <v>214</v>
      </c>
      <c r="F25" s="12" t="s">
        <v>22</v>
      </c>
      <c r="G25" s="12" t="s">
        <v>336</v>
      </c>
      <c r="H25" s="12" t="s">
        <v>338</v>
      </c>
      <c r="I25" s="12" t="s">
        <v>25</v>
      </c>
      <c r="J25" s="12" t="s">
        <v>339</v>
      </c>
      <c r="K25" s="10">
        <v>2021.0</v>
      </c>
      <c r="L25" s="12" t="s">
        <v>341</v>
      </c>
      <c r="M25" s="10">
        <v>2.0</v>
      </c>
      <c r="N25" s="12" t="s">
        <v>222</v>
      </c>
      <c r="O25" s="14" t="s">
        <v>342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>
        <v>25.0</v>
      </c>
      <c r="B26" s="11">
        <v>45069.0</v>
      </c>
      <c r="C26" s="12" t="s">
        <v>351</v>
      </c>
      <c r="D26" s="10" t="s">
        <v>112</v>
      </c>
      <c r="E26" s="12" t="s">
        <v>214</v>
      </c>
      <c r="F26" s="12" t="s">
        <v>22</v>
      </c>
      <c r="G26" s="12" t="s">
        <v>150</v>
      </c>
      <c r="H26" s="12" t="s">
        <v>151</v>
      </c>
      <c r="I26" s="12" t="s">
        <v>25</v>
      </c>
      <c r="J26" s="12" t="s">
        <v>352</v>
      </c>
      <c r="K26" s="10">
        <v>2021.0</v>
      </c>
      <c r="L26" s="12" t="s">
        <v>353</v>
      </c>
      <c r="M26" s="10">
        <v>2.0</v>
      </c>
      <c r="N26" s="12" t="s">
        <v>222</v>
      </c>
      <c r="O26" s="14" t="s">
        <v>355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>
        <v>26.0</v>
      </c>
      <c r="B27" s="11">
        <v>45069.0</v>
      </c>
      <c r="C27" s="12" t="s">
        <v>365</v>
      </c>
      <c r="D27" s="10" t="s">
        <v>112</v>
      </c>
      <c r="E27" s="12" t="s">
        <v>214</v>
      </c>
      <c r="F27" s="12" t="s">
        <v>22</v>
      </c>
      <c r="G27" s="12" t="s">
        <v>79</v>
      </c>
      <c r="H27" s="12" t="s">
        <v>366</v>
      </c>
      <c r="I27" s="12" t="s">
        <v>25</v>
      </c>
      <c r="J27" s="12" t="s">
        <v>367</v>
      </c>
      <c r="K27" s="10">
        <v>2022.0</v>
      </c>
      <c r="L27" s="12" t="s">
        <v>368</v>
      </c>
      <c r="M27" s="10">
        <v>2.0</v>
      </c>
      <c r="N27" s="12" t="s">
        <v>222</v>
      </c>
      <c r="O27" s="14" t="s">
        <v>369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>
        <v>27.0</v>
      </c>
      <c r="B28" s="11">
        <v>45070.0</v>
      </c>
      <c r="C28" s="12" t="s">
        <v>379</v>
      </c>
      <c r="D28" s="10" t="s">
        <v>20</v>
      </c>
      <c r="E28" s="12" t="s">
        <v>380</v>
      </c>
      <c r="F28" s="12" t="s">
        <v>22</v>
      </c>
      <c r="G28" s="12" t="s">
        <v>381</v>
      </c>
      <c r="H28" s="22"/>
      <c r="I28" s="12" t="s">
        <v>382</v>
      </c>
      <c r="J28" s="12" t="s">
        <v>383</v>
      </c>
      <c r="K28" s="10">
        <v>2022.0</v>
      </c>
      <c r="L28" s="12" t="s">
        <v>384</v>
      </c>
      <c r="M28" s="10">
        <v>96.0</v>
      </c>
      <c r="N28" s="22"/>
      <c r="O28" s="14" t="s">
        <v>386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>
        <v>28.0</v>
      </c>
      <c r="B29" s="11">
        <v>45070.0</v>
      </c>
      <c r="C29" s="12" t="s">
        <v>393</v>
      </c>
      <c r="D29" s="10" t="s">
        <v>112</v>
      </c>
      <c r="E29" s="12" t="s">
        <v>380</v>
      </c>
      <c r="F29" s="12" t="s">
        <v>22</v>
      </c>
      <c r="G29" s="12" t="s">
        <v>381</v>
      </c>
      <c r="H29" s="22"/>
      <c r="I29" s="12" t="s">
        <v>382</v>
      </c>
      <c r="J29" s="12" t="s">
        <v>394</v>
      </c>
      <c r="K29" s="10">
        <v>2022.0</v>
      </c>
      <c r="L29" s="12" t="s">
        <v>384</v>
      </c>
      <c r="M29" s="10">
        <v>96.0</v>
      </c>
      <c r="N29" s="22"/>
      <c r="O29" s="14" t="s">
        <v>396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>
        <v>29.0</v>
      </c>
      <c r="B30" s="11">
        <v>45077.0</v>
      </c>
      <c r="C30" s="12" t="s">
        <v>408</v>
      </c>
      <c r="D30" s="10" t="s">
        <v>112</v>
      </c>
      <c r="E30" s="12" t="s">
        <v>21</v>
      </c>
      <c r="F30" s="12" t="s">
        <v>22</v>
      </c>
      <c r="G30" s="22" t="s">
        <v>410</v>
      </c>
      <c r="H30" s="12" t="s">
        <v>242</v>
      </c>
      <c r="I30" s="12" t="s">
        <v>25</v>
      </c>
      <c r="J30" s="12" t="s">
        <v>414</v>
      </c>
      <c r="K30" s="10">
        <v>2021.0</v>
      </c>
      <c r="L30" s="12" t="s">
        <v>417</v>
      </c>
      <c r="M30" s="10">
        <v>252.0</v>
      </c>
      <c r="N30" s="12" t="s">
        <v>116</v>
      </c>
      <c r="O30" s="14" t="s">
        <v>420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>
        <v>30.0</v>
      </c>
      <c r="B31" s="11">
        <v>45077.0</v>
      </c>
      <c r="C31" s="12" t="s">
        <v>422</v>
      </c>
      <c r="D31" s="10" t="s">
        <v>112</v>
      </c>
      <c r="E31" s="12" t="s">
        <v>21</v>
      </c>
      <c r="F31" s="12" t="s">
        <v>22</v>
      </c>
      <c r="G31" s="22" t="s">
        <v>424</v>
      </c>
      <c r="H31" s="12" t="s">
        <v>425</v>
      </c>
      <c r="I31" s="12" t="s">
        <v>25</v>
      </c>
      <c r="J31" s="12" t="s">
        <v>426</v>
      </c>
      <c r="K31" s="10">
        <v>2021.0</v>
      </c>
      <c r="L31" s="12" t="s">
        <v>429</v>
      </c>
      <c r="M31" s="10">
        <v>252.0</v>
      </c>
      <c r="N31" s="12" t="s">
        <v>116</v>
      </c>
      <c r="O31" s="14" t="s">
        <v>432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>
        <v>31.0</v>
      </c>
      <c r="B32" s="11">
        <v>45077.0</v>
      </c>
      <c r="C32" s="12" t="s">
        <v>439</v>
      </c>
      <c r="D32" s="10" t="s">
        <v>112</v>
      </c>
      <c r="E32" s="12" t="s">
        <v>21</v>
      </c>
      <c r="F32" s="12" t="s">
        <v>22</v>
      </c>
      <c r="G32" s="12" t="s">
        <v>440</v>
      </c>
      <c r="H32" s="12" t="s">
        <v>441</v>
      </c>
      <c r="I32" s="12" t="s">
        <v>25</v>
      </c>
      <c r="J32" s="12" t="s">
        <v>26</v>
      </c>
      <c r="K32" s="10">
        <v>2022.0</v>
      </c>
      <c r="L32" s="12" t="s">
        <v>443</v>
      </c>
      <c r="M32" s="10">
        <v>252.0</v>
      </c>
      <c r="N32" s="12" t="s">
        <v>116</v>
      </c>
      <c r="O32" s="14" t="s">
        <v>444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>
        <v>32.0</v>
      </c>
      <c r="B33" s="11">
        <v>45132.0</v>
      </c>
      <c r="C33" s="12" t="s">
        <v>39</v>
      </c>
      <c r="D33" s="10" t="s">
        <v>20</v>
      </c>
      <c r="E33" s="12" t="s">
        <v>21</v>
      </c>
      <c r="F33" s="12" t="s">
        <v>22</v>
      </c>
      <c r="G33" s="12" t="s">
        <v>40</v>
      </c>
      <c r="H33" s="12" t="s">
        <v>41</v>
      </c>
      <c r="I33" s="12" t="s">
        <v>25</v>
      </c>
      <c r="J33" s="12" t="s">
        <v>42</v>
      </c>
      <c r="K33" s="10">
        <v>2021.0</v>
      </c>
      <c r="L33" s="12" t="s">
        <v>43</v>
      </c>
      <c r="M33" s="10">
        <v>30.0</v>
      </c>
      <c r="N33" s="12" t="s">
        <v>459</v>
      </c>
      <c r="O33" s="14" t="s">
        <v>44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>
        <v>33.0</v>
      </c>
      <c r="B34" s="11">
        <v>45132.0</v>
      </c>
      <c r="C34" s="12" t="s">
        <v>32</v>
      </c>
      <c r="D34" s="10" t="s">
        <v>20</v>
      </c>
      <c r="E34" s="12" t="s">
        <v>21</v>
      </c>
      <c r="F34" s="12" t="s">
        <v>22</v>
      </c>
      <c r="G34" s="12" t="s">
        <v>33</v>
      </c>
      <c r="H34" s="12" t="s">
        <v>34</v>
      </c>
      <c r="I34" s="12" t="s">
        <v>25</v>
      </c>
      <c r="J34" s="12" t="s">
        <v>35</v>
      </c>
      <c r="K34" s="10">
        <v>2021.0</v>
      </c>
      <c r="L34" s="12" t="s">
        <v>36</v>
      </c>
      <c r="M34" s="10">
        <v>30.0</v>
      </c>
      <c r="N34" s="12" t="s">
        <v>459</v>
      </c>
      <c r="O34" s="14" t="s">
        <v>37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>
        <v>34.0</v>
      </c>
      <c r="B35" s="11">
        <v>45132.0</v>
      </c>
      <c r="C35" s="12" t="s">
        <v>78</v>
      </c>
      <c r="D35" s="10" t="s">
        <v>20</v>
      </c>
      <c r="E35" s="12" t="s">
        <v>21</v>
      </c>
      <c r="F35" s="12" t="s">
        <v>22</v>
      </c>
      <c r="G35" s="12" t="s">
        <v>79</v>
      </c>
      <c r="H35" s="12" t="s">
        <v>80</v>
      </c>
      <c r="I35" s="12" t="s">
        <v>25</v>
      </c>
      <c r="J35" s="12" t="s">
        <v>81</v>
      </c>
      <c r="K35" s="10">
        <v>2022.0</v>
      </c>
      <c r="L35" s="12" t="s">
        <v>49</v>
      </c>
      <c r="M35" s="10">
        <v>30.0</v>
      </c>
      <c r="N35" s="12" t="s">
        <v>459</v>
      </c>
      <c r="O35" s="14" t="s">
        <v>82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>
        <v>35.0</v>
      </c>
      <c r="B36" s="11">
        <v>45132.0</v>
      </c>
      <c r="C36" s="12" t="s">
        <v>45</v>
      </c>
      <c r="D36" s="10" t="s">
        <v>20</v>
      </c>
      <c r="E36" s="12" t="s">
        <v>21</v>
      </c>
      <c r="F36" s="12" t="s">
        <v>22</v>
      </c>
      <c r="G36" s="12" t="s">
        <v>46</v>
      </c>
      <c r="H36" s="12" t="s">
        <v>47</v>
      </c>
      <c r="I36" s="12" t="s">
        <v>25</v>
      </c>
      <c r="J36" s="12" t="s">
        <v>48</v>
      </c>
      <c r="K36" s="10">
        <v>2021.0</v>
      </c>
      <c r="L36" s="12" t="s">
        <v>49</v>
      </c>
      <c r="M36" s="10">
        <v>30.0</v>
      </c>
      <c r="N36" s="12" t="s">
        <v>459</v>
      </c>
      <c r="O36" s="14" t="s">
        <v>50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>
        <v>36.0</v>
      </c>
      <c r="B37" s="11">
        <v>45132.0</v>
      </c>
      <c r="C37" s="12" t="s">
        <v>19</v>
      </c>
      <c r="D37" s="10" t="s">
        <v>20</v>
      </c>
      <c r="E37" s="12" t="s">
        <v>21</v>
      </c>
      <c r="F37" s="12" t="s">
        <v>22</v>
      </c>
      <c r="G37" s="12" t="s">
        <v>23</v>
      </c>
      <c r="H37" s="12" t="s">
        <v>24</v>
      </c>
      <c r="I37" s="12" t="s">
        <v>25</v>
      </c>
      <c r="J37" s="12" t="s">
        <v>26</v>
      </c>
      <c r="K37" s="10">
        <v>2021.0</v>
      </c>
      <c r="L37" s="12" t="s">
        <v>27</v>
      </c>
      <c r="M37" s="10">
        <v>30.0</v>
      </c>
      <c r="N37" s="12" t="s">
        <v>459</v>
      </c>
      <c r="O37" s="37" t="s">
        <v>30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>
        <v>37.0</v>
      </c>
      <c r="B38" s="11">
        <v>45132.0</v>
      </c>
      <c r="C38" s="12" t="s">
        <v>72</v>
      </c>
      <c r="D38" s="10" t="s">
        <v>20</v>
      </c>
      <c r="E38" s="12" t="s">
        <v>21</v>
      </c>
      <c r="F38" s="12" t="s">
        <v>22</v>
      </c>
      <c r="G38" s="12" t="s">
        <v>73</v>
      </c>
      <c r="H38" s="12" t="s">
        <v>74</v>
      </c>
      <c r="I38" s="12" t="s">
        <v>25</v>
      </c>
      <c r="J38" s="12" t="s">
        <v>75</v>
      </c>
      <c r="K38" s="10">
        <v>2021.0</v>
      </c>
      <c r="L38" s="12" t="s">
        <v>76</v>
      </c>
      <c r="M38" s="10">
        <v>30.0</v>
      </c>
      <c r="N38" s="12" t="s">
        <v>459</v>
      </c>
      <c r="O38" s="14" t="s">
        <v>77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>
        <v>38.0</v>
      </c>
      <c r="B39" s="11">
        <v>45132.0</v>
      </c>
      <c r="C39" s="12" t="s">
        <v>90</v>
      </c>
      <c r="D39" s="10" t="s">
        <v>20</v>
      </c>
      <c r="E39" s="12" t="s">
        <v>21</v>
      </c>
      <c r="F39" s="12" t="s">
        <v>22</v>
      </c>
      <c r="G39" s="12" t="s">
        <v>91</v>
      </c>
      <c r="H39" s="12" t="s">
        <v>92</v>
      </c>
      <c r="I39" s="12" t="s">
        <v>25</v>
      </c>
      <c r="J39" s="12" t="s">
        <v>93</v>
      </c>
      <c r="K39" s="10">
        <v>2021.0</v>
      </c>
      <c r="L39" s="12" t="s">
        <v>94</v>
      </c>
      <c r="M39" s="10">
        <v>30.0</v>
      </c>
      <c r="N39" s="12" t="s">
        <v>459</v>
      </c>
      <c r="O39" s="14" t="s">
        <v>95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>
        <v>39.0</v>
      </c>
      <c r="B40" s="11">
        <v>45135.0</v>
      </c>
      <c r="C40" s="12" t="s">
        <v>56</v>
      </c>
      <c r="D40" s="10" t="s">
        <v>20</v>
      </c>
      <c r="E40" s="12" t="s">
        <v>21</v>
      </c>
      <c r="F40" s="12" t="s">
        <v>22</v>
      </c>
      <c r="G40" s="12" t="s">
        <v>58</v>
      </c>
      <c r="H40" s="12" t="s">
        <v>59</v>
      </c>
      <c r="I40" s="12" t="s">
        <v>25</v>
      </c>
      <c r="J40" s="12" t="s">
        <v>60</v>
      </c>
      <c r="K40" s="10">
        <v>2021.0</v>
      </c>
      <c r="L40" s="12" t="s">
        <v>61</v>
      </c>
      <c r="M40" s="10">
        <v>2.0</v>
      </c>
      <c r="N40" s="12" t="s">
        <v>511</v>
      </c>
      <c r="O40" s="14" t="s">
        <v>63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>
        <v>40.0</v>
      </c>
      <c r="B41" s="11">
        <v>45135.0</v>
      </c>
      <c r="C41" s="12" t="s">
        <v>78</v>
      </c>
      <c r="D41" s="10" t="s">
        <v>20</v>
      </c>
      <c r="E41" s="12" t="s">
        <v>21</v>
      </c>
      <c r="F41" s="12" t="s">
        <v>22</v>
      </c>
      <c r="G41" s="12" t="s">
        <v>79</v>
      </c>
      <c r="H41" s="12" t="s">
        <v>80</v>
      </c>
      <c r="I41" s="12" t="s">
        <v>25</v>
      </c>
      <c r="J41" s="12" t="s">
        <v>81</v>
      </c>
      <c r="K41" s="10">
        <v>2022.0</v>
      </c>
      <c r="L41" s="12" t="s">
        <v>49</v>
      </c>
      <c r="M41" s="10">
        <v>2.0</v>
      </c>
      <c r="N41" s="12" t="s">
        <v>512</v>
      </c>
      <c r="O41" s="14" t="s">
        <v>82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>
        <v>41.0</v>
      </c>
      <c r="B42" s="11">
        <v>45135.0</v>
      </c>
      <c r="C42" s="12" t="s">
        <v>72</v>
      </c>
      <c r="D42" s="10" t="s">
        <v>20</v>
      </c>
      <c r="E42" s="12" t="s">
        <v>21</v>
      </c>
      <c r="F42" s="12" t="s">
        <v>22</v>
      </c>
      <c r="G42" s="12" t="s">
        <v>73</v>
      </c>
      <c r="H42" s="12" t="s">
        <v>74</v>
      </c>
      <c r="I42" s="12" t="s">
        <v>25</v>
      </c>
      <c r="J42" s="12" t="s">
        <v>75</v>
      </c>
      <c r="K42" s="10">
        <v>2021.0</v>
      </c>
      <c r="L42" s="12" t="s">
        <v>76</v>
      </c>
      <c r="M42" s="10">
        <v>2.0</v>
      </c>
      <c r="N42" s="12" t="s">
        <v>512</v>
      </c>
      <c r="O42" s="14" t="s">
        <v>77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>
        <v>42.0</v>
      </c>
      <c r="B43" s="11">
        <v>45135.0</v>
      </c>
      <c r="C43" s="12" t="s">
        <v>32</v>
      </c>
      <c r="D43" s="10" t="s">
        <v>20</v>
      </c>
      <c r="E43" s="12" t="s">
        <v>21</v>
      </c>
      <c r="F43" s="12" t="s">
        <v>22</v>
      </c>
      <c r="G43" s="12" t="s">
        <v>33</v>
      </c>
      <c r="H43" s="12" t="s">
        <v>34</v>
      </c>
      <c r="I43" s="12" t="s">
        <v>25</v>
      </c>
      <c r="J43" s="12" t="s">
        <v>35</v>
      </c>
      <c r="K43" s="10">
        <v>2021.0</v>
      </c>
      <c r="L43" s="12" t="s">
        <v>36</v>
      </c>
      <c r="M43" s="10">
        <v>2.0</v>
      </c>
      <c r="N43" s="12" t="s">
        <v>512</v>
      </c>
      <c r="O43" s="14" t="s">
        <v>37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>
        <v>43.0</v>
      </c>
      <c r="B44" s="11">
        <v>45135.0</v>
      </c>
      <c r="C44" s="12" t="s">
        <v>90</v>
      </c>
      <c r="D44" s="10" t="s">
        <v>20</v>
      </c>
      <c r="E44" s="12" t="s">
        <v>21</v>
      </c>
      <c r="F44" s="12" t="s">
        <v>22</v>
      </c>
      <c r="G44" s="12" t="s">
        <v>91</v>
      </c>
      <c r="H44" s="12" t="s">
        <v>92</v>
      </c>
      <c r="I44" s="12" t="s">
        <v>25</v>
      </c>
      <c r="J44" s="12" t="s">
        <v>93</v>
      </c>
      <c r="K44" s="10">
        <v>2021.0</v>
      </c>
      <c r="L44" s="12" t="s">
        <v>94</v>
      </c>
      <c r="M44" s="10">
        <v>2.0</v>
      </c>
      <c r="N44" s="12" t="s">
        <v>512</v>
      </c>
      <c r="O44" s="14" t="s">
        <v>95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>
        <v>44.0</v>
      </c>
      <c r="B45" s="11">
        <v>45135.0</v>
      </c>
      <c r="C45" s="12" t="s">
        <v>19</v>
      </c>
      <c r="D45" s="10" t="s">
        <v>20</v>
      </c>
      <c r="E45" s="12" t="s">
        <v>21</v>
      </c>
      <c r="F45" s="12" t="s">
        <v>22</v>
      </c>
      <c r="G45" s="12" t="s">
        <v>23</v>
      </c>
      <c r="H45" s="12" t="s">
        <v>24</v>
      </c>
      <c r="I45" s="12" t="s">
        <v>25</v>
      </c>
      <c r="J45" s="12" t="s">
        <v>26</v>
      </c>
      <c r="K45" s="10">
        <v>2021.0</v>
      </c>
      <c r="L45" s="12" t="s">
        <v>27</v>
      </c>
      <c r="M45" s="10">
        <v>2.0</v>
      </c>
      <c r="N45" s="12" t="s">
        <v>512</v>
      </c>
      <c r="O45" s="14" t="s">
        <v>30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>
        <v>45.0</v>
      </c>
      <c r="B46" s="11">
        <v>45135.0</v>
      </c>
      <c r="C46" s="12" t="s">
        <v>45</v>
      </c>
      <c r="D46" s="10" t="s">
        <v>20</v>
      </c>
      <c r="E46" s="12" t="s">
        <v>21</v>
      </c>
      <c r="F46" s="12" t="s">
        <v>22</v>
      </c>
      <c r="G46" s="12" t="s">
        <v>46</v>
      </c>
      <c r="H46" s="12" t="s">
        <v>47</v>
      </c>
      <c r="I46" s="12" t="s">
        <v>25</v>
      </c>
      <c r="J46" s="12" t="s">
        <v>48</v>
      </c>
      <c r="K46" s="10">
        <v>2021.0</v>
      </c>
      <c r="L46" s="12" t="s">
        <v>49</v>
      </c>
      <c r="M46" s="10">
        <v>2.0</v>
      </c>
      <c r="N46" s="12" t="s">
        <v>512</v>
      </c>
      <c r="O46" s="37" t="s">
        <v>50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>
        <v>46.0</v>
      </c>
      <c r="B47" s="11">
        <v>45135.0</v>
      </c>
      <c r="C47" s="12" t="s">
        <v>39</v>
      </c>
      <c r="D47" s="10" t="s">
        <v>20</v>
      </c>
      <c r="E47" s="12" t="s">
        <v>21</v>
      </c>
      <c r="F47" s="12" t="s">
        <v>22</v>
      </c>
      <c r="G47" s="12" t="s">
        <v>40</v>
      </c>
      <c r="H47" s="12" t="s">
        <v>41</v>
      </c>
      <c r="I47" s="12" t="s">
        <v>25</v>
      </c>
      <c r="J47" s="12" t="s">
        <v>42</v>
      </c>
      <c r="K47" s="10">
        <v>2021.0</v>
      </c>
      <c r="L47" s="12" t="s">
        <v>43</v>
      </c>
      <c r="M47" s="10">
        <v>2.0</v>
      </c>
      <c r="N47" s="12" t="s">
        <v>512</v>
      </c>
      <c r="O47" s="14" t="s">
        <v>44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>
        <v>47.0</v>
      </c>
      <c r="B48" s="11">
        <v>45149.0</v>
      </c>
      <c r="C48" s="12" t="s">
        <v>546</v>
      </c>
      <c r="D48" s="10" t="s">
        <v>20</v>
      </c>
      <c r="E48" s="12" t="s">
        <v>21</v>
      </c>
      <c r="F48" s="12" t="s">
        <v>22</v>
      </c>
      <c r="G48" s="12" t="s">
        <v>548</v>
      </c>
      <c r="H48" s="12" t="s">
        <v>549</v>
      </c>
      <c r="I48" s="12" t="s">
        <v>550</v>
      </c>
      <c r="J48" s="12" t="s">
        <v>551</v>
      </c>
      <c r="K48" s="10">
        <v>2023.0</v>
      </c>
      <c r="L48" s="12" t="s">
        <v>552</v>
      </c>
      <c r="M48" s="10">
        <v>288.0</v>
      </c>
      <c r="N48" s="12" t="s">
        <v>556</v>
      </c>
      <c r="O48" s="14" t="s">
        <v>557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>
        <v>48.0</v>
      </c>
      <c r="B49" s="11">
        <v>45149.0</v>
      </c>
      <c r="C49" s="12" t="s">
        <v>196</v>
      </c>
      <c r="D49" s="10" t="s">
        <v>112</v>
      </c>
      <c r="E49" s="12" t="s">
        <v>21</v>
      </c>
      <c r="F49" s="12" t="s">
        <v>22</v>
      </c>
      <c r="G49" s="12" t="s">
        <v>183</v>
      </c>
      <c r="H49" s="12" t="s">
        <v>183</v>
      </c>
      <c r="I49" s="12" t="s">
        <v>184</v>
      </c>
      <c r="J49" s="12" t="s">
        <v>199</v>
      </c>
      <c r="K49" s="10">
        <v>2022.0</v>
      </c>
      <c r="L49" s="12" t="s">
        <v>201</v>
      </c>
      <c r="M49" s="10">
        <v>115.0</v>
      </c>
      <c r="N49" s="12" t="s">
        <v>571</v>
      </c>
      <c r="O49" s="14" t="s">
        <v>203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>
        <v>49.0</v>
      </c>
      <c r="B50" s="11">
        <v>45156.0</v>
      </c>
      <c r="C50" s="12" t="s">
        <v>572</v>
      </c>
      <c r="D50" s="10" t="s">
        <v>20</v>
      </c>
      <c r="E50" s="12" t="s">
        <v>21</v>
      </c>
      <c r="F50" s="12" t="s">
        <v>22</v>
      </c>
      <c r="G50" s="12" t="s">
        <v>573</v>
      </c>
      <c r="H50" s="12" t="s">
        <v>549</v>
      </c>
      <c r="I50" s="12" t="s">
        <v>550</v>
      </c>
      <c r="J50" s="12" t="s">
        <v>574</v>
      </c>
      <c r="K50" s="10">
        <v>2023.0</v>
      </c>
      <c r="L50" s="12" t="s">
        <v>552</v>
      </c>
      <c r="M50" s="10">
        <v>288.0</v>
      </c>
      <c r="N50" s="12" t="s">
        <v>556</v>
      </c>
      <c r="O50" s="14" t="s">
        <v>576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>
        <v>50.0</v>
      </c>
      <c r="B51" s="11">
        <v>45166.0</v>
      </c>
      <c r="C51" s="12" t="s">
        <v>585</v>
      </c>
      <c r="D51" s="10" t="s">
        <v>20</v>
      </c>
      <c r="E51" s="12" t="s">
        <v>380</v>
      </c>
      <c r="F51" s="12" t="s">
        <v>22</v>
      </c>
      <c r="G51" s="12" t="s">
        <v>586</v>
      </c>
      <c r="H51" s="12" t="s">
        <v>587</v>
      </c>
      <c r="I51" s="12" t="s">
        <v>588</v>
      </c>
      <c r="J51" s="12" t="s">
        <v>589</v>
      </c>
      <c r="K51" s="10">
        <v>2022.0</v>
      </c>
      <c r="L51" s="12" t="s">
        <v>591</v>
      </c>
      <c r="M51" s="10">
        <v>20.0</v>
      </c>
      <c r="N51" s="22"/>
      <c r="O51" s="14" t="s">
        <v>594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>
        <v>51.0</v>
      </c>
      <c r="B52" s="11">
        <v>45166.0</v>
      </c>
      <c r="C52" s="12" t="s">
        <v>604</v>
      </c>
      <c r="D52" s="10" t="s">
        <v>20</v>
      </c>
      <c r="E52" s="12" t="s">
        <v>380</v>
      </c>
      <c r="F52" s="12" t="s">
        <v>22</v>
      </c>
      <c r="G52" s="12" t="s">
        <v>605</v>
      </c>
      <c r="H52" s="12" t="s">
        <v>606</v>
      </c>
      <c r="I52" s="12" t="s">
        <v>588</v>
      </c>
      <c r="J52" s="12" t="s">
        <v>607</v>
      </c>
      <c r="K52" s="10">
        <v>2021.0</v>
      </c>
      <c r="L52" s="12" t="s">
        <v>608</v>
      </c>
      <c r="M52" s="10">
        <v>20.0</v>
      </c>
      <c r="N52" s="22"/>
      <c r="O52" s="14" t="s">
        <v>609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>
        <v>52.0</v>
      </c>
      <c r="B53" s="11">
        <v>45166.0</v>
      </c>
      <c r="C53" s="12" t="s">
        <v>610</v>
      </c>
      <c r="D53" s="10" t="s">
        <v>20</v>
      </c>
      <c r="E53" s="12" t="s">
        <v>380</v>
      </c>
      <c r="F53" s="12" t="s">
        <v>22</v>
      </c>
      <c r="G53" s="12" t="s">
        <v>611</v>
      </c>
      <c r="H53" s="12" t="s">
        <v>613</v>
      </c>
      <c r="I53" s="12" t="s">
        <v>588</v>
      </c>
      <c r="J53" s="12" t="s">
        <v>614</v>
      </c>
      <c r="K53" s="10">
        <v>2021.0</v>
      </c>
      <c r="L53" s="12" t="s">
        <v>615</v>
      </c>
      <c r="M53" s="10">
        <v>20.0</v>
      </c>
      <c r="N53" s="22"/>
      <c r="O53" s="14" t="s">
        <v>618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>
        <v>53.0</v>
      </c>
      <c r="B54" s="11">
        <v>45166.0</v>
      </c>
      <c r="C54" s="12" t="s">
        <v>624</v>
      </c>
      <c r="D54" s="10" t="s">
        <v>20</v>
      </c>
      <c r="E54" s="12" t="s">
        <v>380</v>
      </c>
      <c r="F54" s="12" t="s">
        <v>22</v>
      </c>
      <c r="G54" s="12" t="s">
        <v>625</v>
      </c>
      <c r="H54" s="12" t="s">
        <v>626</v>
      </c>
      <c r="I54" s="12" t="s">
        <v>588</v>
      </c>
      <c r="J54" s="12" t="s">
        <v>627</v>
      </c>
      <c r="K54" s="10">
        <v>2021.0</v>
      </c>
      <c r="L54" s="12" t="s">
        <v>628</v>
      </c>
      <c r="M54" s="10">
        <v>20.0</v>
      </c>
      <c r="N54" s="22"/>
      <c r="O54" s="14" t="s">
        <v>629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>
        <v>54.0</v>
      </c>
      <c r="B55" s="11">
        <v>45166.0</v>
      </c>
      <c r="C55" s="12" t="s">
        <v>635</v>
      </c>
      <c r="D55" s="10" t="s">
        <v>20</v>
      </c>
      <c r="E55" s="12" t="s">
        <v>380</v>
      </c>
      <c r="F55" s="12" t="s">
        <v>22</v>
      </c>
      <c r="G55" s="12" t="s">
        <v>636</v>
      </c>
      <c r="H55" s="12" t="s">
        <v>637</v>
      </c>
      <c r="I55" s="12" t="s">
        <v>588</v>
      </c>
      <c r="J55" s="12" t="s">
        <v>638</v>
      </c>
      <c r="K55" s="10">
        <v>2021.0</v>
      </c>
      <c r="L55" s="12" t="s">
        <v>639</v>
      </c>
      <c r="M55" s="10">
        <v>20.0</v>
      </c>
      <c r="N55" s="22"/>
      <c r="O55" s="14" t="s">
        <v>641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>
        <v>55.0</v>
      </c>
      <c r="B56" s="11">
        <v>45166.0</v>
      </c>
      <c r="C56" s="12" t="s">
        <v>650</v>
      </c>
      <c r="D56" s="10" t="s">
        <v>20</v>
      </c>
      <c r="E56" s="12" t="s">
        <v>380</v>
      </c>
      <c r="F56" s="12" t="s">
        <v>22</v>
      </c>
      <c r="G56" s="12" t="s">
        <v>654</v>
      </c>
      <c r="H56" s="12" t="s">
        <v>656</v>
      </c>
      <c r="I56" s="12" t="s">
        <v>588</v>
      </c>
      <c r="J56" s="12" t="s">
        <v>657</v>
      </c>
      <c r="K56" s="10">
        <v>2022.0</v>
      </c>
      <c r="L56" s="12" t="s">
        <v>658</v>
      </c>
      <c r="M56" s="10">
        <v>20.0</v>
      </c>
      <c r="N56" s="22"/>
      <c r="O56" s="14" t="s">
        <v>660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>
        <v>56.0</v>
      </c>
      <c r="B57" s="11">
        <v>45166.0</v>
      </c>
      <c r="C57" s="12" t="s">
        <v>662</v>
      </c>
      <c r="D57" s="10" t="s">
        <v>20</v>
      </c>
      <c r="E57" s="12" t="s">
        <v>380</v>
      </c>
      <c r="F57" s="12" t="s">
        <v>22</v>
      </c>
      <c r="G57" s="12" t="s">
        <v>666</v>
      </c>
      <c r="H57" s="12" t="s">
        <v>668</v>
      </c>
      <c r="I57" s="12" t="s">
        <v>588</v>
      </c>
      <c r="J57" s="12" t="s">
        <v>669</v>
      </c>
      <c r="K57" s="10">
        <v>2022.0</v>
      </c>
      <c r="L57" s="12" t="s">
        <v>670</v>
      </c>
      <c r="M57" s="10">
        <v>20.0</v>
      </c>
      <c r="N57" s="22"/>
      <c r="O57" s="14" t="s">
        <v>671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>
        <v>57.0</v>
      </c>
      <c r="B58" s="11">
        <v>45166.0</v>
      </c>
      <c r="C58" s="12" t="s">
        <v>678</v>
      </c>
      <c r="D58" s="10" t="s">
        <v>20</v>
      </c>
      <c r="E58" s="12" t="s">
        <v>380</v>
      </c>
      <c r="F58" s="12" t="s">
        <v>22</v>
      </c>
      <c r="G58" s="12" t="s">
        <v>679</v>
      </c>
      <c r="H58" s="12" t="s">
        <v>680</v>
      </c>
      <c r="I58" s="12" t="s">
        <v>588</v>
      </c>
      <c r="J58" s="12" t="s">
        <v>681</v>
      </c>
      <c r="K58" s="10">
        <v>2021.0</v>
      </c>
      <c r="L58" s="12" t="s">
        <v>682</v>
      </c>
      <c r="M58" s="10">
        <v>20.0</v>
      </c>
      <c r="N58" s="22"/>
      <c r="O58" s="14" t="s">
        <v>683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>
        <v>58.0</v>
      </c>
      <c r="B59" s="11">
        <v>45166.0</v>
      </c>
      <c r="C59" s="12" t="s">
        <v>691</v>
      </c>
      <c r="D59" s="10" t="s">
        <v>20</v>
      </c>
      <c r="E59" s="12" t="s">
        <v>380</v>
      </c>
      <c r="F59" s="12" t="s">
        <v>22</v>
      </c>
      <c r="G59" s="12" t="s">
        <v>692</v>
      </c>
      <c r="H59" s="12" t="s">
        <v>693</v>
      </c>
      <c r="I59" s="12" t="s">
        <v>588</v>
      </c>
      <c r="J59" s="12" t="s">
        <v>694</v>
      </c>
      <c r="K59" s="10">
        <v>2021.0</v>
      </c>
      <c r="L59" s="12" t="s">
        <v>695</v>
      </c>
      <c r="M59" s="10">
        <v>20.0</v>
      </c>
      <c r="N59" s="22"/>
      <c r="O59" s="14" t="s">
        <v>697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>
        <v>59.0</v>
      </c>
      <c r="B60" s="11">
        <v>45169.0</v>
      </c>
      <c r="C60" s="12" t="s">
        <v>708</v>
      </c>
      <c r="D60" s="31"/>
      <c r="E60" s="12" t="s">
        <v>380</v>
      </c>
      <c r="F60" s="12" t="s">
        <v>22</v>
      </c>
      <c r="G60" s="12" t="s">
        <v>709</v>
      </c>
      <c r="H60" s="22"/>
      <c r="I60" s="12" t="s">
        <v>588</v>
      </c>
      <c r="J60" s="22"/>
      <c r="K60" s="10">
        <v>2020.0</v>
      </c>
      <c r="L60" s="22"/>
      <c r="M60" s="10">
        <v>1.0</v>
      </c>
      <c r="N60" s="22"/>
      <c r="O60" s="14" t="s">
        <v>710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>
        <v>60.0</v>
      </c>
      <c r="B61" s="11">
        <v>45169.0</v>
      </c>
      <c r="C61" s="12" t="s">
        <v>717</v>
      </c>
      <c r="D61" s="31"/>
      <c r="E61" s="12" t="s">
        <v>380</v>
      </c>
      <c r="F61" s="12" t="s">
        <v>22</v>
      </c>
      <c r="G61" s="12" t="s">
        <v>719</v>
      </c>
      <c r="H61" s="22"/>
      <c r="I61" s="12" t="s">
        <v>588</v>
      </c>
      <c r="J61" s="22"/>
      <c r="K61" s="10">
        <v>2021.0</v>
      </c>
      <c r="L61" s="22"/>
      <c r="M61" s="10">
        <v>8.0</v>
      </c>
      <c r="N61" s="22"/>
      <c r="O61" s="14" t="s">
        <v>721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>
        <v>61.0</v>
      </c>
      <c r="B62" s="11">
        <v>45169.0</v>
      </c>
      <c r="C62" s="12" t="s">
        <v>727</v>
      </c>
      <c r="D62" s="31"/>
      <c r="E62" s="12" t="s">
        <v>380</v>
      </c>
      <c r="F62" s="12" t="s">
        <v>22</v>
      </c>
      <c r="G62" s="12" t="s">
        <v>729</v>
      </c>
      <c r="H62" s="22"/>
      <c r="I62" s="12" t="s">
        <v>588</v>
      </c>
      <c r="J62" s="22"/>
      <c r="K62" s="10">
        <v>2021.0</v>
      </c>
      <c r="L62" s="22"/>
      <c r="M62" s="10">
        <v>8.0</v>
      </c>
      <c r="N62" s="22"/>
      <c r="O62" s="14" t="s">
        <v>730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>
        <v>62.0</v>
      </c>
      <c r="B63" s="11">
        <v>45169.0</v>
      </c>
      <c r="C63" s="12" t="s">
        <v>736</v>
      </c>
      <c r="D63" s="10" t="s">
        <v>20</v>
      </c>
      <c r="E63" s="12" t="s">
        <v>380</v>
      </c>
      <c r="F63" s="12" t="s">
        <v>22</v>
      </c>
      <c r="G63" s="12" t="s">
        <v>738</v>
      </c>
      <c r="H63" s="22"/>
      <c r="I63" s="12" t="s">
        <v>588</v>
      </c>
      <c r="J63" s="22"/>
      <c r="K63" s="10">
        <v>2023.0</v>
      </c>
      <c r="L63" s="22"/>
      <c r="M63" s="10">
        <v>7.0</v>
      </c>
      <c r="N63" s="22"/>
      <c r="O63" s="14" t="s">
        <v>739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>
        <v>63.0</v>
      </c>
      <c r="B64" s="11">
        <v>45169.0</v>
      </c>
      <c r="C64" s="12" t="s">
        <v>743</v>
      </c>
      <c r="D64" s="10" t="s">
        <v>112</v>
      </c>
      <c r="E64" s="12" t="s">
        <v>380</v>
      </c>
      <c r="F64" s="12" t="s">
        <v>22</v>
      </c>
      <c r="G64" s="12" t="s">
        <v>738</v>
      </c>
      <c r="H64" s="22"/>
      <c r="I64" s="12" t="s">
        <v>588</v>
      </c>
      <c r="J64" s="22"/>
      <c r="K64" s="10">
        <v>2023.0</v>
      </c>
      <c r="L64" s="22"/>
      <c r="M64" s="10">
        <v>7.0</v>
      </c>
      <c r="N64" s="22"/>
      <c r="O64" s="14" t="s">
        <v>745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>
        <v>64.0</v>
      </c>
      <c r="B65" s="11">
        <v>45169.0</v>
      </c>
      <c r="C65" s="12" t="s">
        <v>748</v>
      </c>
      <c r="D65" s="10" t="s">
        <v>20</v>
      </c>
      <c r="E65" s="12" t="s">
        <v>380</v>
      </c>
      <c r="F65" s="12" t="s">
        <v>22</v>
      </c>
      <c r="G65" s="12" t="s">
        <v>738</v>
      </c>
      <c r="H65" s="22"/>
      <c r="I65" s="12" t="s">
        <v>588</v>
      </c>
      <c r="J65" s="22"/>
      <c r="K65" s="10">
        <v>2023.0</v>
      </c>
      <c r="L65" s="22"/>
      <c r="M65" s="10">
        <v>7.0</v>
      </c>
      <c r="N65" s="22"/>
      <c r="O65" s="14" t="s">
        <v>750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>
        <v>65.0</v>
      </c>
      <c r="B66" s="11">
        <v>45169.0</v>
      </c>
      <c r="C66" s="12" t="s">
        <v>753</v>
      </c>
      <c r="D66" s="10" t="s">
        <v>20</v>
      </c>
      <c r="E66" s="12" t="s">
        <v>380</v>
      </c>
      <c r="F66" s="12" t="s">
        <v>22</v>
      </c>
      <c r="G66" s="12" t="s">
        <v>738</v>
      </c>
      <c r="H66" s="22"/>
      <c r="I66" s="12" t="s">
        <v>588</v>
      </c>
      <c r="J66" s="22"/>
      <c r="K66" s="10">
        <v>2023.0</v>
      </c>
      <c r="L66" s="22"/>
      <c r="M66" s="10">
        <v>8.0</v>
      </c>
      <c r="N66" s="22"/>
      <c r="O66" s="14" t="s">
        <v>757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>
        <v>66.0</v>
      </c>
      <c r="B67" s="11">
        <v>45169.0</v>
      </c>
      <c r="C67" s="12" t="s">
        <v>760</v>
      </c>
      <c r="D67" s="10" t="s">
        <v>20</v>
      </c>
      <c r="E67" s="12" t="s">
        <v>380</v>
      </c>
      <c r="F67" s="12" t="s">
        <v>22</v>
      </c>
      <c r="G67" s="12" t="s">
        <v>738</v>
      </c>
      <c r="H67" s="22"/>
      <c r="I67" s="12" t="s">
        <v>588</v>
      </c>
      <c r="J67" s="22"/>
      <c r="K67" s="10">
        <v>2023.0</v>
      </c>
      <c r="L67" s="22"/>
      <c r="M67" s="10">
        <v>7.0</v>
      </c>
      <c r="N67" s="22"/>
      <c r="O67" s="14" t="s">
        <v>764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>
        <v>67.0</v>
      </c>
      <c r="B68" s="11">
        <v>45169.0</v>
      </c>
      <c r="C68" s="42" t="s">
        <v>770</v>
      </c>
      <c r="D68" s="43" t="s">
        <v>112</v>
      </c>
      <c r="E68" s="42" t="s">
        <v>380</v>
      </c>
      <c r="F68" s="42" t="s">
        <v>22</v>
      </c>
      <c r="G68" s="42" t="s">
        <v>738</v>
      </c>
      <c r="H68" s="44"/>
      <c r="I68" s="42" t="s">
        <v>588</v>
      </c>
      <c r="J68" s="44"/>
      <c r="K68" s="43">
        <v>2023.0</v>
      </c>
      <c r="L68" s="44"/>
      <c r="M68" s="43">
        <v>7.0</v>
      </c>
      <c r="N68" s="44"/>
      <c r="O68" s="14" t="s">
        <v>774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>
        <v>68.0</v>
      </c>
      <c r="B69" s="11">
        <v>45345.0</v>
      </c>
      <c r="C69" s="12" t="s">
        <v>777</v>
      </c>
      <c r="D69" s="10" t="s">
        <v>778</v>
      </c>
      <c r="E69" s="12" t="s">
        <v>779</v>
      </c>
      <c r="F69" s="12" t="s">
        <v>22</v>
      </c>
      <c r="G69" s="22" t="s">
        <v>780</v>
      </c>
      <c r="H69" s="22" t="s">
        <v>781</v>
      </c>
      <c r="I69" s="12" t="s">
        <v>25</v>
      </c>
      <c r="J69" s="12" t="s">
        <v>782</v>
      </c>
      <c r="K69" s="10">
        <v>2022.0</v>
      </c>
      <c r="L69" s="12" t="s">
        <v>783</v>
      </c>
      <c r="M69" s="10">
        <v>251.0</v>
      </c>
      <c r="N69" s="12" t="s">
        <v>784</v>
      </c>
      <c r="O69" s="14" t="s">
        <v>785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>
        <v>69.0</v>
      </c>
      <c r="B70" s="11">
        <v>45345.0</v>
      </c>
      <c r="C70" s="12" t="s">
        <v>786</v>
      </c>
      <c r="D70" s="10" t="s">
        <v>778</v>
      </c>
      <c r="E70" s="12" t="s">
        <v>779</v>
      </c>
      <c r="F70" s="12" t="s">
        <v>22</v>
      </c>
      <c r="G70" s="22" t="s">
        <v>787</v>
      </c>
      <c r="H70" s="22" t="s">
        <v>788</v>
      </c>
      <c r="I70" s="12" t="s">
        <v>25</v>
      </c>
      <c r="J70" s="12" t="s">
        <v>789</v>
      </c>
      <c r="K70" s="10">
        <v>2022.0</v>
      </c>
      <c r="L70" s="12" t="s">
        <v>790</v>
      </c>
      <c r="M70" s="10">
        <v>251.0</v>
      </c>
      <c r="N70" s="12" t="s">
        <v>784</v>
      </c>
      <c r="O70" s="14" t="s">
        <v>791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>
        <v>70.0</v>
      </c>
      <c r="B71" s="45">
        <v>45345.0</v>
      </c>
      <c r="C71" s="12" t="s">
        <v>794</v>
      </c>
      <c r="D71" s="10" t="s">
        <v>778</v>
      </c>
      <c r="E71" s="12" t="s">
        <v>779</v>
      </c>
      <c r="F71" s="12" t="s">
        <v>22</v>
      </c>
      <c r="G71" s="22" t="s">
        <v>795</v>
      </c>
      <c r="H71" s="46" t="s">
        <v>797</v>
      </c>
      <c r="I71" s="12" t="s">
        <v>25</v>
      </c>
      <c r="J71" s="12" t="s">
        <v>798</v>
      </c>
      <c r="K71" s="10">
        <v>2022.0</v>
      </c>
      <c r="L71" s="12" t="s">
        <v>800</v>
      </c>
      <c r="M71" s="10">
        <v>251.0</v>
      </c>
      <c r="N71" s="12" t="s">
        <v>784</v>
      </c>
      <c r="O71" s="14" t="s">
        <v>801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8">
        <v>71.0</v>
      </c>
      <c r="B72" s="11">
        <v>45349.0</v>
      </c>
      <c r="C72" s="12" t="s">
        <v>439</v>
      </c>
      <c r="D72" s="10" t="s">
        <v>112</v>
      </c>
      <c r="E72" s="12" t="s">
        <v>21</v>
      </c>
      <c r="F72" s="12" t="s">
        <v>22</v>
      </c>
      <c r="G72" s="12" t="s">
        <v>440</v>
      </c>
      <c r="H72" s="12" t="s">
        <v>441</v>
      </c>
      <c r="I72" s="12" t="s">
        <v>25</v>
      </c>
      <c r="J72" s="12" t="s">
        <v>26</v>
      </c>
      <c r="K72" s="10">
        <v>2022.0</v>
      </c>
      <c r="L72" s="12" t="s">
        <v>443</v>
      </c>
      <c r="M72" s="10">
        <v>1.0</v>
      </c>
      <c r="N72" s="23">
        <v>253.0</v>
      </c>
      <c r="O72" s="14" t="s">
        <v>444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3">
        <v>72.0</v>
      </c>
      <c r="B73" s="11">
        <v>45350.0</v>
      </c>
      <c r="C73" s="12" t="s">
        <v>422</v>
      </c>
      <c r="D73" s="10" t="s">
        <v>112</v>
      </c>
      <c r="E73" s="12" t="s">
        <v>21</v>
      </c>
      <c r="F73" s="12" t="s">
        <v>22</v>
      </c>
      <c r="G73" s="44" t="s">
        <v>424</v>
      </c>
      <c r="H73" s="42" t="s">
        <v>425</v>
      </c>
      <c r="I73" s="42" t="s">
        <v>25</v>
      </c>
      <c r="J73" s="42" t="s">
        <v>426</v>
      </c>
      <c r="K73" s="43">
        <v>2021.0</v>
      </c>
      <c r="L73" s="42" t="s">
        <v>429</v>
      </c>
      <c r="M73" s="43">
        <v>1.0</v>
      </c>
      <c r="N73" s="23">
        <v>253.0</v>
      </c>
      <c r="O73" s="14" t="s">
        <v>432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0">
        <v>73.0</v>
      </c>
      <c r="B74" s="11">
        <v>45369.0</v>
      </c>
      <c r="C74" s="12" t="s">
        <v>819</v>
      </c>
      <c r="D74" s="10" t="s">
        <v>778</v>
      </c>
      <c r="E74" s="12" t="s">
        <v>21</v>
      </c>
      <c r="F74" s="12" t="s">
        <v>22</v>
      </c>
      <c r="G74" s="12" t="s">
        <v>821</v>
      </c>
      <c r="H74" s="22" t="s">
        <v>164</v>
      </c>
      <c r="I74" s="12" t="s">
        <v>25</v>
      </c>
      <c r="J74" s="12" t="s">
        <v>81</v>
      </c>
      <c r="K74" s="10">
        <v>2022.0</v>
      </c>
      <c r="L74" s="12" t="s">
        <v>822</v>
      </c>
      <c r="M74" s="10">
        <v>251.0</v>
      </c>
      <c r="N74" s="12" t="s">
        <v>784</v>
      </c>
      <c r="O74" s="14" t="s">
        <v>823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0">
        <v>74.0</v>
      </c>
      <c r="B75" s="11">
        <v>45369.0</v>
      </c>
      <c r="C75" s="12" t="s">
        <v>828</v>
      </c>
      <c r="D75" s="10" t="s">
        <v>778</v>
      </c>
      <c r="E75" s="12" t="s">
        <v>21</v>
      </c>
      <c r="F75" s="12" t="s">
        <v>22</v>
      </c>
      <c r="G75" s="22" t="s">
        <v>831</v>
      </c>
      <c r="H75" s="22" t="s">
        <v>832</v>
      </c>
      <c r="I75" s="12" t="s">
        <v>25</v>
      </c>
      <c r="J75" s="12" t="s">
        <v>60</v>
      </c>
      <c r="K75" s="10">
        <v>2022.0</v>
      </c>
      <c r="L75" s="12" t="s">
        <v>834</v>
      </c>
      <c r="M75" s="10">
        <v>251.0</v>
      </c>
      <c r="N75" s="12" t="s">
        <v>784</v>
      </c>
      <c r="O75" s="14" t="s">
        <v>835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0">
        <v>75.0</v>
      </c>
      <c r="B76" s="11">
        <v>45434.0</v>
      </c>
      <c r="C76" s="12" t="s">
        <v>840</v>
      </c>
      <c r="D76" s="10" t="s">
        <v>778</v>
      </c>
      <c r="E76" s="12" t="s">
        <v>21</v>
      </c>
      <c r="F76" s="12" t="s">
        <v>22</v>
      </c>
      <c r="G76" s="12" t="s">
        <v>841</v>
      </c>
      <c r="H76" s="12" t="s">
        <v>843</v>
      </c>
      <c r="I76" s="12" t="s">
        <v>25</v>
      </c>
      <c r="J76" s="12" t="s">
        <v>844</v>
      </c>
      <c r="K76" s="10">
        <v>2023.0</v>
      </c>
      <c r="L76" s="12" t="s">
        <v>845</v>
      </c>
      <c r="M76" s="10">
        <v>251.0</v>
      </c>
      <c r="N76" s="12" t="s">
        <v>784</v>
      </c>
      <c r="O76" s="14" t="s">
        <v>846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0">
        <v>76.0</v>
      </c>
      <c r="B77" s="11">
        <v>45434.0</v>
      </c>
      <c r="C77" s="12" t="s">
        <v>854</v>
      </c>
      <c r="D77" s="10" t="s">
        <v>778</v>
      </c>
      <c r="E77" s="12" t="s">
        <v>21</v>
      </c>
      <c r="F77" s="12" t="s">
        <v>22</v>
      </c>
      <c r="G77" s="22" t="s">
        <v>855</v>
      </c>
      <c r="H77" s="12" t="s">
        <v>856</v>
      </c>
      <c r="I77" s="12" t="s">
        <v>25</v>
      </c>
      <c r="J77" s="12" t="s">
        <v>857</v>
      </c>
      <c r="K77" s="10">
        <v>2022.0</v>
      </c>
      <c r="L77" s="12" t="s">
        <v>858</v>
      </c>
      <c r="M77" s="10">
        <v>251.0</v>
      </c>
      <c r="N77" s="12" t="s">
        <v>784</v>
      </c>
      <c r="O77" s="14" t="s">
        <v>859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0">
        <v>77.0</v>
      </c>
      <c r="B78" s="11">
        <v>45434.0</v>
      </c>
      <c r="C78" s="12" t="s">
        <v>872</v>
      </c>
      <c r="D78" s="10" t="s">
        <v>778</v>
      </c>
      <c r="E78" s="12" t="s">
        <v>21</v>
      </c>
      <c r="F78" s="12" t="s">
        <v>22</v>
      </c>
      <c r="G78" s="22" t="s">
        <v>878</v>
      </c>
      <c r="H78" s="12" t="s">
        <v>425</v>
      </c>
      <c r="I78" s="12" t="s">
        <v>25</v>
      </c>
      <c r="J78" s="12" t="s">
        <v>879</v>
      </c>
      <c r="K78" s="10">
        <v>2022.0</v>
      </c>
      <c r="L78" s="12" t="s">
        <v>845</v>
      </c>
      <c r="M78" s="10">
        <v>251.0</v>
      </c>
      <c r="N78" s="12" t="s">
        <v>784</v>
      </c>
      <c r="O78" s="14" t="s">
        <v>881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0">
        <v>78.0</v>
      </c>
      <c r="B79" s="11">
        <v>45434.0</v>
      </c>
      <c r="C79" s="12" t="s">
        <v>886</v>
      </c>
      <c r="D79" s="10" t="s">
        <v>778</v>
      </c>
      <c r="E79" s="12" t="s">
        <v>21</v>
      </c>
      <c r="F79" s="12" t="s">
        <v>22</v>
      </c>
      <c r="G79" s="12" t="s">
        <v>887</v>
      </c>
      <c r="H79" s="12" t="s">
        <v>549</v>
      </c>
      <c r="I79" s="12" t="s">
        <v>550</v>
      </c>
      <c r="J79" s="12" t="s">
        <v>892</v>
      </c>
      <c r="K79" s="10">
        <v>2023.0</v>
      </c>
      <c r="L79" s="12" t="s">
        <v>893</v>
      </c>
      <c r="M79" s="10">
        <v>251.0</v>
      </c>
      <c r="N79" s="12" t="s">
        <v>784</v>
      </c>
      <c r="O79" s="14" t="s">
        <v>894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0">
        <v>79.0</v>
      </c>
      <c r="B80" s="11">
        <v>45434.0</v>
      </c>
      <c r="C80" s="12" t="s">
        <v>901</v>
      </c>
      <c r="D80" s="10" t="s">
        <v>778</v>
      </c>
      <c r="E80" s="12" t="s">
        <v>21</v>
      </c>
      <c r="F80" s="12" t="s">
        <v>22</v>
      </c>
      <c r="G80" s="49" t="s">
        <v>902</v>
      </c>
      <c r="H80" s="12" t="s">
        <v>903</v>
      </c>
      <c r="I80" s="12" t="s">
        <v>550</v>
      </c>
      <c r="J80" s="12" t="s">
        <v>904</v>
      </c>
      <c r="K80" s="10">
        <v>2024.0</v>
      </c>
      <c r="L80" s="12" t="s">
        <v>893</v>
      </c>
      <c r="M80" s="10">
        <v>251.0</v>
      </c>
      <c r="N80" s="12" t="s">
        <v>784</v>
      </c>
      <c r="O80" s="14" t="s">
        <v>905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0">
        <v>80.0</v>
      </c>
      <c r="B81" s="11">
        <v>45434.0</v>
      </c>
      <c r="C81" s="12" t="s">
        <v>913</v>
      </c>
      <c r="D81" s="10" t="s">
        <v>778</v>
      </c>
      <c r="E81" s="12" t="s">
        <v>21</v>
      </c>
      <c r="F81" s="12" t="s">
        <v>22</v>
      </c>
      <c r="G81" s="12" t="s">
        <v>914</v>
      </c>
      <c r="H81" s="12" t="s">
        <v>549</v>
      </c>
      <c r="I81" s="12" t="s">
        <v>550</v>
      </c>
      <c r="J81" s="12" t="s">
        <v>915</v>
      </c>
      <c r="K81" s="10">
        <v>2023.0</v>
      </c>
      <c r="L81" s="12" t="s">
        <v>893</v>
      </c>
      <c r="M81" s="10">
        <v>251.0</v>
      </c>
      <c r="N81" s="12" t="s">
        <v>784</v>
      </c>
      <c r="O81" s="14" t="s">
        <v>916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">
        <v>81.0</v>
      </c>
      <c r="B82" s="11">
        <v>45447.0</v>
      </c>
      <c r="C82" s="12" t="s">
        <v>924</v>
      </c>
      <c r="D82" s="10" t="s">
        <v>778</v>
      </c>
      <c r="E82" s="12" t="s">
        <v>214</v>
      </c>
      <c r="F82" s="12" t="s">
        <v>22</v>
      </c>
      <c r="G82" s="12" t="s">
        <v>821</v>
      </c>
      <c r="H82" s="22" t="s">
        <v>164</v>
      </c>
      <c r="I82" s="12" t="s">
        <v>25</v>
      </c>
      <c r="J82" s="12" t="s">
        <v>925</v>
      </c>
      <c r="K82" s="10">
        <v>2022.0</v>
      </c>
      <c r="L82" s="12" t="s">
        <v>926</v>
      </c>
      <c r="M82" s="10">
        <v>2.0</v>
      </c>
      <c r="N82" s="12" t="s">
        <v>222</v>
      </c>
      <c r="O82" s="14" t="s">
        <v>927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0">
        <v>82.0</v>
      </c>
      <c r="B83" s="11">
        <v>45447.0</v>
      </c>
      <c r="C83" s="12" t="s">
        <v>933</v>
      </c>
      <c r="D83" s="10" t="s">
        <v>778</v>
      </c>
      <c r="E83" s="12" t="s">
        <v>214</v>
      </c>
      <c r="F83" s="12" t="s">
        <v>22</v>
      </c>
      <c r="G83" s="22" t="s">
        <v>934</v>
      </c>
      <c r="H83" s="12" t="s">
        <v>935</v>
      </c>
      <c r="I83" s="12" t="s">
        <v>25</v>
      </c>
      <c r="J83" s="12" t="s">
        <v>936</v>
      </c>
      <c r="K83" s="10">
        <v>2022.0</v>
      </c>
      <c r="L83" s="12" t="s">
        <v>937</v>
      </c>
      <c r="M83" s="10">
        <v>2.0</v>
      </c>
      <c r="N83" s="12" t="s">
        <v>222</v>
      </c>
      <c r="O83" s="14" t="s">
        <v>938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0">
        <v>83.0</v>
      </c>
      <c r="B84" s="11">
        <v>45447.0</v>
      </c>
      <c r="C84" s="12" t="s">
        <v>945</v>
      </c>
      <c r="D84" s="10" t="s">
        <v>778</v>
      </c>
      <c r="E84" s="12" t="s">
        <v>946</v>
      </c>
      <c r="F84" s="12" t="s">
        <v>22</v>
      </c>
      <c r="G84" s="22" t="s">
        <v>947</v>
      </c>
      <c r="H84" s="12" t="s">
        <v>948</v>
      </c>
      <c r="I84" s="12" t="s">
        <v>25</v>
      </c>
      <c r="J84" s="12" t="s">
        <v>949</v>
      </c>
      <c r="K84" s="10">
        <v>2022.0</v>
      </c>
      <c r="L84" s="12" t="s">
        <v>950</v>
      </c>
      <c r="M84" s="10">
        <v>2.0</v>
      </c>
      <c r="N84" s="12" t="s">
        <v>222</v>
      </c>
      <c r="O84" s="14" t="s">
        <v>951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0">
        <v>84.0</v>
      </c>
      <c r="B85" s="11">
        <v>45447.0</v>
      </c>
      <c r="C85" s="12" t="s">
        <v>952</v>
      </c>
      <c r="D85" s="10" t="s">
        <v>778</v>
      </c>
      <c r="E85" s="12" t="s">
        <v>214</v>
      </c>
      <c r="F85" s="12" t="s">
        <v>22</v>
      </c>
      <c r="G85" s="22" t="s">
        <v>795</v>
      </c>
      <c r="H85" s="12" t="s">
        <v>797</v>
      </c>
      <c r="I85" s="12" t="s">
        <v>25</v>
      </c>
      <c r="J85" s="12" t="s">
        <v>953</v>
      </c>
      <c r="K85" s="10">
        <v>2022.0</v>
      </c>
      <c r="L85" s="12" t="s">
        <v>954</v>
      </c>
      <c r="M85" s="10">
        <v>2.0</v>
      </c>
      <c r="N85" s="12" t="s">
        <v>222</v>
      </c>
      <c r="O85" s="14" t="s">
        <v>955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0">
        <v>85.0</v>
      </c>
      <c r="B86" s="11">
        <v>45447.0</v>
      </c>
      <c r="C86" s="12" t="s">
        <v>960</v>
      </c>
      <c r="D86" s="10" t="s">
        <v>778</v>
      </c>
      <c r="E86" s="12" t="s">
        <v>214</v>
      </c>
      <c r="F86" s="12" t="s">
        <v>22</v>
      </c>
      <c r="G86" s="22" t="s">
        <v>961</v>
      </c>
      <c r="H86" s="12" t="s">
        <v>832</v>
      </c>
      <c r="I86" s="12" t="s">
        <v>25</v>
      </c>
      <c r="J86" s="12" t="s">
        <v>962</v>
      </c>
      <c r="K86" s="10">
        <v>2022.0</v>
      </c>
      <c r="L86" s="12" t="s">
        <v>950</v>
      </c>
      <c r="M86" s="10">
        <v>2.0</v>
      </c>
      <c r="N86" s="12" t="s">
        <v>222</v>
      </c>
      <c r="O86" s="14" t="s">
        <v>963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0">
        <v>86.0</v>
      </c>
      <c r="B87" s="11">
        <v>45447.0</v>
      </c>
      <c r="C87" s="12" t="s">
        <v>964</v>
      </c>
      <c r="D87" s="10" t="s">
        <v>778</v>
      </c>
      <c r="E87" s="12" t="s">
        <v>214</v>
      </c>
      <c r="F87" s="12" t="s">
        <v>22</v>
      </c>
      <c r="G87" s="22" t="s">
        <v>965</v>
      </c>
      <c r="H87" s="12" t="s">
        <v>425</v>
      </c>
      <c r="I87" s="12" t="s">
        <v>25</v>
      </c>
      <c r="J87" s="12" t="s">
        <v>966</v>
      </c>
      <c r="K87" s="10">
        <v>2022.0</v>
      </c>
      <c r="L87" s="12" t="s">
        <v>967</v>
      </c>
      <c r="M87" s="10">
        <v>2.0</v>
      </c>
      <c r="N87" s="12" t="s">
        <v>222</v>
      </c>
      <c r="O87" s="14" t="s">
        <v>968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0">
        <v>87.0</v>
      </c>
      <c r="B88" s="11">
        <v>45447.0</v>
      </c>
      <c r="C88" s="12" t="s">
        <v>972</v>
      </c>
      <c r="D88" s="10" t="s">
        <v>778</v>
      </c>
      <c r="E88" s="12" t="s">
        <v>214</v>
      </c>
      <c r="F88" s="12" t="s">
        <v>22</v>
      </c>
      <c r="G88" s="12" t="s">
        <v>40</v>
      </c>
      <c r="H88" s="12" t="s">
        <v>973</v>
      </c>
      <c r="I88" s="12" t="s">
        <v>25</v>
      </c>
      <c r="J88" s="12" t="s">
        <v>974</v>
      </c>
      <c r="K88" s="10">
        <v>2022.0</v>
      </c>
      <c r="L88" s="12" t="s">
        <v>975</v>
      </c>
      <c r="M88" s="10">
        <v>2.0</v>
      </c>
      <c r="N88" s="12" t="s">
        <v>222</v>
      </c>
      <c r="O88" s="14" t="s">
        <v>976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">
        <v>88.0</v>
      </c>
      <c r="B89" s="11">
        <v>45447.0</v>
      </c>
      <c r="C89" s="12" t="s">
        <v>983</v>
      </c>
      <c r="D89" s="10" t="s">
        <v>778</v>
      </c>
      <c r="E89" s="12" t="s">
        <v>214</v>
      </c>
      <c r="F89" s="12" t="s">
        <v>22</v>
      </c>
      <c r="G89" s="22" t="s">
        <v>984</v>
      </c>
      <c r="H89" s="12" t="s">
        <v>856</v>
      </c>
      <c r="I89" s="12" t="s">
        <v>25</v>
      </c>
      <c r="J89" s="12" t="s">
        <v>985</v>
      </c>
      <c r="K89" s="10">
        <v>2022.0</v>
      </c>
      <c r="L89" s="12" t="s">
        <v>986</v>
      </c>
      <c r="M89" s="10">
        <v>2.0</v>
      </c>
      <c r="N89" s="12" t="s">
        <v>222</v>
      </c>
      <c r="O89" s="14" t="s">
        <v>987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0">
        <v>89.0</v>
      </c>
      <c r="B90" s="11">
        <v>45447.0</v>
      </c>
      <c r="C90" s="12" t="s">
        <v>988</v>
      </c>
      <c r="D90" s="10" t="s">
        <v>778</v>
      </c>
      <c r="E90" s="12" t="s">
        <v>214</v>
      </c>
      <c r="F90" s="12" t="s">
        <v>22</v>
      </c>
      <c r="G90" s="22" t="s">
        <v>989</v>
      </c>
      <c r="H90" s="12" t="s">
        <v>788</v>
      </c>
      <c r="I90" s="12" t="s">
        <v>25</v>
      </c>
      <c r="J90" s="12" t="s">
        <v>990</v>
      </c>
      <c r="K90" s="10">
        <v>2022.0</v>
      </c>
      <c r="L90" s="12" t="s">
        <v>991</v>
      </c>
      <c r="M90" s="10">
        <v>2.0</v>
      </c>
      <c r="N90" s="12" t="s">
        <v>222</v>
      </c>
      <c r="O90" s="14" t="s">
        <v>992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0">
        <v>90.0</v>
      </c>
      <c r="B91" s="11">
        <v>45447.0</v>
      </c>
      <c r="C91" s="12" t="s">
        <v>993</v>
      </c>
      <c r="D91" s="10" t="s">
        <v>778</v>
      </c>
      <c r="E91" s="12" t="s">
        <v>214</v>
      </c>
      <c r="F91" s="12" t="s">
        <v>22</v>
      </c>
      <c r="G91" s="22" t="s">
        <v>994</v>
      </c>
      <c r="H91" s="12" t="s">
        <v>843</v>
      </c>
      <c r="I91" s="12" t="s">
        <v>25</v>
      </c>
      <c r="J91" s="12" t="s">
        <v>995</v>
      </c>
      <c r="K91" s="10">
        <v>2023.0</v>
      </c>
      <c r="L91" s="12" t="s">
        <v>996</v>
      </c>
      <c r="M91" s="10">
        <v>2.0</v>
      </c>
      <c r="N91" s="12" t="s">
        <v>222</v>
      </c>
      <c r="O91" s="14" t="s">
        <v>997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0">
        <v>91.0</v>
      </c>
      <c r="B92" s="11">
        <v>45464.0</v>
      </c>
      <c r="C92" s="12" t="s">
        <v>999</v>
      </c>
      <c r="D92" s="10" t="s">
        <v>778</v>
      </c>
      <c r="E92" s="12" t="s">
        <v>214</v>
      </c>
      <c r="F92" s="12" t="s">
        <v>22</v>
      </c>
      <c r="G92" s="44" t="s">
        <v>1002</v>
      </c>
      <c r="H92" s="42" t="s">
        <v>832</v>
      </c>
      <c r="I92" s="42" t="s">
        <v>25</v>
      </c>
      <c r="J92" s="42" t="s">
        <v>1004</v>
      </c>
      <c r="K92" s="43">
        <v>2022.0</v>
      </c>
      <c r="L92" s="42" t="s">
        <v>1006</v>
      </c>
      <c r="M92" s="43">
        <v>2.0</v>
      </c>
      <c r="N92" s="12" t="s">
        <v>222</v>
      </c>
      <c r="O92" s="51" t="s">
        <v>1008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8">
        <v>92.0</v>
      </c>
      <c r="B93" s="52"/>
      <c r="C93" s="12" t="s">
        <v>1016</v>
      </c>
      <c r="D93" s="10" t="s">
        <v>778</v>
      </c>
      <c r="E93" s="12" t="s">
        <v>21</v>
      </c>
      <c r="F93" s="12" t="s">
        <v>22</v>
      </c>
      <c r="G93" s="12" t="s">
        <v>381</v>
      </c>
      <c r="H93" s="22"/>
      <c r="I93" s="12" t="s">
        <v>382</v>
      </c>
      <c r="J93" s="12" t="s">
        <v>1017</v>
      </c>
      <c r="K93" s="10">
        <v>2023.0</v>
      </c>
      <c r="L93" s="12" t="s">
        <v>1018</v>
      </c>
      <c r="M93" s="10">
        <v>96.0</v>
      </c>
      <c r="N93" s="12" t="s">
        <v>1020</v>
      </c>
      <c r="O93" s="14" t="s">
        <v>1021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0">
        <v>93.0</v>
      </c>
      <c r="B94" s="11">
        <v>45488.0</v>
      </c>
      <c r="C94" s="53" t="s">
        <v>130</v>
      </c>
      <c r="D94" s="54" t="s">
        <v>112</v>
      </c>
      <c r="E94" s="55" t="s">
        <v>21</v>
      </c>
      <c r="F94" s="53" t="s">
        <v>22</v>
      </c>
      <c r="G94" s="12" t="s">
        <v>131</v>
      </c>
      <c r="H94" s="12" t="s">
        <v>74</v>
      </c>
      <c r="I94" s="12" t="s">
        <v>25</v>
      </c>
      <c r="J94" s="12" t="s">
        <v>132</v>
      </c>
      <c r="K94" s="10">
        <v>2021.0</v>
      </c>
      <c r="L94" s="12" t="s">
        <v>133</v>
      </c>
      <c r="M94" s="10">
        <v>252.0</v>
      </c>
      <c r="N94" s="48">
        <v>253.0</v>
      </c>
      <c r="O94" s="14" t="s">
        <v>134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3">
        <v>94.0</v>
      </c>
      <c r="B95" s="45">
        <v>45488.0</v>
      </c>
      <c r="C95" s="56" t="s">
        <v>408</v>
      </c>
      <c r="D95" s="57" t="s">
        <v>112</v>
      </c>
      <c r="E95" s="58" t="s">
        <v>21</v>
      </c>
      <c r="F95" s="59" t="s">
        <v>22</v>
      </c>
      <c r="G95" s="44" t="s">
        <v>410</v>
      </c>
      <c r="H95" s="42" t="s">
        <v>242</v>
      </c>
      <c r="I95" s="42" t="s">
        <v>25</v>
      </c>
      <c r="J95" s="60" t="s">
        <v>414</v>
      </c>
      <c r="K95" s="61">
        <v>2021.0</v>
      </c>
      <c r="L95" s="42" t="s">
        <v>417</v>
      </c>
      <c r="M95" s="62">
        <v>1.0</v>
      </c>
      <c r="N95" s="63">
        <v>253.0</v>
      </c>
      <c r="O95" s="51" t="s">
        <v>420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0">
        <v>95.0</v>
      </c>
      <c r="B96" s="45">
        <v>45488.0</v>
      </c>
      <c r="C96" s="12" t="s">
        <v>32</v>
      </c>
      <c r="D96" s="10" t="s">
        <v>20</v>
      </c>
      <c r="E96" s="12" t="s">
        <v>21</v>
      </c>
      <c r="F96" s="12" t="s">
        <v>22</v>
      </c>
      <c r="G96" s="12" t="s">
        <v>33</v>
      </c>
      <c r="H96" s="12" t="s">
        <v>34</v>
      </c>
      <c r="I96" s="12" t="s">
        <v>25</v>
      </c>
      <c r="J96" s="12" t="s">
        <v>35</v>
      </c>
      <c r="K96" s="10">
        <v>2021.0</v>
      </c>
      <c r="L96" s="12" t="s">
        <v>36</v>
      </c>
      <c r="M96" s="10">
        <v>1.0</v>
      </c>
      <c r="N96" s="10">
        <v>289.0</v>
      </c>
      <c r="O96" s="14" t="s">
        <v>37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3">
        <v>96.0</v>
      </c>
      <c r="B97" s="45">
        <v>45496.0</v>
      </c>
      <c r="C97" s="12" t="s">
        <v>1048</v>
      </c>
      <c r="D97" s="65" t="s">
        <v>20</v>
      </c>
      <c r="E97" s="66" t="s">
        <v>21</v>
      </c>
      <c r="F97" s="66" t="s">
        <v>22</v>
      </c>
      <c r="G97" s="66" t="s">
        <v>1050</v>
      </c>
      <c r="H97" s="66" t="s">
        <v>34</v>
      </c>
      <c r="I97" s="66" t="s">
        <v>25</v>
      </c>
      <c r="J97" s="66" t="s">
        <v>1051</v>
      </c>
      <c r="K97" s="67">
        <v>2023.0</v>
      </c>
      <c r="L97" s="66" t="s">
        <v>1055</v>
      </c>
      <c r="M97" s="67">
        <v>265.0</v>
      </c>
      <c r="N97" s="66" t="s">
        <v>1057</v>
      </c>
      <c r="O97" s="68" t="s">
        <v>1059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0">
        <v>97.0</v>
      </c>
      <c r="B98" s="45">
        <v>45496.0</v>
      </c>
      <c r="C98" s="12" t="s">
        <v>1067</v>
      </c>
      <c r="D98" s="69" t="s">
        <v>112</v>
      </c>
      <c r="E98" s="70" t="s">
        <v>21</v>
      </c>
      <c r="F98" s="70" t="s">
        <v>22</v>
      </c>
      <c r="G98" s="70" t="s">
        <v>1071</v>
      </c>
      <c r="H98" s="70" t="s">
        <v>1072</v>
      </c>
      <c r="I98" s="70" t="s">
        <v>25</v>
      </c>
      <c r="J98" s="70" t="s">
        <v>1051</v>
      </c>
      <c r="K98" s="71">
        <v>2023.0</v>
      </c>
      <c r="L98" s="70" t="s">
        <v>1073</v>
      </c>
      <c r="M98" s="71">
        <v>274.0</v>
      </c>
      <c r="N98" s="72" t="s">
        <v>1074</v>
      </c>
      <c r="O98" s="68" t="s">
        <v>1075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3">
        <v>98.0</v>
      </c>
      <c r="B99" s="45">
        <v>45496.0</v>
      </c>
      <c r="C99" s="12" t="s">
        <v>408</v>
      </c>
      <c r="D99" s="10" t="s">
        <v>112</v>
      </c>
      <c r="E99" s="12" t="s">
        <v>21</v>
      </c>
      <c r="F99" s="12" t="s">
        <v>22</v>
      </c>
      <c r="G99" s="22" t="s">
        <v>410</v>
      </c>
      <c r="H99" s="12" t="s">
        <v>242</v>
      </c>
      <c r="I99" s="12" t="s">
        <v>25</v>
      </c>
      <c r="J99" s="12" t="s">
        <v>414</v>
      </c>
      <c r="K99" s="10">
        <v>2021.0</v>
      </c>
      <c r="L99" s="12" t="s">
        <v>417</v>
      </c>
      <c r="M99" s="10">
        <v>30.0</v>
      </c>
      <c r="N99" s="12" t="s">
        <v>1082</v>
      </c>
      <c r="O99" s="14" t="s">
        <v>420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0">
        <v>99.0</v>
      </c>
      <c r="B100" s="45">
        <v>45496.0</v>
      </c>
      <c r="C100" s="12" t="s">
        <v>111</v>
      </c>
      <c r="D100" s="10" t="s">
        <v>112</v>
      </c>
      <c r="E100" s="12" t="s">
        <v>21</v>
      </c>
      <c r="F100" s="12" t="s">
        <v>22</v>
      </c>
      <c r="G100" s="12" t="s">
        <v>40</v>
      </c>
      <c r="H100" s="12" t="s">
        <v>113</v>
      </c>
      <c r="I100" s="12" t="s">
        <v>25</v>
      </c>
      <c r="J100" s="12" t="s">
        <v>42</v>
      </c>
      <c r="K100" s="10">
        <v>2021.0</v>
      </c>
      <c r="L100" s="12" t="s">
        <v>115</v>
      </c>
      <c r="M100" s="10">
        <v>30.0</v>
      </c>
      <c r="N100" s="12" t="s">
        <v>1087</v>
      </c>
      <c r="O100" s="14" t="s">
        <v>117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0">
        <v>100.0</v>
      </c>
      <c r="B101" s="11">
        <v>45496.0</v>
      </c>
      <c r="C101" s="12" t="s">
        <v>422</v>
      </c>
      <c r="D101" s="10" t="s">
        <v>112</v>
      </c>
      <c r="E101" s="12" t="s">
        <v>21</v>
      </c>
      <c r="F101" s="12" t="s">
        <v>22</v>
      </c>
      <c r="G101" s="22" t="s">
        <v>424</v>
      </c>
      <c r="H101" s="12" t="s">
        <v>425</v>
      </c>
      <c r="I101" s="12" t="s">
        <v>25</v>
      </c>
      <c r="J101" s="12" t="s">
        <v>426</v>
      </c>
      <c r="K101" s="10">
        <v>2021.0</v>
      </c>
      <c r="L101" s="12" t="s">
        <v>429</v>
      </c>
      <c r="M101" s="10">
        <v>30.0</v>
      </c>
      <c r="N101" s="23" t="s">
        <v>1095</v>
      </c>
      <c r="O101" s="14" t="s">
        <v>432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0">
        <v>101.0</v>
      </c>
      <c r="B102" s="45">
        <v>45496.0</v>
      </c>
      <c r="C102" s="42" t="s">
        <v>130</v>
      </c>
      <c r="D102" s="43" t="s">
        <v>112</v>
      </c>
      <c r="E102" s="42" t="s">
        <v>21</v>
      </c>
      <c r="F102" s="42" t="s">
        <v>22</v>
      </c>
      <c r="G102" s="42" t="s">
        <v>131</v>
      </c>
      <c r="H102" s="42" t="s">
        <v>74</v>
      </c>
      <c r="I102" s="42" t="s">
        <v>25</v>
      </c>
      <c r="J102" s="42" t="s">
        <v>132</v>
      </c>
      <c r="K102" s="43">
        <v>2021.0</v>
      </c>
      <c r="L102" s="42" t="s">
        <v>133</v>
      </c>
      <c r="M102" s="43">
        <v>30.0</v>
      </c>
      <c r="N102" s="43" t="s">
        <v>1096</v>
      </c>
      <c r="O102" s="51" t="s">
        <v>134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0">
        <v>102.0</v>
      </c>
      <c r="B103" s="11">
        <v>45496.0</v>
      </c>
      <c r="C103" s="12" t="s">
        <v>1097</v>
      </c>
      <c r="D103" s="10" t="s">
        <v>112</v>
      </c>
      <c r="E103" s="12" t="s">
        <v>21</v>
      </c>
      <c r="F103" s="12" t="s">
        <v>22</v>
      </c>
      <c r="G103" s="22" t="s">
        <v>1098</v>
      </c>
      <c r="H103" s="22" t="s">
        <v>832</v>
      </c>
      <c r="I103" s="12" t="s">
        <v>25</v>
      </c>
      <c r="J103" s="12" t="s">
        <v>1100</v>
      </c>
      <c r="K103" s="10">
        <v>2021.0</v>
      </c>
      <c r="L103" s="12" t="s">
        <v>1101</v>
      </c>
      <c r="M103" s="10">
        <v>275.0</v>
      </c>
      <c r="N103" s="12" t="s">
        <v>1104</v>
      </c>
      <c r="O103" s="14" t="s">
        <v>1106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0">
        <v>103.0</v>
      </c>
      <c r="B104" s="11">
        <v>45496.0</v>
      </c>
      <c r="C104" s="12" t="s">
        <v>148</v>
      </c>
      <c r="D104" s="10" t="s">
        <v>112</v>
      </c>
      <c r="E104" s="12" t="s">
        <v>21</v>
      </c>
      <c r="F104" s="12" t="s">
        <v>22</v>
      </c>
      <c r="G104" s="12" t="s">
        <v>150</v>
      </c>
      <c r="H104" s="12" t="s">
        <v>151</v>
      </c>
      <c r="I104" s="12" t="s">
        <v>25</v>
      </c>
      <c r="J104" s="12" t="s">
        <v>93</v>
      </c>
      <c r="K104" s="10">
        <v>2021.0</v>
      </c>
      <c r="L104" s="12" t="s">
        <v>152</v>
      </c>
      <c r="M104" s="10">
        <v>30.0</v>
      </c>
      <c r="N104" s="12" t="s">
        <v>1087</v>
      </c>
      <c r="O104" s="14" t="s">
        <v>153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0">
        <v>104.0</v>
      </c>
      <c r="B105" s="11">
        <v>45496.0</v>
      </c>
      <c r="C105" s="12" t="s">
        <v>161</v>
      </c>
      <c r="D105" s="10" t="s">
        <v>112</v>
      </c>
      <c r="E105" s="12" t="s">
        <v>21</v>
      </c>
      <c r="F105" s="12" t="s">
        <v>22</v>
      </c>
      <c r="G105" s="12" t="s">
        <v>162</v>
      </c>
      <c r="H105" s="12" t="s">
        <v>164</v>
      </c>
      <c r="I105" s="12" t="s">
        <v>25</v>
      </c>
      <c r="J105" s="12" t="s">
        <v>81</v>
      </c>
      <c r="K105" s="10">
        <v>2022.0</v>
      </c>
      <c r="L105" s="12" t="s">
        <v>165</v>
      </c>
      <c r="M105" s="10">
        <v>30.0</v>
      </c>
      <c r="N105" s="12" t="s">
        <v>1087</v>
      </c>
      <c r="O105" s="14" t="s">
        <v>167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0">
        <v>105.0</v>
      </c>
      <c r="B106" s="11">
        <v>45496.0</v>
      </c>
      <c r="C106" s="12" t="s">
        <v>181</v>
      </c>
      <c r="D106" s="10" t="s">
        <v>112</v>
      </c>
      <c r="E106" s="12" t="s">
        <v>21</v>
      </c>
      <c r="F106" s="12" t="s">
        <v>22</v>
      </c>
      <c r="G106" s="12" t="s">
        <v>183</v>
      </c>
      <c r="H106" s="12" t="s">
        <v>183</v>
      </c>
      <c r="I106" s="12" t="s">
        <v>184</v>
      </c>
      <c r="J106" s="22"/>
      <c r="K106" s="10">
        <v>2022.0</v>
      </c>
      <c r="L106" s="12" t="s">
        <v>185</v>
      </c>
      <c r="M106" s="10">
        <v>30.0</v>
      </c>
      <c r="N106" s="12" t="s">
        <v>1087</v>
      </c>
      <c r="O106" s="14" t="s">
        <v>187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0">
        <v>106.0</v>
      </c>
      <c r="B107" s="11">
        <v>45496.0</v>
      </c>
      <c r="C107" s="12" t="s">
        <v>196</v>
      </c>
      <c r="D107" s="10" t="s">
        <v>112</v>
      </c>
      <c r="E107" s="12" t="s">
        <v>21</v>
      </c>
      <c r="F107" s="12" t="s">
        <v>22</v>
      </c>
      <c r="G107" s="12" t="s">
        <v>183</v>
      </c>
      <c r="H107" s="12" t="s">
        <v>183</v>
      </c>
      <c r="I107" s="12" t="s">
        <v>184</v>
      </c>
      <c r="J107" s="12" t="s">
        <v>199</v>
      </c>
      <c r="K107" s="10">
        <v>2022.0</v>
      </c>
      <c r="L107" s="12" t="s">
        <v>201</v>
      </c>
      <c r="M107" s="10">
        <v>30.0</v>
      </c>
      <c r="N107" s="12" t="s">
        <v>1096</v>
      </c>
      <c r="O107" s="14" t="s">
        <v>203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0">
        <v>107.0</v>
      </c>
      <c r="B108" s="11">
        <v>45496.0</v>
      </c>
      <c r="C108" s="73" t="s">
        <v>1128</v>
      </c>
      <c r="D108" s="57" t="s">
        <v>112</v>
      </c>
      <c r="E108" s="12" t="s">
        <v>21</v>
      </c>
      <c r="F108" s="12" t="s">
        <v>22</v>
      </c>
      <c r="G108" s="74" t="s">
        <v>1133</v>
      </c>
      <c r="H108" s="74" t="s">
        <v>903</v>
      </c>
      <c r="I108" s="74" t="s">
        <v>550</v>
      </c>
      <c r="J108" s="74" t="s">
        <v>1135</v>
      </c>
      <c r="K108" s="75">
        <v>2023.0</v>
      </c>
      <c r="L108" s="74" t="s">
        <v>1138</v>
      </c>
      <c r="M108" s="75">
        <v>275.0</v>
      </c>
      <c r="N108" s="74" t="s">
        <v>1104</v>
      </c>
      <c r="O108" s="76" t="s">
        <v>1142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0">
        <v>108.0</v>
      </c>
      <c r="B109" s="11">
        <v>45496.0</v>
      </c>
      <c r="C109" s="12" t="s">
        <v>854</v>
      </c>
      <c r="D109" s="10" t="s">
        <v>778</v>
      </c>
      <c r="E109" s="12" t="s">
        <v>21</v>
      </c>
      <c r="F109" s="12" t="s">
        <v>22</v>
      </c>
      <c r="G109" s="22" t="s">
        <v>855</v>
      </c>
      <c r="H109" s="12" t="s">
        <v>856</v>
      </c>
      <c r="I109" s="12" t="s">
        <v>25</v>
      </c>
      <c r="J109" s="12" t="s">
        <v>857</v>
      </c>
      <c r="K109" s="10">
        <v>2022.0</v>
      </c>
      <c r="L109" s="12" t="s">
        <v>858</v>
      </c>
      <c r="M109" s="10">
        <v>30.0</v>
      </c>
      <c r="N109" s="12" t="s">
        <v>1147</v>
      </c>
      <c r="O109" s="14" t="s">
        <v>859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0">
        <v>109.0</v>
      </c>
      <c r="B110" s="11">
        <v>45496.0</v>
      </c>
      <c r="C110" s="12" t="s">
        <v>777</v>
      </c>
      <c r="D110" s="10" t="s">
        <v>778</v>
      </c>
      <c r="E110" s="12" t="s">
        <v>779</v>
      </c>
      <c r="F110" s="12" t="s">
        <v>22</v>
      </c>
      <c r="G110" s="22" t="s">
        <v>780</v>
      </c>
      <c r="H110" s="22" t="s">
        <v>781</v>
      </c>
      <c r="I110" s="12" t="s">
        <v>25</v>
      </c>
      <c r="J110" s="12" t="s">
        <v>782</v>
      </c>
      <c r="K110" s="10">
        <v>2022.0</v>
      </c>
      <c r="L110" s="12" t="s">
        <v>783</v>
      </c>
      <c r="M110" s="10">
        <v>30.0</v>
      </c>
      <c r="N110" s="12" t="s">
        <v>1147</v>
      </c>
      <c r="O110" s="14" t="s">
        <v>785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0">
        <v>110.0</v>
      </c>
      <c r="B111" s="11">
        <v>45496.0</v>
      </c>
      <c r="C111" s="12" t="s">
        <v>872</v>
      </c>
      <c r="D111" s="10" t="s">
        <v>778</v>
      </c>
      <c r="E111" s="12" t="s">
        <v>21</v>
      </c>
      <c r="F111" s="12" t="s">
        <v>22</v>
      </c>
      <c r="G111" s="22" t="s">
        <v>878</v>
      </c>
      <c r="H111" s="12" t="s">
        <v>425</v>
      </c>
      <c r="I111" s="12" t="s">
        <v>25</v>
      </c>
      <c r="J111" s="12" t="s">
        <v>879</v>
      </c>
      <c r="K111" s="10">
        <v>2022.0</v>
      </c>
      <c r="L111" s="12" t="s">
        <v>845</v>
      </c>
      <c r="M111" s="10">
        <v>30.0</v>
      </c>
      <c r="N111" s="12" t="s">
        <v>1147</v>
      </c>
      <c r="O111" s="14" t="s">
        <v>881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0">
        <v>111.0</v>
      </c>
      <c r="B112" s="11">
        <v>45496.0</v>
      </c>
      <c r="C112" s="12" t="s">
        <v>786</v>
      </c>
      <c r="D112" s="10" t="s">
        <v>778</v>
      </c>
      <c r="E112" s="12" t="s">
        <v>779</v>
      </c>
      <c r="F112" s="12" t="s">
        <v>22</v>
      </c>
      <c r="G112" s="22" t="s">
        <v>787</v>
      </c>
      <c r="H112" s="22" t="s">
        <v>788</v>
      </c>
      <c r="I112" s="12" t="s">
        <v>25</v>
      </c>
      <c r="J112" s="12" t="s">
        <v>789</v>
      </c>
      <c r="K112" s="10">
        <v>2022.0</v>
      </c>
      <c r="L112" s="12" t="s">
        <v>790</v>
      </c>
      <c r="M112" s="10">
        <v>30.0</v>
      </c>
      <c r="N112" s="12" t="s">
        <v>1147</v>
      </c>
      <c r="O112" s="14" t="s">
        <v>791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0">
        <v>112.0</v>
      </c>
      <c r="B113" s="11">
        <v>45496.0</v>
      </c>
      <c r="C113" s="12" t="s">
        <v>828</v>
      </c>
      <c r="D113" s="10" t="s">
        <v>778</v>
      </c>
      <c r="E113" s="12" t="s">
        <v>21</v>
      </c>
      <c r="F113" s="12" t="s">
        <v>22</v>
      </c>
      <c r="G113" s="22" t="s">
        <v>831</v>
      </c>
      <c r="H113" s="22" t="s">
        <v>832</v>
      </c>
      <c r="I113" s="12" t="s">
        <v>25</v>
      </c>
      <c r="J113" s="12" t="s">
        <v>60</v>
      </c>
      <c r="K113" s="10">
        <v>2022.0</v>
      </c>
      <c r="L113" s="12" t="s">
        <v>834</v>
      </c>
      <c r="M113" s="10">
        <v>30.0</v>
      </c>
      <c r="N113" s="12" t="s">
        <v>1147</v>
      </c>
      <c r="O113" s="14" t="s">
        <v>835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0">
        <v>113.0</v>
      </c>
      <c r="B114" s="11">
        <v>45496.0</v>
      </c>
      <c r="C114" s="12" t="s">
        <v>794</v>
      </c>
      <c r="D114" s="10" t="s">
        <v>778</v>
      </c>
      <c r="E114" s="12" t="s">
        <v>779</v>
      </c>
      <c r="F114" s="12" t="s">
        <v>22</v>
      </c>
      <c r="G114" s="22" t="s">
        <v>795</v>
      </c>
      <c r="H114" s="46" t="s">
        <v>797</v>
      </c>
      <c r="I114" s="12" t="s">
        <v>25</v>
      </c>
      <c r="J114" s="12" t="s">
        <v>798</v>
      </c>
      <c r="K114" s="10">
        <v>2022.0</v>
      </c>
      <c r="L114" s="12" t="s">
        <v>800</v>
      </c>
      <c r="M114" s="10">
        <v>30.0</v>
      </c>
      <c r="N114" s="12" t="s">
        <v>1147</v>
      </c>
      <c r="O114" s="14" t="s">
        <v>801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0">
        <v>114.0</v>
      </c>
      <c r="B115" s="11">
        <v>45496.0</v>
      </c>
      <c r="C115" s="12" t="s">
        <v>819</v>
      </c>
      <c r="D115" s="10" t="s">
        <v>778</v>
      </c>
      <c r="E115" s="12" t="s">
        <v>21</v>
      </c>
      <c r="F115" s="12" t="s">
        <v>22</v>
      </c>
      <c r="G115" s="12" t="s">
        <v>821</v>
      </c>
      <c r="H115" s="22" t="s">
        <v>164</v>
      </c>
      <c r="I115" s="12" t="s">
        <v>25</v>
      </c>
      <c r="J115" s="12" t="s">
        <v>81</v>
      </c>
      <c r="K115" s="10">
        <v>2022.0</v>
      </c>
      <c r="L115" s="12" t="s">
        <v>822</v>
      </c>
      <c r="M115" s="10">
        <v>30.0</v>
      </c>
      <c r="N115" s="12" t="s">
        <v>1148</v>
      </c>
      <c r="O115" s="14" t="s">
        <v>823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3">
        <v>115.0</v>
      </c>
      <c r="B116" s="45">
        <v>45496.0</v>
      </c>
      <c r="C116" s="42" t="s">
        <v>886</v>
      </c>
      <c r="D116" s="43" t="s">
        <v>778</v>
      </c>
      <c r="E116" s="42" t="s">
        <v>21</v>
      </c>
      <c r="F116" s="42" t="s">
        <v>22</v>
      </c>
      <c r="G116" s="42" t="s">
        <v>887</v>
      </c>
      <c r="H116" s="42" t="s">
        <v>549</v>
      </c>
      <c r="I116" s="42" t="s">
        <v>550</v>
      </c>
      <c r="J116" s="42" t="s">
        <v>892</v>
      </c>
      <c r="K116" s="43">
        <v>2023.0</v>
      </c>
      <c r="L116" s="42" t="s">
        <v>893</v>
      </c>
      <c r="M116" s="43">
        <v>30.0</v>
      </c>
      <c r="N116" s="42" t="s">
        <v>1148</v>
      </c>
      <c r="O116" s="51" t="s">
        <v>894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0">
        <v>116.0</v>
      </c>
      <c r="B117" s="11">
        <v>45496.0</v>
      </c>
      <c r="C117" s="12" t="s">
        <v>913</v>
      </c>
      <c r="D117" s="10" t="s">
        <v>778</v>
      </c>
      <c r="E117" s="12" t="s">
        <v>21</v>
      </c>
      <c r="F117" s="12" t="s">
        <v>22</v>
      </c>
      <c r="G117" s="12" t="s">
        <v>914</v>
      </c>
      <c r="H117" s="12" t="s">
        <v>549</v>
      </c>
      <c r="I117" s="12" t="s">
        <v>550</v>
      </c>
      <c r="J117" s="12" t="s">
        <v>915</v>
      </c>
      <c r="K117" s="10">
        <v>2023.0</v>
      </c>
      <c r="L117" s="12" t="s">
        <v>893</v>
      </c>
      <c r="M117" s="10">
        <v>30.0</v>
      </c>
      <c r="N117" s="12" t="s">
        <v>1147</v>
      </c>
      <c r="O117" s="14" t="s">
        <v>916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0">
        <v>117.0</v>
      </c>
      <c r="B118" s="11">
        <v>45496.0</v>
      </c>
      <c r="C118" s="12" t="s">
        <v>901</v>
      </c>
      <c r="D118" s="10" t="s">
        <v>778</v>
      </c>
      <c r="E118" s="12" t="s">
        <v>21</v>
      </c>
      <c r="F118" s="12" t="s">
        <v>22</v>
      </c>
      <c r="G118" s="49" t="s">
        <v>1153</v>
      </c>
      <c r="H118" s="12" t="s">
        <v>903</v>
      </c>
      <c r="I118" s="12" t="s">
        <v>550</v>
      </c>
      <c r="J118" s="12" t="s">
        <v>904</v>
      </c>
      <c r="K118" s="10">
        <v>2024.0</v>
      </c>
      <c r="L118" s="12" t="s">
        <v>893</v>
      </c>
      <c r="M118" s="10">
        <v>30.0</v>
      </c>
      <c r="N118" s="12" t="s">
        <v>1147</v>
      </c>
      <c r="O118" s="14" t="s">
        <v>905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0">
        <v>118.0</v>
      </c>
      <c r="B119" s="11">
        <v>45532.0</v>
      </c>
      <c r="C119" s="12" t="s">
        <v>90</v>
      </c>
      <c r="D119" s="10" t="s">
        <v>20</v>
      </c>
      <c r="E119" s="12" t="s">
        <v>21</v>
      </c>
      <c r="F119" s="12" t="s">
        <v>22</v>
      </c>
      <c r="G119" s="12" t="s">
        <v>91</v>
      </c>
      <c r="H119" s="12" t="s">
        <v>92</v>
      </c>
      <c r="I119" s="12" t="s">
        <v>25</v>
      </c>
      <c r="J119" s="12" t="s">
        <v>93</v>
      </c>
      <c r="K119" s="10">
        <v>2021.0</v>
      </c>
      <c r="L119" s="12" t="s">
        <v>94</v>
      </c>
      <c r="M119" s="10">
        <v>1.0</v>
      </c>
      <c r="N119" s="10">
        <v>289.0</v>
      </c>
      <c r="O119" s="37" t="s">
        <v>95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0">
        <v>119.0</v>
      </c>
      <c r="B120" s="11">
        <v>45532.0</v>
      </c>
      <c r="C120" s="12" t="s">
        <v>72</v>
      </c>
      <c r="D120" s="10" t="s">
        <v>20</v>
      </c>
      <c r="E120" s="12" t="s">
        <v>21</v>
      </c>
      <c r="F120" s="12" t="s">
        <v>22</v>
      </c>
      <c r="G120" s="12" t="s">
        <v>73</v>
      </c>
      <c r="H120" s="12" t="s">
        <v>74</v>
      </c>
      <c r="I120" s="12" t="s">
        <v>25</v>
      </c>
      <c r="J120" s="12" t="s">
        <v>75</v>
      </c>
      <c r="K120" s="10">
        <v>2021.0</v>
      </c>
      <c r="L120" s="12" t="s">
        <v>76</v>
      </c>
      <c r="M120" s="10">
        <v>2.0</v>
      </c>
      <c r="N120" s="12" t="s">
        <v>1164</v>
      </c>
      <c r="O120" s="14" t="s">
        <v>77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0">
        <v>120.0</v>
      </c>
      <c r="B121" s="11">
        <v>45532.0</v>
      </c>
      <c r="C121" s="12" t="s">
        <v>572</v>
      </c>
      <c r="D121" s="10" t="s">
        <v>20</v>
      </c>
      <c r="E121" s="12" t="s">
        <v>21</v>
      </c>
      <c r="F121" s="12" t="s">
        <v>22</v>
      </c>
      <c r="G121" s="12" t="s">
        <v>573</v>
      </c>
      <c r="H121" s="12" t="s">
        <v>549</v>
      </c>
      <c r="I121" s="12" t="s">
        <v>550</v>
      </c>
      <c r="J121" s="12" t="s">
        <v>574</v>
      </c>
      <c r="K121" s="10">
        <v>2023.0</v>
      </c>
      <c r="L121" s="12" t="s">
        <v>552</v>
      </c>
      <c r="M121" s="10">
        <v>1.0</v>
      </c>
      <c r="N121" s="12">
        <v>289.0</v>
      </c>
      <c r="O121" s="14" t="s">
        <v>576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0">
        <v>121.0</v>
      </c>
      <c r="B122" s="11">
        <v>45532.0</v>
      </c>
      <c r="C122" s="12" t="s">
        <v>408</v>
      </c>
      <c r="D122" s="10" t="s">
        <v>112</v>
      </c>
      <c r="E122" s="12" t="s">
        <v>21</v>
      </c>
      <c r="F122" s="12" t="s">
        <v>22</v>
      </c>
      <c r="G122" s="22" t="s">
        <v>410</v>
      </c>
      <c r="H122" s="12" t="s">
        <v>242</v>
      </c>
      <c r="I122" s="12" t="s">
        <v>25</v>
      </c>
      <c r="J122" s="12" t="s">
        <v>414</v>
      </c>
      <c r="K122" s="10">
        <v>2021.0</v>
      </c>
      <c r="L122" s="12" t="s">
        <v>417</v>
      </c>
      <c r="M122" s="10">
        <v>1.0</v>
      </c>
      <c r="N122" s="12">
        <v>283.0</v>
      </c>
      <c r="O122" s="14" t="s">
        <v>420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0">
        <v>122.0</v>
      </c>
      <c r="B123" s="11">
        <v>45532.0</v>
      </c>
      <c r="C123" s="12" t="s">
        <v>148</v>
      </c>
      <c r="D123" s="10" t="s">
        <v>112</v>
      </c>
      <c r="E123" s="12" t="s">
        <v>21</v>
      </c>
      <c r="F123" s="12" t="s">
        <v>22</v>
      </c>
      <c r="G123" s="12" t="s">
        <v>150</v>
      </c>
      <c r="H123" s="12" t="s">
        <v>151</v>
      </c>
      <c r="I123" s="12" t="s">
        <v>25</v>
      </c>
      <c r="J123" s="12" t="s">
        <v>93</v>
      </c>
      <c r="K123" s="10">
        <v>2021.0</v>
      </c>
      <c r="L123" s="12" t="s">
        <v>152</v>
      </c>
      <c r="M123" s="10">
        <v>1.0</v>
      </c>
      <c r="N123" s="12">
        <v>283.0</v>
      </c>
      <c r="O123" s="14" t="s">
        <v>153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0">
        <v>123.0</v>
      </c>
      <c r="B124" s="11">
        <v>45532.0</v>
      </c>
      <c r="C124" s="12" t="s">
        <v>56</v>
      </c>
      <c r="D124" s="10" t="s">
        <v>20</v>
      </c>
      <c r="E124" s="12" t="s">
        <v>21</v>
      </c>
      <c r="F124" s="12" t="s">
        <v>22</v>
      </c>
      <c r="G124" s="12" t="s">
        <v>58</v>
      </c>
      <c r="H124" s="12" t="s">
        <v>59</v>
      </c>
      <c r="I124" s="12" t="s">
        <v>25</v>
      </c>
      <c r="J124" s="12" t="s">
        <v>60</v>
      </c>
      <c r="K124" s="10">
        <v>2021.0</v>
      </c>
      <c r="L124" s="12" t="s">
        <v>61</v>
      </c>
      <c r="M124" s="10">
        <v>2.0</v>
      </c>
      <c r="N124" s="12" t="s">
        <v>1172</v>
      </c>
      <c r="O124" s="14" t="s">
        <v>63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0">
        <v>124.0</v>
      </c>
      <c r="B125" s="11">
        <v>45534.0</v>
      </c>
      <c r="C125" s="12" t="s">
        <v>1174</v>
      </c>
      <c r="D125" s="10" t="s">
        <v>20</v>
      </c>
      <c r="E125" s="12" t="s">
        <v>21</v>
      </c>
      <c r="F125" s="12" t="s">
        <v>22</v>
      </c>
      <c r="G125" s="12" t="s">
        <v>1175</v>
      </c>
      <c r="H125" s="12" t="s">
        <v>1176</v>
      </c>
      <c r="I125" s="12" t="s">
        <v>588</v>
      </c>
      <c r="J125" s="12" t="s">
        <v>1178</v>
      </c>
      <c r="K125" s="10">
        <v>2023.0</v>
      </c>
      <c r="L125" s="12" t="s">
        <v>1180</v>
      </c>
      <c r="M125" s="10">
        <v>100.0</v>
      </c>
      <c r="N125" s="12" t="s">
        <v>1181</v>
      </c>
      <c r="O125" s="14" t="s">
        <v>1182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0">
        <v>125.0</v>
      </c>
      <c r="B126" s="11">
        <v>45534.0</v>
      </c>
      <c r="C126" s="12" t="s">
        <v>1191</v>
      </c>
      <c r="D126" s="10" t="s">
        <v>112</v>
      </c>
      <c r="E126" s="12" t="s">
        <v>21</v>
      </c>
      <c r="F126" s="12" t="s">
        <v>22</v>
      </c>
      <c r="G126" s="12" t="s">
        <v>1175</v>
      </c>
      <c r="H126" s="12" t="s">
        <v>1192</v>
      </c>
      <c r="I126" s="12" t="s">
        <v>588</v>
      </c>
      <c r="J126" s="12" t="s">
        <v>1193</v>
      </c>
      <c r="K126" s="10">
        <v>2023.0</v>
      </c>
      <c r="L126" s="12" t="s">
        <v>1194</v>
      </c>
      <c r="M126" s="10">
        <v>100.0</v>
      </c>
      <c r="N126" s="12" t="s">
        <v>1181</v>
      </c>
      <c r="O126" s="14" t="s">
        <v>1196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0">
        <v>126.0</v>
      </c>
      <c r="B127" s="11">
        <v>45534.0</v>
      </c>
      <c r="C127" s="12" t="s">
        <v>1199</v>
      </c>
      <c r="D127" s="10" t="s">
        <v>778</v>
      </c>
      <c r="E127" s="12" t="s">
        <v>21</v>
      </c>
      <c r="F127" s="12" t="s">
        <v>22</v>
      </c>
      <c r="G127" s="12" t="s">
        <v>1175</v>
      </c>
      <c r="H127" s="12" t="s">
        <v>1192</v>
      </c>
      <c r="I127" s="12" t="s">
        <v>588</v>
      </c>
      <c r="J127" s="12" t="s">
        <v>1201</v>
      </c>
      <c r="K127" s="10">
        <v>2023.0</v>
      </c>
      <c r="L127" s="12" t="s">
        <v>1202</v>
      </c>
      <c r="M127" s="10">
        <v>100.0</v>
      </c>
      <c r="N127" s="12" t="s">
        <v>1181</v>
      </c>
      <c r="O127" s="14" t="s">
        <v>1204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0">
        <v>127.0</v>
      </c>
      <c r="B128" s="11">
        <v>45736.0</v>
      </c>
      <c r="C128" s="12" t="s">
        <v>1215</v>
      </c>
      <c r="D128" s="10" t="s">
        <v>778</v>
      </c>
      <c r="E128" s="12" t="s">
        <v>380</v>
      </c>
      <c r="F128" s="12" t="s">
        <v>22</v>
      </c>
      <c r="G128" s="12" t="s">
        <v>1216</v>
      </c>
      <c r="H128" s="77" t="s">
        <v>1217</v>
      </c>
      <c r="I128" s="12" t="s">
        <v>588</v>
      </c>
      <c r="J128" s="12">
        <v>9.786235220888E12</v>
      </c>
      <c r="K128" s="10">
        <v>2024.0</v>
      </c>
      <c r="L128" s="12" t="s">
        <v>1223</v>
      </c>
      <c r="M128" s="10">
        <v>32.0</v>
      </c>
      <c r="N128" s="12" t="s">
        <v>1224</v>
      </c>
      <c r="O128" s="37" t="s">
        <v>1225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0">
        <v>128.0</v>
      </c>
      <c r="B129" s="11">
        <v>45736.0</v>
      </c>
      <c r="C129" s="12" t="s">
        <v>1231</v>
      </c>
      <c r="D129" s="10" t="s">
        <v>778</v>
      </c>
      <c r="E129" s="12" t="s">
        <v>380</v>
      </c>
      <c r="F129" s="12" t="s">
        <v>22</v>
      </c>
      <c r="G129" s="77" t="s">
        <v>1232</v>
      </c>
      <c r="H129" s="77" t="s">
        <v>1234</v>
      </c>
      <c r="I129" s="12" t="s">
        <v>588</v>
      </c>
      <c r="J129" s="12">
        <v>9.786235220918E12</v>
      </c>
      <c r="K129" s="10">
        <v>2024.0</v>
      </c>
      <c r="L129" s="12" t="s">
        <v>1237</v>
      </c>
      <c r="M129" s="10">
        <v>32.0</v>
      </c>
      <c r="N129" s="12" t="s">
        <v>1224</v>
      </c>
      <c r="O129" s="37" t="s">
        <v>1238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0">
        <v>129.0</v>
      </c>
      <c r="B130" s="11">
        <v>45736.0</v>
      </c>
      <c r="C130" s="12" t="s">
        <v>1242</v>
      </c>
      <c r="D130" s="10" t="s">
        <v>778</v>
      </c>
      <c r="E130" s="12" t="s">
        <v>380</v>
      </c>
      <c r="F130" s="12" t="s">
        <v>22</v>
      </c>
      <c r="G130" s="12" t="s">
        <v>1243</v>
      </c>
      <c r="H130" s="77" t="s">
        <v>1244</v>
      </c>
      <c r="I130" s="12" t="s">
        <v>588</v>
      </c>
      <c r="J130" s="12">
        <v>9.786235220864E12</v>
      </c>
      <c r="K130" s="10">
        <v>2024.0</v>
      </c>
      <c r="L130" s="12" t="s">
        <v>1247</v>
      </c>
      <c r="M130" s="10">
        <v>32.0</v>
      </c>
      <c r="N130" s="12" t="s">
        <v>1224</v>
      </c>
      <c r="O130" s="37" t="s">
        <v>1251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0">
        <v>130.0</v>
      </c>
      <c r="B131" s="11">
        <v>45736.0</v>
      </c>
      <c r="C131" s="12" t="s">
        <v>1255</v>
      </c>
      <c r="D131" s="10" t="s">
        <v>778</v>
      </c>
      <c r="E131" s="12" t="s">
        <v>380</v>
      </c>
      <c r="F131" s="12" t="s">
        <v>22</v>
      </c>
      <c r="G131" s="12" t="s">
        <v>1256</v>
      </c>
      <c r="H131" s="12" t="s">
        <v>1257</v>
      </c>
      <c r="I131" s="12" t="s">
        <v>588</v>
      </c>
      <c r="J131" s="12">
        <v>9.786235220871E12</v>
      </c>
      <c r="K131" s="10">
        <v>2024.0</v>
      </c>
      <c r="L131" s="12" t="s">
        <v>1259</v>
      </c>
      <c r="M131" s="10">
        <v>32.0</v>
      </c>
      <c r="N131" s="12" t="s">
        <v>1224</v>
      </c>
      <c r="O131" s="37" t="s">
        <v>1260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0">
        <v>131.0</v>
      </c>
      <c r="B132" s="11">
        <v>45736.0</v>
      </c>
      <c r="C132" s="12" t="s">
        <v>1267</v>
      </c>
      <c r="D132" s="10" t="s">
        <v>778</v>
      </c>
      <c r="E132" s="12" t="s">
        <v>380</v>
      </c>
      <c r="F132" s="12" t="s">
        <v>22</v>
      </c>
      <c r="G132" s="12" t="s">
        <v>1269</v>
      </c>
      <c r="H132" s="77" t="s">
        <v>1270</v>
      </c>
      <c r="I132" s="12" t="s">
        <v>588</v>
      </c>
      <c r="J132" s="12">
        <v>9.786235220901E12</v>
      </c>
      <c r="K132" s="10">
        <v>2024.0</v>
      </c>
      <c r="L132" s="12" t="s">
        <v>1275</v>
      </c>
      <c r="M132" s="10">
        <v>32.0</v>
      </c>
      <c r="N132" s="12" t="s">
        <v>1224</v>
      </c>
      <c r="O132" s="37" t="s">
        <v>1277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0">
        <v>132.0</v>
      </c>
      <c r="B133" s="11">
        <v>45736.0</v>
      </c>
      <c r="C133" s="12" t="s">
        <v>1278</v>
      </c>
      <c r="D133" s="10" t="s">
        <v>778</v>
      </c>
      <c r="E133" s="12" t="s">
        <v>380</v>
      </c>
      <c r="F133" s="12" t="s">
        <v>22</v>
      </c>
      <c r="G133" s="12" t="s">
        <v>1283</v>
      </c>
      <c r="H133" s="12" t="s">
        <v>1285</v>
      </c>
      <c r="I133" s="12" t="s">
        <v>588</v>
      </c>
      <c r="J133" s="12">
        <v>9.786235220895E12</v>
      </c>
      <c r="K133" s="10">
        <v>2024.0</v>
      </c>
      <c r="L133" s="12" t="s">
        <v>1287</v>
      </c>
      <c r="M133" s="10">
        <v>32.0</v>
      </c>
      <c r="N133" s="12" t="s">
        <v>1224</v>
      </c>
      <c r="O133" s="37" t="s">
        <v>1288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0">
        <v>133.0</v>
      </c>
      <c r="B134" s="11">
        <v>45758.0</v>
      </c>
      <c r="C134" s="12" t="s">
        <v>1295</v>
      </c>
      <c r="D134" s="10" t="s">
        <v>20</v>
      </c>
      <c r="E134" s="12" t="s">
        <v>380</v>
      </c>
      <c r="F134" s="12" t="s">
        <v>22</v>
      </c>
      <c r="G134" s="12" t="s">
        <v>1296</v>
      </c>
      <c r="H134" s="12" t="s">
        <v>1297</v>
      </c>
      <c r="I134" s="12" t="s">
        <v>347</v>
      </c>
      <c r="J134" s="12" t="s">
        <v>1298</v>
      </c>
      <c r="K134" s="10">
        <v>2024.0</v>
      </c>
      <c r="L134" s="12" t="s">
        <v>1299</v>
      </c>
      <c r="M134" s="10">
        <v>100.0</v>
      </c>
      <c r="N134" s="12" t="s">
        <v>1181</v>
      </c>
      <c r="O134" s="37" t="s">
        <v>1300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0">
        <v>134.0</v>
      </c>
      <c r="B135" s="11">
        <v>45758.0</v>
      </c>
      <c r="C135" s="12" t="s">
        <v>1310</v>
      </c>
      <c r="D135" s="10" t="s">
        <v>20</v>
      </c>
      <c r="E135" s="12" t="s">
        <v>380</v>
      </c>
      <c r="F135" s="12" t="s">
        <v>22</v>
      </c>
      <c r="G135" s="12" t="s">
        <v>1311</v>
      </c>
      <c r="H135" s="12" t="s">
        <v>1312</v>
      </c>
      <c r="I135" s="12" t="s">
        <v>347</v>
      </c>
      <c r="J135" s="12" t="s">
        <v>1313</v>
      </c>
      <c r="K135" s="10">
        <v>2023.0</v>
      </c>
      <c r="L135" s="12" t="s">
        <v>1314</v>
      </c>
      <c r="M135" s="10">
        <v>100.0</v>
      </c>
      <c r="N135" s="12" t="s">
        <v>1181</v>
      </c>
      <c r="O135" s="37" t="s">
        <v>1315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0">
        <v>135.0</v>
      </c>
      <c r="B136" s="11">
        <v>45758.0</v>
      </c>
      <c r="C136" s="12" t="s">
        <v>1321</v>
      </c>
      <c r="D136" s="10" t="s">
        <v>20</v>
      </c>
      <c r="E136" s="12" t="s">
        <v>380</v>
      </c>
      <c r="F136" s="12" t="s">
        <v>22</v>
      </c>
      <c r="G136" s="12" t="s">
        <v>1322</v>
      </c>
      <c r="H136" s="12" t="s">
        <v>1323</v>
      </c>
      <c r="I136" s="12" t="s">
        <v>347</v>
      </c>
      <c r="J136" s="12" t="s">
        <v>1324</v>
      </c>
      <c r="K136" s="10">
        <v>2022.0</v>
      </c>
      <c r="L136" s="12" t="s">
        <v>1325</v>
      </c>
      <c r="M136" s="10">
        <v>98.0</v>
      </c>
      <c r="N136" s="12" t="s">
        <v>1326</v>
      </c>
      <c r="O136" s="37" t="s">
        <v>1327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0">
        <v>136.0</v>
      </c>
      <c r="B137" s="11">
        <v>45758.0</v>
      </c>
      <c r="C137" s="12" t="s">
        <v>1333</v>
      </c>
      <c r="D137" s="10" t="s">
        <v>20</v>
      </c>
      <c r="E137" s="12" t="s">
        <v>380</v>
      </c>
      <c r="F137" s="12" t="s">
        <v>22</v>
      </c>
      <c r="G137" s="12" t="s">
        <v>1334</v>
      </c>
      <c r="H137" s="12" t="s">
        <v>1335</v>
      </c>
      <c r="I137" s="12" t="s">
        <v>347</v>
      </c>
      <c r="J137" s="12" t="s">
        <v>1336</v>
      </c>
      <c r="K137" s="10">
        <v>2022.0</v>
      </c>
      <c r="L137" s="12" t="s">
        <v>1337</v>
      </c>
      <c r="M137" s="10">
        <v>100.0</v>
      </c>
      <c r="N137" s="12" t="s">
        <v>1181</v>
      </c>
      <c r="O137" s="37" t="s">
        <v>1338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0">
        <v>137.0</v>
      </c>
      <c r="B138" s="11">
        <v>45758.0</v>
      </c>
      <c r="C138" s="12" t="s">
        <v>1344</v>
      </c>
      <c r="D138" s="10" t="s">
        <v>20</v>
      </c>
      <c r="E138" s="12" t="s">
        <v>380</v>
      </c>
      <c r="F138" s="12" t="s">
        <v>22</v>
      </c>
      <c r="G138" s="12" t="s">
        <v>1345</v>
      </c>
      <c r="H138" s="12" t="s">
        <v>1346</v>
      </c>
      <c r="I138" s="12" t="s">
        <v>347</v>
      </c>
      <c r="J138" s="12" t="s">
        <v>1347</v>
      </c>
      <c r="K138" s="10">
        <v>2022.0</v>
      </c>
      <c r="L138" s="12" t="s">
        <v>1348</v>
      </c>
      <c r="M138" s="10">
        <v>95.0</v>
      </c>
      <c r="N138" s="12" t="s">
        <v>1349</v>
      </c>
      <c r="O138" s="37" t="s">
        <v>1350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0">
        <v>138.0</v>
      </c>
      <c r="B139" s="11">
        <v>45758.0</v>
      </c>
      <c r="C139" s="12" t="s">
        <v>1355</v>
      </c>
      <c r="D139" s="10" t="s">
        <v>20</v>
      </c>
      <c r="E139" s="12" t="s">
        <v>380</v>
      </c>
      <c r="F139" s="12" t="s">
        <v>22</v>
      </c>
      <c r="G139" s="12" t="s">
        <v>1356</v>
      </c>
      <c r="H139" s="12" t="s">
        <v>1357</v>
      </c>
      <c r="I139" s="12" t="s">
        <v>347</v>
      </c>
      <c r="J139" s="12" t="s">
        <v>1358</v>
      </c>
      <c r="K139" s="10">
        <v>2022.0</v>
      </c>
      <c r="L139" s="12" t="s">
        <v>1359</v>
      </c>
      <c r="M139" s="10">
        <v>97.0</v>
      </c>
      <c r="N139" s="12" t="s">
        <v>1360</v>
      </c>
      <c r="O139" s="37" t="s">
        <v>1361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0">
        <v>139.0</v>
      </c>
      <c r="B140" s="11">
        <v>45758.0</v>
      </c>
      <c r="C140" s="12" t="s">
        <v>1366</v>
      </c>
      <c r="D140" s="10" t="s">
        <v>20</v>
      </c>
      <c r="E140" s="12" t="s">
        <v>380</v>
      </c>
      <c r="F140" s="12" t="s">
        <v>22</v>
      </c>
      <c r="G140" s="12" t="s">
        <v>1367</v>
      </c>
      <c r="H140" s="12" t="s">
        <v>1368</v>
      </c>
      <c r="I140" s="12" t="s">
        <v>347</v>
      </c>
      <c r="J140" s="12" t="s">
        <v>1369</v>
      </c>
      <c r="K140" s="10">
        <v>2022.0</v>
      </c>
      <c r="L140" s="12" t="s">
        <v>1325</v>
      </c>
      <c r="M140" s="10">
        <v>100.0</v>
      </c>
      <c r="N140" s="12" t="s">
        <v>1181</v>
      </c>
      <c r="O140" s="37" t="s">
        <v>1370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0">
        <v>140.0</v>
      </c>
      <c r="B141" s="11">
        <v>45758.0</v>
      </c>
      <c r="C141" s="12" t="s">
        <v>1376</v>
      </c>
      <c r="D141" s="10" t="s">
        <v>20</v>
      </c>
      <c r="E141" s="12" t="s">
        <v>380</v>
      </c>
      <c r="F141" s="12" t="s">
        <v>22</v>
      </c>
      <c r="G141" s="12" t="s">
        <v>1377</v>
      </c>
      <c r="H141" s="12" t="s">
        <v>1378</v>
      </c>
      <c r="I141" s="12" t="s">
        <v>347</v>
      </c>
      <c r="J141" s="12" t="s">
        <v>1379</v>
      </c>
      <c r="K141" s="10">
        <v>2022.0</v>
      </c>
      <c r="L141" s="12" t="s">
        <v>1380</v>
      </c>
      <c r="M141" s="10">
        <v>100.0</v>
      </c>
      <c r="N141" s="12" t="s">
        <v>1181</v>
      </c>
      <c r="O141" s="37" t="s">
        <v>1381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0">
        <v>141.0</v>
      </c>
      <c r="B142" s="11">
        <v>45758.0</v>
      </c>
      <c r="C142" s="12" t="s">
        <v>1386</v>
      </c>
      <c r="D142" s="10" t="s">
        <v>20</v>
      </c>
      <c r="E142" s="12" t="s">
        <v>380</v>
      </c>
      <c r="F142" s="12" t="s">
        <v>22</v>
      </c>
      <c r="G142" s="12" t="s">
        <v>1387</v>
      </c>
      <c r="H142" s="12" t="s">
        <v>1388</v>
      </c>
      <c r="I142" s="12" t="s">
        <v>347</v>
      </c>
      <c r="J142" s="12" t="s">
        <v>1389</v>
      </c>
      <c r="K142" s="10">
        <v>2022.0</v>
      </c>
      <c r="L142" s="12" t="s">
        <v>1390</v>
      </c>
      <c r="M142" s="10">
        <v>100.0</v>
      </c>
      <c r="N142" s="12" t="s">
        <v>1181</v>
      </c>
      <c r="O142" s="37" t="s">
        <v>1391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0">
        <v>142.0</v>
      </c>
      <c r="B143" s="11">
        <v>45758.0</v>
      </c>
      <c r="C143" s="12" t="s">
        <v>1399</v>
      </c>
      <c r="D143" s="10" t="s">
        <v>20</v>
      </c>
      <c r="E143" s="12" t="s">
        <v>380</v>
      </c>
      <c r="F143" s="12" t="s">
        <v>22</v>
      </c>
      <c r="G143" s="12" t="s">
        <v>1400</v>
      </c>
      <c r="H143" s="12" t="s">
        <v>1401</v>
      </c>
      <c r="I143" s="12" t="s">
        <v>347</v>
      </c>
      <c r="J143" s="12" t="s">
        <v>1402</v>
      </c>
      <c r="K143" s="10">
        <v>2022.0</v>
      </c>
      <c r="L143" s="12" t="s">
        <v>1403</v>
      </c>
      <c r="M143" s="10">
        <v>100.0</v>
      </c>
      <c r="N143" s="12" t="s">
        <v>1181</v>
      </c>
      <c r="O143" s="37" t="s">
        <v>1405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0">
        <v>143.0</v>
      </c>
      <c r="B144" s="11">
        <v>45838.0</v>
      </c>
      <c r="C144" s="12" t="s">
        <v>1321</v>
      </c>
      <c r="D144" s="10" t="s">
        <v>20</v>
      </c>
      <c r="E144" s="12" t="s">
        <v>380</v>
      </c>
      <c r="F144" s="12" t="s">
        <v>22</v>
      </c>
      <c r="G144" s="12" t="s">
        <v>1322</v>
      </c>
      <c r="H144" s="12" t="s">
        <v>1323</v>
      </c>
      <c r="I144" s="12" t="s">
        <v>347</v>
      </c>
      <c r="J144" s="12" t="s">
        <v>1324</v>
      </c>
      <c r="K144" s="10">
        <v>2022.0</v>
      </c>
      <c r="L144" s="12" t="s">
        <v>1325</v>
      </c>
      <c r="M144" s="10">
        <v>2.0</v>
      </c>
      <c r="N144" s="12" t="s">
        <v>1413</v>
      </c>
      <c r="O144" s="7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0">
        <v>144.0</v>
      </c>
      <c r="B145" s="11">
        <v>45838.0</v>
      </c>
      <c r="C145" s="12" t="s">
        <v>1344</v>
      </c>
      <c r="D145" s="10" t="s">
        <v>20</v>
      </c>
      <c r="E145" s="12" t="s">
        <v>380</v>
      </c>
      <c r="F145" s="12" t="s">
        <v>22</v>
      </c>
      <c r="G145" s="12" t="s">
        <v>1345</v>
      </c>
      <c r="H145" s="12" t="s">
        <v>1346</v>
      </c>
      <c r="I145" s="12" t="s">
        <v>347</v>
      </c>
      <c r="J145" s="12" t="s">
        <v>1347</v>
      </c>
      <c r="K145" s="10">
        <v>2022.0</v>
      </c>
      <c r="L145" s="12" t="s">
        <v>1348</v>
      </c>
      <c r="M145" s="10">
        <v>5.0</v>
      </c>
      <c r="N145" s="12" t="s">
        <v>1418</v>
      </c>
      <c r="O145" s="37" t="s">
        <v>1350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0">
        <v>145.0</v>
      </c>
      <c r="B146" s="11">
        <v>45838.0</v>
      </c>
      <c r="C146" s="12" t="s">
        <v>1355</v>
      </c>
      <c r="D146" s="10" t="s">
        <v>20</v>
      </c>
      <c r="E146" s="12" t="s">
        <v>380</v>
      </c>
      <c r="F146" s="12" t="s">
        <v>22</v>
      </c>
      <c r="G146" s="12" t="s">
        <v>1356</v>
      </c>
      <c r="H146" s="12" t="s">
        <v>1357</v>
      </c>
      <c r="I146" s="12" t="s">
        <v>347</v>
      </c>
      <c r="J146" s="12" t="s">
        <v>1358</v>
      </c>
      <c r="K146" s="10">
        <v>2022.0</v>
      </c>
      <c r="L146" s="12" t="s">
        <v>1359</v>
      </c>
      <c r="M146" s="10">
        <v>3.0</v>
      </c>
      <c r="N146" s="12" t="s">
        <v>1425</v>
      </c>
      <c r="O146" s="37" t="s">
        <v>1361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0">
        <v>146.0</v>
      </c>
      <c r="B147" s="11">
        <v>45859.0</v>
      </c>
      <c r="C147" s="12" t="s">
        <v>840</v>
      </c>
      <c r="D147" s="10" t="s">
        <v>778</v>
      </c>
      <c r="E147" s="12" t="s">
        <v>21</v>
      </c>
      <c r="F147" s="12" t="s">
        <v>22</v>
      </c>
      <c r="G147" s="12" t="s">
        <v>841</v>
      </c>
      <c r="H147" s="12" t="s">
        <v>843</v>
      </c>
      <c r="I147" s="12" t="s">
        <v>25</v>
      </c>
      <c r="J147" s="12" t="s">
        <v>844</v>
      </c>
      <c r="K147" s="10">
        <v>2023.0</v>
      </c>
      <c r="L147" s="12" t="s">
        <v>845</v>
      </c>
      <c r="M147" s="10">
        <v>68.0</v>
      </c>
      <c r="N147" s="12" t="s">
        <v>1429</v>
      </c>
      <c r="O147" s="14" t="s">
        <v>846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0">
        <v>147.0</v>
      </c>
      <c r="B148" s="11">
        <v>45859.0</v>
      </c>
      <c r="C148" s="12" t="s">
        <v>854</v>
      </c>
      <c r="D148" s="10" t="s">
        <v>778</v>
      </c>
      <c r="E148" s="12" t="s">
        <v>21</v>
      </c>
      <c r="F148" s="12" t="s">
        <v>22</v>
      </c>
      <c r="G148" s="22" t="s">
        <v>855</v>
      </c>
      <c r="H148" s="12" t="s">
        <v>856</v>
      </c>
      <c r="I148" s="12" t="s">
        <v>25</v>
      </c>
      <c r="J148" s="12" t="s">
        <v>857</v>
      </c>
      <c r="K148" s="10">
        <v>2022.0</v>
      </c>
      <c r="L148" s="12" t="s">
        <v>858</v>
      </c>
      <c r="M148" s="10">
        <v>34.0</v>
      </c>
      <c r="N148" s="12" t="s">
        <v>1431</v>
      </c>
      <c r="O148" s="37" t="s">
        <v>859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0">
        <v>148.0</v>
      </c>
      <c r="B149" s="11">
        <v>45859.0</v>
      </c>
      <c r="C149" s="12" t="s">
        <v>819</v>
      </c>
      <c r="D149" s="10" t="s">
        <v>778</v>
      </c>
      <c r="E149" s="12" t="s">
        <v>21</v>
      </c>
      <c r="F149" s="12" t="s">
        <v>22</v>
      </c>
      <c r="G149" s="12" t="s">
        <v>821</v>
      </c>
      <c r="H149" s="22" t="s">
        <v>164</v>
      </c>
      <c r="I149" s="12" t="s">
        <v>25</v>
      </c>
      <c r="J149" s="12" t="s">
        <v>81</v>
      </c>
      <c r="K149" s="10">
        <v>2022.0</v>
      </c>
      <c r="L149" s="12" t="s">
        <v>822</v>
      </c>
      <c r="M149" s="10">
        <v>34.0</v>
      </c>
      <c r="N149" s="12" t="s">
        <v>1431</v>
      </c>
      <c r="O149" s="37" t="s">
        <v>823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0">
        <v>149.0</v>
      </c>
      <c r="B150" s="11">
        <v>45859.0</v>
      </c>
      <c r="C150" s="12" t="s">
        <v>777</v>
      </c>
      <c r="D150" s="10" t="s">
        <v>778</v>
      </c>
      <c r="E150" s="12" t="s">
        <v>779</v>
      </c>
      <c r="F150" s="12" t="s">
        <v>22</v>
      </c>
      <c r="G150" s="22" t="s">
        <v>780</v>
      </c>
      <c r="H150" s="22" t="s">
        <v>781</v>
      </c>
      <c r="I150" s="12" t="s">
        <v>25</v>
      </c>
      <c r="J150" s="12" t="s">
        <v>782</v>
      </c>
      <c r="K150" s="10">
        <v>2022.0</v>
      </c>
      <c r="L150" s="12" t="s">
        <v>783</v>
      </c>
      <c r="M150" s="10">
        <v>34.0</v>
      </c>
      <c r="N150" s="12" t="s">
        <v>1431</v>
      </c>
      <c r="O150" s="37" t="s">
        <v>785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0">
        <v>150.0</v>
      </c>
      <c r="B151" s="11">
        <v>45859.0</v>
      </c>
      <c r="C151" s="12" t="s">
        <v>872</v>
      </c>
      <c r="D151" s="10" t="s">
        <v>778</v>
      </c>
      <c r="E151" s="12" t="s">
        <v>21</v>
      </c>
      <c r="F151" s="12" t="s">
        <v>22</v>
      </c>
      <c r="G151" s="22" t="s">
        <v>878</v>
      </c>
      <c r="H151" s="12" t="s">
        <v>425</v>
      </c>
      <c r="I151" s="12" t="s">
        <v>25</v>
      </c>
      <c r="J151" s="12" t="s">
        <v>879</v>
      </c>
      <c r="K151" s="10">
        <v>2022.0</v>
      </c>
      <c r="L151" s="12" t="s">
        <v>845</v>
      </c>
      <c r="M151" s="10">
        <v>34.0</v>
      </c>
      <c r="N151" s="12" t="s">
        <v>1431</v>
      </c>
      <c r="O151" s="37" t="s">
        <v>881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0">
        <v>151.0</v>
      </c>
      <c r="B152" s="11">
        <v>45859.0</v>
      </c>
      <c r="C152" s="12" t="s">
        <v>786</v>
      </c>
      <c r="D152" s="10" t="s">
        <v>778</v>
      </c>
      <c r="E152" s="12" t="s">
        <v>779</v>
      </c>
      <c r="F152" s="12" t="s">
        <v>22</v>
      </c>
      <c r="G152" s="22" t="s">
        <v>787</v>
      </c>
      <c r="H152" s="22" t="s">
        <v>788</v>
      </c>
      <c r="I152" s="12" t="s">
        <v>25</v>
      </c>
      <c r="J152" s="12" t="s">
        <v>789</v>
      </c>
      <c r="K152" s="10">
        <v>2022.0</v>
      </c>
      <c r="L152" s="12" t="s">
        <v>790</v>
      </c>
      <c r="M152" s="10">
        <v>34.0</v>
      </c>
      <c r="N152" s="12" t="s">
        <v>1431</v>
      </c>
      <c r="O152" s="37" t="s">
        <v>791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0">
        <v>152.0</v>
      </c>
      <c r="B153" s="11">
        <v>45859.0</v>
      </c>
      <c r="C153" s="12" t="s">
        <v>794</v>
      </c>
      <c r="D153" s="10" t="s">
        <v>778</v>
      </c>
      <c r="E153" s="12" t="s">
        <v>779</v>
      </c>
      <c r="F153" s="12" t="s">
        <v>22</v>
      </c>
      <c r="G153" s="22" t="s">
        <v>795</v>
      </c>
      <c r="H153" s="22" t="s">
        <v>797</v>
      </c>
      <c r="I153" s="12" t="s">
        <v>25</v>
      </c>
      <c r="J153" s="12" t="s">
        <v>798</v>
      </c>
      <c r="K153" s="10">
        <v>2022.0</v>
      </c>
      <c r="L153" s="12" t="s">
        <v>800</v>
      </c>
      <c r="M153" s="10">
        <v>34.0</v>
      </c>
      <c r="N153" s="12" t="s">
        <v>1431</v>
      </c>
      <c r="O153" s="37" t="s">
        <v>801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0">
        <v>153.0</v>
      </c>
      <c r="B154" s="11">
        <v>45859.0</v>
      </c>
      <c r="C154" s="12" t="s">
        <v>886</v>
      </c>
      <c r="D154" s="10" t="s">
        <v>778</v>
      </c>
      <c r="E154" s="12" t="s">
        <v>21</v>
      </c>
      <c r="F154" s="12" t="s">
        <v>22</v>
      </c>
      <c r="G154" s="12" t="s">
        <v>887</v>
      </c>
      <c r="H154" s="12" t="s">
        <v>549</v>
      </c>
      <c r="I154" s="12" t="s">
        <v>550</v>
      </c>
      <c r="J154" s="12" t="s">
        <v>892</v>
      </c>
      <c r="K154" s="10">
        <v>2023.0</v>
      </c>
      <c r="L154" s="12" t="s">
        <v>893</v>
      </c>
      <c r="M154" s="10">
        <v>34.0</v>
      </c>
      <c r="N154" s="12" t="s">
        <v>1431</v>
      </c>
      <c r="O154" s="37" t="s">
        <v>894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0">
        <v>154.0</v>
      </c>
      <c r="B155" s="11">
        <v>45901.0</v>
      </c>
      <c r="C155" s="12" t="s">
        <v>1447</v>
      </c>
      <c r="D155" s="10" t="s">
        <v>20</v>
      </c>
      <c r="E155" s="12" t="s">
        <v>1448</v>
      </c>
      <c r="F155" s="12" t="s">
        <v>22</v>
      </c>
      <c r="G155" s="12" t="s">
        <v>1449</v>
      </c>
      <c r="H155" s="12" t="s">
        <v>1451</v>
      </c>
      <c r="I155" s="12" t="s">
        <v>550</v>
      </c>
      <c r="J155" s="12" t="s">
        <v>1452</v>
      </c>
      <c r="K155" s="10">
        <v>2025.0</v>
      </c>
      <c r="L155" s="12" t="s">
        <v>1453</v>
      </c>
      <c r="M155" s="10">
        <v>275.0</v>
      </c>
      <c r="N155" s="12" t="s">
        <v>1104</v>
      </c>
      <c r="O155" s="37" t="s">
        <v>1458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0">
        <v>155.0</v>
      </c>
      <c r="B156" s="11">
        <v>45908.0</v>
      </c>
      <c r="C156" s="12" t="s">
        <v>828</v>
      </c>
      <c r="D156" s="10" t="s">
        <v>778</v>
      </c>
      <c r="E156" s="12" t="s">
        <v>21</v>
      </c>
      <c r="F156" s="12" t="s">
        <v>22</v>
      </c>
      <c r="G156" s="22" t="s">
        <v>831</v>
      </c>
      <c r="H156" s="22" t="s">
        <v>832</v>
      </c>
      <c r="I156" s="12" t="s">
        <v>25</v>
      </c>
      <c r="J156" s="12" t="s">
        <v>60</v>
      </c>
      <c r="K156" s="10">
        <v>2022.0</v>
      </c>
      <c r="L156" s="12" t="s">
        <v>834</v>
      </c>
      <c r="M156" s="10">
        <v>34.0</v>
      </c>
      <c r="N156" s="12" t="s">
        <v>1431</v>
      </c>
      <c r="O156" s="14" t="s">
        <v>835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0">
        <v>156.0</v>
      </c>
      <c r="B157" s="11">
        <v>45908.0</v>
      </c>
      <c r="C157" s="12" t="s">
        <v>72</v>
      </c>
      <c r="D157" s="10" t="s">
        <v>20</v>
      </c>
      <c r="E157" s="12" t="s">
        <v>21</v>
      </c>
      <c r="F157" s="12" t="s">
        <v>22</v>
      </c>
      <c r="G157" s="12" t="s">
        <v>73</v>
      </c>
      <c r="H157" s="12" t="s">
        <v>74</v>
      </c>
      <c r="I157" s="12" t="s">
        <v>25</v>
      </c>
      <c r="J157" s="12" t="s">
        <v>75</v>
      </c>
      <c r="K157" s="10">
        <v>2021.0</v>
      </c>
      <c r="L157" s="12" t="s">
        <v>76</v>
      </c>
      <c r="M157" s="10">
        <v>10.0</v>
      </c>
      <c r="N157" s="12" t="s">
        <v>1471</v>
      </c>
      <c r="O157" s="14" t="s">
        <v>77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0">
        <v>157.0</v>
      </c>
      <c r="B158" s="11">
        <v>45908.0</v>
      </c>
      <c r="C158" s="12" t="s">
        <v>1048</v>
      </c>
      <c r="D158" s="80" t="s">
        <v>20</v>
      </c>
      <c r="E158" s="50" t="s">
        <v>21</v>
      </c>
      <c r="F158" s="50" t="s">
        <v>22</v>
      </c>
      <c r="G158" s="50" t="s">
        <v>1050</v>
      </c>
      <c r="H158" s="50" t="s">
        <v>34</v>
      </c>
      <c r="I158" s="50" t="s">
        <v>25</v>
      </c>
      <c r="J158" s="50" t="s">
        <v>1051</v>
      </c>
      <c r="K158" s="81">
        <v>2023.0</v>
      </c>
      <c r="L158" s="50" t="s">
        <v>1055</v>
      </c>
      <c r="M158" s="82">
        <v>10.0</v>
      </c>
      <c r="N158" s="83" t="s">
        <v>1479</v>
      </c>
      <c r="O158" s="14" t="s">
        <v>1059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0">
        <v>158.0</v>
      </c>
      <c r="B159" s="11">
        <v>45933.0</v>
      </c>
      <c r="C159" s="12" t="s">
        <v>1480</v>
      </c>
      <c r="D159" s="10" t="s">
        <v>778</v>
      </c>
      <c r="E159" s="12" t="s">
        <v>1448</v>
      </c>
      <c r="F159" s="12" t="s">
        <v>22</v>
      </c>
      <c r="G159" s="12" t="s">
        <v>1481</v>
      </c>
      <c r="H159" s="12" t="s">
        <v>1482</v>
      </c>
      <c r="I159" s="12" t="s">
        <v>1483</v>
      </c>
      <c r="J159" s="12" t="s">
        <v>1484</v>
      </c>
      <c r="K159" s="10">
        <v>2025.0</v>
      </c>
      <c r="L159" s="12" t="s">
        <v>1485</v>
      </c>
      <c r="M159" s="10">
        <v>130.0</v>
      </c>
      <c r="N159" s="12" t="s">
        <v>1486</v>
      </c>
      <c r="O159" s="37" t="s">
        <v>1487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0">
        <v>159.0</v>
      </c>
      <c r="B160" s="11">
        <v>45933.0</v>
      </c>
      <c r="C160" s="12" t="s">
        <v>1492</v>
      </c>
      <c r="D160" s="10" t="s">
        <v>1493</v>
      </c>
      <c r="E160" s="12" t="s">
        <v>1448</v>
      </c>
      <c r="F160" s="12" t="s">
        <v>22</v>
      </c>
      <c r="G160" s="12" t="s">
        <v>1494</v>
      </c>
      <c r="H160" s="12" t="s">
        <v>1495</v>
      </c>
      <c r="I160" s="12" t="s">
        <v>1483</v>
      </c>
      <c r="J160" s="12" t="s">
        <v>1496</v>
      </c>
      <c r="K160" s="10">
        <v>2025.0</v>
      </c>
      <c r="L160" s="12" t="s">
        <v>1485</v>
      </c>
      <c r="M160" s="10">
        <v>130.0</v>
      </c>
      <c r="N160" s="12" t="s">
        <v>1486</v>
      </c>
      <c r="O160" s="37" t="s">
        <v>1497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0">
        <v>160.0</v>
      </c>
      <c r="B161" s="11">
        <v>46002.0</v>
      </c>
      <c r="C161" s="12" t="s">
        <v>1506</v>
      </c>
      <c r="D161" s="31"/>
      <c r="E161" s="22"/>
      <c r="F161" s="12">
        <v>2013.0</v>
      </c>
      <c r="G161" s="22"/>
      <c r="H161" s="22"/>
      <c r="I161" s="12" t="s">
        <v>1507</v>
      </c>
      <c r="J161" s="22"/>
      <c r="K161" s="31"/>
      <c r="L161" s="12" t="s">
        <v>1508</v>
      </c>
      <c r="M161" s="10">
        <v>25.0</v>
      </c>
      <c r="N161" s="12" t="s">
        <v>1509</v>
      </c>
      <c r="O161" s="7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0">
        <v>161.0</v>
      </c>
      <c r="B162" s="11">
        <v>46002.0</v>
      </c>
      <c r="C162" s="12" t="s">
        <v>1510</v>
      </c>
      <c r="D162" s="31"/>
      <c r="E162" s="22"/>
      <c r="F162" s="12">
        <v>2013.0</v>
      </c>
      <c r="G162" s="22"/>
      <c r="H162" s="22"/>
      <c r="I162" s="12" t="s">
        <v>1511</v>
      </c>
      <c r="J162" s="22"/>
      <c r="K162" s="31"/>
      <c r="L162" s="12" t="s">
        <v>1508</v>
      </c>
      <c r="M162" s="10">
        <v>25.0</v>
      </c>
      <c r="N162" s="12" t="s">
        <v>1512</v>
      </c>
      <c r="O162" s="7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0">
        <v>162.0</v>
      </c>
      <c r="B163" s="11">
        <v>46057.0</v>
      </c>
      <c r="C163" s="12" t="s">
        <v>1480</v>
      </c>
      <c r="D163" s="10" t="s">
        <v>778</v>
      </c>
      <c r="E163" s="12" t="s">
        <v>1448</v>
      </c>
      <c r="F163" s="12" t="s">
        <v>22</v>
      </c>
      <c r="G163" s="12" t="s">
        <v>1481</v>
      </c>
      <c r="H163" s="12" t="s">
        <v>1482</v>
      </c>
      <c r="I163" s="12" t="s">
        <v>1483</v>
      </c>
      <c r="J163" s="12" t="s">
        <v>1484</v>
      </c>
      <c r="K163" s="10">
        <v>2025.0</v>
      </c>
      <c r="L163" s="12" t="s">
        <v>1485</v>
      </c>
      <c r="M163" s="10">
        <v>70.0</v>
      </c>
      <c r="N163" s="12" t="s">
        <v>1514</v>
      </c>
      <c r="O163" s="37" t="s">
        <v>1487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0">
        <v>163.0</v>
      </c>
      <c r="B164" s="11">
        <v>46057.0</v>
      </c>
      <c r="C164" s="12" t="s">
        <v>1492</v>
      </c>
      <c r="D164" s="10" t="s">
        <v>1493</v>
      </c>
      <c r="E164" s="12" t="s">
        <v>1448</v>
      </c>
      <c r="F164" s="12" t="s">
        <v>22</v>
      </c>
      <c r="G164" s="12" t="s">
        <v>1494</v>
      </c>
      <c r="H164" s="12" t="s">
        <v>1495</v>
      </c>
      <c r="I164" s="12" t="s">
        <v>1483</v>
      </c>
      <c r="J164" s="12" t="s">
        <v>1496</v>
      </c>
      <c r="K164" s="10">
        <v>2025.0</v>
      </c>
      <c r="L164" s="12" t="s">
        <v>1485</v>
      </c>
      <c r="M164" s="10">
        <v>70.0</v>
      </c>
      <c r="N164" s="12" t="s">
        <v>1514</v>
      </c>
      <c r="O164" s="37" t="s">
        <v>1497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0">
        <v>164.0</v>
      </c>
      <c r="B165" s="11">
        <v>46079.0</v>
      </c>
      <c r="C165" s="84" t="s">
        <v>1518</v>
      </c>
      <c r="D165" s="31"/>
      <c r="E165" s="12" t="s">
        <v>1519</v>
      </c>
      <c r="F165" s="12">
        <v>2013.0</v>
      </c>
      <c r="G165" s="22"/>
      <c r="H165" s="22"/>
      <c r="I165" s="22"/>
      <c r="J165" s="22"/>
      <c r="K165" s="31"/>
      <c r="L165" s="22"/>
      <c r="M165" s="10">
        <v>55.0</v>
      </c>
      <c r="N165" s="22"/>
      <c r="O165" s="7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0">
        <v>165.0</v>
      </c>
      <c r="B166" s="11">
        <v>46079.0</v>
      </c>
      <c r="C166" s="84" t="s">
        <v>1521</v>
      </c>
      <c r="D166" s="31"/>
      <c r="E166" s="12" t="s">
        <v>1519</v>
      </c>
      <c r="F166" s="12">
        <v>2013.0</v>
      </c>
      <c r="G166" s="22"/>
      <c r="H166" s="22"/>
      <c r="I166" s="22"/>
      <c r="J166" s="22"/>
      <c r="K166" s="31"/>
      <c r="L166" s="22"/>
      <c r="M166" s="10">
        <v>100.0</v>
      </c>
      <c r="N166" s="22"/>
      <c r="O166" s="7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0">
        <v>166.0</v>
      </c>
      <c r="B167" s="11">
        <v>46079.0</v>
      </c>
      <c r="C167" s="84" t="s">
        <v>1524</v>
      </c>
      <c r="D167" s="31"/>
      <c r="E167" s="12" t="s">
        <v>1519</v>
      </c>
      <c r="F167" s="12">
        <v>2013.0</v>
      </c>
      <c r="G167" s="22"/>
      <c r="H167" s="22"/>
      <c r="I167" s="22"/>
      <c r="J167" s="22"/>
      <c r="K167" s="31"/>
      <c r="L167" s="22"/>
      <c r="M167" s="10">
        <v>30.0</v>
      </c>
      <c r="N167" s="22"/>
      <c r="O167" s="7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0">
        <v>167.0</v>
      </c>
      <c r="B168" s="11">
        <v>46079.0</v>
      </c>
      <c r="C168" s="84" t="s">
        <v>1526</v>
      </c>
      <c r="D168" s="31"/>
      <c r="E168" s="12" t="s">
        <v>1519</v>
      </c>
      <c r="F168" s="12">
        <v>2013.0</v>
      </c>
      <c r="G168" s="22"/>
      <c r="H168" s="22"/>
      <c r="I168" s="22"/>
      <c r="J168" s="22"/>
      <c r="K168" s="31"/>
      <c r="L168" s="22"/>
      <c r="M168" s="10">
        <v>45.0</v>
      </c>
      <c r="N168" s="22"/>
      <c r="O168" s="7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0">
        <v>164.0</v>
      </c>
      <c r="B169" s="11">
        <v>46108.0</v>
      </c>
      <c r="C169" s="12" t="s">
        <v>1527</v>
      </c>
      <c r="D169" s="10" t="s">
        <v>20</v>
      </c>
      <c r="E169" s="12" t="s">
        <v>1448</v>
      </c>
      <c r="F169" s="12" t="s">
        <v>22</v>
      </c>
      <c r="G169" s="12" t="s">
        <v>1529</v>
      </c>
      <c r="H169" s="12" t="s">
        <v>1530</v>
      </c>
      <c r="I169" s="12" t="s">
        <v>1531</v>
      </c>
      <c r="J169" s="12" t="s">
        <v>1532</v>
      </c>
      <c r="K169" s="10">
        <v>2025.0</v>
      </c>
      <c r="L169" s="12" t="s">
        <v>1534</v>
      </c>
      <c r="M169" s="10">
        <v>20.0</v>
      </c>
      <c r="N169" s="12" t="s">
        <v>1536</v>
      </c>
      <c r="O169" s="37" t="s">
        <v>1537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0">
        <v>165.0</v>
      </c>
      <c r="B170" s="11">
        <v>46108.0</v>
      </c>
      <c r="C170" s="12" t="s">
        <v>1538</v>
      </c>
      <c r="D170" s="10" t="s">
        <v>112</v>
      </c>
      <c r="E170" s="12" t="s">
        <v>1448</v>
      </c>
      <c r="F170" s="12" t="s">
        <v>22</v>
      </c>
      <c r="G170" s="12" t="s">
        <v>1539</v>
      </c>
      <c r="H170" s="12" t="s">
        <v>1540</v>
      </c>
      <c r="I170" s="12" t="s">
        <v>1531</v>
      </c>
      <c r="J170" s="12" t="s">
        <v>1541</v>
      </c>
      <c r="K170" s="10">
        <v>2025.0</v>
      </c>
      <c r="L170" s="12" t="s">
        <v>1542</v>
      </c>
      <c r="M170" s="10">
        <v>20.0</v>
      </c>
      <c r="N170" s="12" t="s">
        <v>1536</v>
      </c>
      <c r="O170" s="37" t="s">
        <v>1543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0">
        <v>166.0</v>
      </c>
      <c r="B171" s="11">
        <v>46134.0</v>
      </c>
      <c r="C171" s="12" t="s">
        <v>1544</v>
      </c>
      <c r="D171" s="10" t="s">
        <v>778</v>
      </c>
      <c r="E171" s="12" t="s">
        <v>1448</v>
      </c>
      <c r="F171" s="12" t="s">
        <v>22</v>
      </c>
      <c r="G171" s="12" t="s">
        <v>1539</v>
      </c>
      <c r="H171" s="12" t="s">
        <v>1545</v>
      </c>
      <c r="I171" s="12" t="s">
        <v>1531</v>
      </c>
      <c r="J171" s="42" t="s">
        <v>1546</v>
      </c>
      <c r="K171" s="10">
        <v>2025.0</v>
      </c>
      <c r="L171" s="12" t="s">
        <v>1534</v>
      </c>
      <c r="M171" s="10">
        <v>20.0</v>
      </c>
      <c r="N171" s="12" t="s">
        <v>1536</v>
      </c>
      <c r="O171" s="37" t="s">
        <v>1543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0">
        <v>167.0</v>
      </c>
      <c r="B172" s="11">
        <v>46245.0</v>
      </c>
      <c r="C172" s="12" t="s">
        <v>1547</v>
      </c>
      <c r="D172" s="10" t="s">
        <v>20</v>
      </c>
      <c r="E172" s="12" t="s">
        <v>21</v>
      </c>
      <c r="F172" s="12" t="s">
        <v>22</v>
      </c>
      <c r="G172" s="22" t="s">
        <v>1548</v>
      </c>
      <c r="H172" s="12" t="s">
        <v>340</v>
      </c>
      <c r="I172" s="85" t="s">
        <v>1549</v>
      </c>
      <c r="J172" s="73" t="s">
        <v>1550</v>
      </c>
      <c r="K172" s="86">
        <v>2023.0</v>
      </c>
      <c r="L172" s="12" t="s">
        <v>1551</v>
      </c>
      <c r="M172" s="10">
        <v>275.0</v>
      </c>
      <c r="N172" s="12" t="s">
        <v>1104</v>
      </c>
      <c r="O172" s="7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0">
        <v>168.0</v>
      </c>
      <c r="B173" s="11">
        <v>46245.0</v>
      </c>
      <c r="C173" s="12" t="s">
        <v>1552</v>
      </c>
      <c r="D173" s="10" t="s">
        <v>20</v>
      </c>
      <c r="E173" s="12" t="s">
        <v>21</v>
      </c>
      <c r="F173" s="12" t="s">
        <v>22</v>
      </c>
      <c r="G173" s="22" t="s">
        <v>1553</v>
      </c>
      <c r="H173" s="22"/>
      <c r="I173" s="85" t="s">
        <v>1549</v>
      </c>
      <c r="J173" s="87" t="s">
        <v>1554</v>
      </c>
      <c r="K173" s="10">
        <v>2022.0</v>
      </c>
      <c r="L173" s="12" t="s">
        <v>1555</v>
      </c>
      <c r="M173" s="10">
        <v>275.0</v>
      </c>
      <c r="N173" s="12" t="s">
        <v>1104</v>
      </c>
      <c r="O173" s="7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0">
        <v>169.0</v>
      </c>
      <c r="B174" s="11">
        <v>46245.0</v>
      </c>
      <c r="C174" s="12" t="s">
        <v>1556</v>
      </c>
      <c r="D174" s="10" t="s">
        <v>20</v>
      </c>
      <c r="E174" s="12" t="s">
        <v>21</v>
      </c>
      <c r="F174" s="12" t="s">
        <v>22</v>
      </c>
      <c r="G174" s="22" t="s">
        <v>1557</v>
      </c>
      <c r="H174" s="22"/>
      <c r="I174" s="85" t="s">
        <v>1549</v>
      </c>
      <c r="J174" s="12" t="s">
        <v>1558</v>
      </c>
      <c r="K174" s="10">
        <v>2023.0</v>
      </c>
      <c r="L174" s="12" t="s">
        <v>1559</v>
      </c>
      <c r="M174" s="10">
        <v>275.0</v>
      </c>
      <c r="N174" s="12" t="s">
        <v>1104</v>
      </c>
      <c r="O174" s="7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0">
        <v>170.0</v>
      </c>
      <c r="B175" s="11">
        <v>46245.0</v>
      </c>
      <c r="C175" s="12" t="s">
        <v>1560</v>
      </c>
      <c r="D175" s="10" t="s">
        <v>20</v>
      </c>
      <c r="E175" s="12" t="s">
        <v>21</v>
      </c>
      <c r="F175" s="12" t="s">
        <v>22</v>
      </c>
      <c r="G175" s="22" t="s">
        <v>1561</v>
      </c>
      <c r="H175" s="22"/>
      <c r="I175" s="12" t="s">
        <v>1549</v>
      </c>
      <c r="J175" s="12" t="s">
        <v>1562</v>
      </c>
      <c r="K175" s="10">
        <v>2023.0</v>
      </c>
      <c r="L175" s="12" t="s">
        <v>1559</v>
      </c>
      <c r="M175" s="10">
        <v>275.0</v>
      </c>
      <c r="N175" s="12" t="s">
        <v>1104</v>
      </c>
      <c r="O175" s="7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0">
        <v>171.0</v>
      </c>
      <c r="B176" s="11">
        <v>46245.0</v>
      </c>
      <c r="C176" s="12" t="s">
        <v>1563</v>
      </c>
      <c r="D176" s="10" t="s">
        <v>20</v>
      </c>
      <c r="E176" s="12" t="s">
        <v>21</v>
      </c>
      <c r="F176" s="12" t="s">
        <v>22</v>
      </c>
      <c r="G176" s="22" t="s">
        <v>1564</v>
      </c>
      <c r="H176" s="22"/>
      <c r="I176" s="12" t="s">
        <v>1549</v>
      </c>
      <c r="J176" s="12" t="s">
        <v>1565</v>
      </c>
      <c r="K176" s="10">
        <v>2023.0</v>
      </c>
      <c r="L176" s="12" t="s">
        <v>1559</v>
      </c>
      <c r="M176" s="10">
        <v>275.0</v>
      </c>
      <c r="N176" s="12" t="s">
        <v>1104</v>
      </c>
      <c r="O176" s="7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0">
        <v>172.0</v>
      </c>
      <c r="B177" s="11">
        <v>46245.0</v>
      </c>
      <c r="C177" s="12" t="s">
        <v>1547</v>
      </c>
      <c r="D177" s="10" t="s">
        <v>112</v>
      </c>
      <c r="E177" s="12" t="s">
        <v>21</v>
      </c>
      <c r="F177" s="12" t="s">
        <v>22</v>
      </c>
      <c r="G177" s="22"/>
      <c r="H177" s="22"/>
      <c r="I177" s="12" t="s">
        <v>1549</v>
      </c>
      <c r="J177" s="22"/>
      <c r="K177" s="31"/>
      <c r="L177" s="22"/>
      <c r="M177" s="10">
        <v>270.0</v>
      </c>
      <c r="N177" s="12" t="s">
        <v>1566</v>
      </c>
      <c r="O177" s="7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0">
        <v>173.0</v>
      </c>
      <c r="B178" s="11">
        <v>46245.0</v>
      </c>
      <c r="C178" s="12" t="s">
        <v>1552</v>
      </c>
      <c r="D178" s="10" t="s">
        <v>112</v>
      </c>
      <c r="E178" s="12" t="s">
        <v>21</v>
      </c>
      <c r="F178" s="12" t="s">
        <v>22</v>
      </c>
      <c r="G178" s="22"/>
      <c r="H178" s="22"/>
      <c r="I178" s="12" t="s">
        <v>1549</v>
      </c>
      <c r="J178" s="22"/>
      <c r="K178" s="31"/>
      <c r="L178" s="22"/>
      <c r="M178" s="10">
        <v>270.0</v>
      </c>
      <c r="N178" s="12" t="s">
        <v>1566</v>
      </c>
      <c r="O178" s="7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0">
        <v>174.0</v>
      </c>
      <c r="B179" s="11">
        <v>46245.0</v>
      </c>
      <c r="C179" s="12" t="s">
        <v>1556</v>
      </c>
      <c r="D179" s="10" t="s">
        <v>112</v>
      </c>
      <c r="E179" s="12" t="s">
        <v>21</v>
      </c>
      <c r="F179" s="12" t="s">
        <v>22</v>
      </c>
      <c r="G179" s="22"/>
      <c r="H179" s="22"/>
      <c r="I179" s="12" t="s">
        <v>1549</v>
      </c>
      <c r="J179" s="22"/>
      <c r="K179" s="31"/>
      <c r="L179" s="22"/>
      <c r="M179" s="10">
        <v>270.0</v>
      </c>
      <c r="N179" s="12" t="s">
        <v>1566</v>
      </c>
      <c r="O179" s="7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0">
        <v>175.0</v>
      </c>
      <c r="B180" s="11">
        <v>46245.0</v>
      </c>
      <c r="C180" s="12" t="s">
        <v>1560</v>
      </c>
      <c r="D180" s="10" t="s">
        <v>112</v>
      </c>
      <c r="E180" s="12" t="s">
        <v>21</v>
      </c>
      <c r="F180" s="12" t="s">
        <v>22</v>
      </c>
      <c r="G180" s="22"/>
      <c r="H180" s="22"/>
      <c r="I180" s="12" t="s">
        <v>1549</v>
      </c>
      <c r="J180" s="22"/>
      <c r="K180" s="31"/>
      <c r="L180" s="22"/>
      <c r="M180" s="10">
        <v>270.0</v>
      </c>
      <c r="N180" s="12" t="s">
        <v>1566</v>
      </c>
      <c r="O180" s="7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0">
        <v>176.0</v>
      </c>
      <c r="B181" s="11">
        <v>46245.0</v>
      </c>
      <c r="C181" s="12" t="s">
        <v>1563</v>
      </c>
      <c r="D181" s="10" t="s">
        <v>112</v>
      </c>
      <c r="E181" s="12" t="s">
        <v>21</v>
      </c>
      <c r="F181" s="12" t="s">
        <v>22</v>
      </c>
      <c r="G181" s="22"/>
      <c r="H181" s="22"/>
      <c r="I181" s="12" t="s">
        <v>1549</v>
      </c>
      <c r="J181" s="22"/>
      <c r="K181" s="31"/>
      <c r="L181" s="22"/>
      <c r="M181" s="10">
        <v>270.0</v>
      </c>
      <c r="N181" s="12" t="s">
        <v>1566</v>
      </c>
      <c r="O181" s="7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0">
        <v>177.0</v>
      </c>
      <c r="B182" s="11">
        <v>46304.0</v>
      </c>
      <c r="C182" s="84" t="s">
        <v>1519</v>
      </c>
      <c r="D182" s="31"/>
      <c r="E182" s="12" t="s">
        <v>1567</v>
      </c>
      <c r="F182" s="22"/>
      <c r="G182" s="22"/>
      <c r="H182" s="22"/>
      <c r="I182" s="22"/>
      <c r="J182" s="22"/>
      <c r="K182" s="31"/>
      <c r="L182" s="22"/>
      <c r="M182" s="10">
        <v>65.0</v>
      </c>
      <c r="N182" s="12">
        <v>65.0</v>
      </c>
      <c r="O182" s="7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1"/>
      <c r="B183" s="52"/>
      <c r="C183" s="22"/>
      <c r="D183" s="31"/>
      <c r="E183" s="22"/>
      <c r="F183" s="22"/>
      <c r="G183" s="22"/>
      <c r="H183" s="22"/>
      <c r="I183" s="22"/>
      <c r="J183" s="22"/>
      <c r="K183" s="31"/>
      <c r="L183" s="22"/>
      <c r="M183" s="31"/>
      <c r="N183" s="22"/>
      <c r="O183" s="7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1"/>
      <c r="B184" s="52"/>
      <c r="C184" s="22"/>
      <c r="D184" s="31"/>
      <c r="E184" s="22"/>
      <c r="F184" s="22"/>
      <c r="G184" s="22"/>
      <c r="H184" s="22"/>
      <c r="I184" s="22"/>
      <c r="J184" s="22"/>
      <c r="K184" s="31"/>
      <c r="L184" s="22"/>
      <c r="M184" s="31"/>
      <c r="N184" s="22"/>
      <c r="O184" s="7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1"/>
      <c r="B185" s="52"/>
      <c r="C185" s="22"/>
      <c r="D185" s="31"/>
      <c r="E185" s="22"/>
      <c r="F185" s="22"/>
      <c r="G185" s="22"/>
      <c r="H185" s="22"/>
      <c r="I185" s="22"/>
      <c r="J185" s="22"/>
      <c r="K185" s="31"/>
      <c r="L185" s="22"/>
      <c r="M185" s="31"/>
      <c r="N185" s="22"/>
      <c r="O185" s="7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1"/>
      <c r="B186" s="52"/>
      <c r="C186" s="22"/>
      <c r="D186" s="31"/>
      <c r="E186" s="22"/>
      <c r="F186" s="22"/>
      <c r="G186" s="22"/>
      <c r="H186" s="22"/>
      <c r="I186" s="22"/>
      <c r="J186" s="22"/>
      <c r="K186" s="31"/>
      <c r="L186" s="22"/>
      <c r="M186" s="31"/>
      <c r="N186" s="22"/>
      <c r="O186" s="7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1"/>
      <c r="B187" s="52"/>
      <c r="C187" s="22"/>
      <c r="D187" s="31"/>
      <c r="E187" s="22"/>
      <c r="F187" s="22"/>
      <c r="G187" s="22"/>
      <c r="H187" s="22"/>
      <c r="I187" s="22"/>
      <c r="J187" s="22"/>
      <c r="K187" s="31"/>
      <c r="L187" s="22"/>
      <c r="M187" s="31"/>
      <c r="N187" s="22"/>
      <c r="O187" s="7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1"/>
      <c r="B188" s="52"/>
      <c r="C188" s="22"/>
      <c r="D188" s="31"/>
      <c r="E188" s="22"/>
      <c r="F188" s="22"/>
      <c r="G188" s="22"/>
      <c r="H188" s="22"/>
      <c r="I188" s="22"/>
      <c r="J188" s="22"/>
      <c r="K188" s="31"/>
      <c r="L188" s="22"/>
      <c r="M188" s="31"/>
      <c r="N188" s="22"/>
      <c r="O188" s="7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1"/>
      <c r="B189" s="52"/>
      <c r="C189" s="22"/>
      <c r="D189" s="31"/>
      <c r="E189" s="22"/>
      <c r="F189" s="22"/>
      <c r="G189" s="22"/>
      <c r="H189" s="22"/>
      <c r="I189" s="22"/>
      <c r="J189" s="22"/>
      <c r="K189" s="31"/>
      <c r="L189" s="22"/>
      <c r="M189" s="31"/>
      <c r="N189" s="22"/>
      <c r="O189" s="7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1"/>
      <c r="B190" s="52"/>
      <c r="C190" s="22"/>
      <c r="D190" s="31"/>
      <c r="E190" s="22"/>
      <c r="F190" s="22"/>
      <c r="G190" s="22"/>
      <c r="H190" s="22"/>
      <c r="I190" s="22"/>
      <c r="J190" s="22"/>
      <c r="K190" s="31"/>
      <c r="L190" s="22"/>
      <c r="M190" s="31"/>
      <c r="N190" s="22"/>
      <c r="O190" s="7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1"/>
      <c r="B191" s="52"/>
      <c r="C191" s="22"/>
      <c r="D191" s="31"/>
      <c r="E191" s="22"/>
      <c r="F191" s="22"/>
      <c r="G191" s="22"/>
      <c r="H191" s="22"/>
      <c r="I191" s="22"/>
      <c r="J191" s="22"/>
      <c r="K191" s="31"/>
      <c r="L191" s="22"/>
      <c r="M191" s="31"/>
      <c r="N191" s="22"/>
      <c r="O191" s="7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1"/>
      <c r="B192" s="52"/>
      <c r="C192" s="22"/>
      <c r="D192" s="31"/>
      <c r="E192" s="22"/>
      <c r="F192" s="22"/>
      <c r="G192" s="22"/>
      <c r="H192" s="22"/>
      <c r="I192" s="22"/>
      <c r="J192" s="22"/>
      <c r="K192" s="31"/>
      <c r="L192" s="22"/>
      <c r="M192" s="31"/>
      <c r="N192" s="22"/>
      <c r="O192" s="7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1"/>
      <c r="B193" s="52"/>
      <c r="C193" s="22"/>
      <c r="D193" s="31"/>
      <c r="E193" s="22"/>
      <c r="F193" s="22"/>
      <c r="G193" s="22"/>
      <c r="H193" s="22"/>
      <c r="I193" s="22"/>
      <c r="J193" s="22"/>
      <c r="K193" s="31"/>
      <c r="L193" s="22"/>
      <c r="M193" s="31"/>
      <c r="N193" s="22"/>
      <c r="O193" s="7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1"/>
      <c r="B194" s="52"/>
      <c r="C194" s="22"/>
      <c r="D194" s="31"/>
      <c r="E194" s="22"/>
      <c r="F194" s="22"/>
      <c r="G194" s="22"/>
      <c r="H194" s="22"/>
      <c r="I194" s="22"/>
      <c r="J194" s="22"/>
      <c r="K194" s="31"/>
      <c r="L194" s="22"/>
      <c r="M194" s="31"/>
      <c r="N194" s="22"/>
      <c r="O194" s="7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1"/>
      <c r="B195" s="52"/>
      <c r="C195" s="22"/>
      <c r="D195" s="31"/>
      <c r="E195" s="22"/>
      <c r="F195" s="22"/>
      <c r="G195" s="22"/>
      <c r="H195" s="22"/>
      <c r="I195" s="22"/>
      <c r="J195" s="22"/>
      <c r="K195" s="31"/>
      <c r="L195" s="22"/>
      <c r="M195" s="31"/>
      <c r="N195" s="22"/>
      <c r="O195" s="7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1"/>
      <c r="B196" s="52"/>
      <c r="C196" s="22"/>
      <c r="D196" s="31"/>
      <c r="E196" s="22"/>
      <c r="F196" s="22"/>
      <c r="G196" s="22"/>
      <c r="H196" s="22"/>
      <c r="I196" s="22"/>
      <c r="J196" s="22"/>
      <c r="K196" s="31"/>
      <c r="L196" s="22"/>
      <c r="M196" s="31"/>
      <c r="N196" s="22"/>
      <c r="O196" s="7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1"/>
      <c r="B197" s="52"/>
      <c r="C197" s="22"/>
      <c r="D197" s="31"/>
      <c r="E197" s="22"/>
      <c r="F197" s="22"/>
      <c r="G197" s="22"/>
      <c r="H197" s="22"/>
      <c r="I197" s="22"/>
      <c r="J197" s="22"/>
      <c r="K197" s="31"/>
      <c r="L197" s="22"/>
      <c r="M197" s="31"/>
      <c r="N197" s="22"/>
      <c r="O197" s="7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1"/>
      <c r="B198" s="52"/>
      <c r="C198" s="22"/>
      <c r="D198" s="31"/>
      <c r="E198" s="22"/>
      <c r="F198" s="22"/>
      <c r="G198" s="22"/>
      <c r="H198" s="22"/>
      <c r="I198" s="22"/>
      <c r="J198" s="22"/>
      <c r="K198" s="31"/>
      <c r="L198" s="22"/>
      <c r="M198" s="31"/>
      <c r="N198" s="22"/>
      <c r="O198" s="7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1"/>
      <c r="B199" s="52"/>
      <c r="C199" s="22"/>
      <c r="D199" s="31"/>
      <c r="E199" s="22"/>
      <c r="F199" s="22"/>
      <c r="G199" s="22"/>
      <c r="H199" s="22"/>
      <c r="I199" s="22"/>
      <c r="J199" s="22"/>
      <c r="K199" s="31"/>
      <c r="L199" s="22"/>
      <c r="M199" s="31"/>
      <c r="N199" s="22"/>
      <c r="O199" s="7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1"/>
      <c r="B200" s="52"/>
      <c r="C200" s="22"/>
      <c r="D200" s="31"/>
      <c r="E200" s="22"/>
      <c r="F200" s="22"/>
      <c r="G200" s="22"/>
      <c r="H200" s="22"/>
      <c r="I200" s="22"/>
      <c r="J200" s="22"/>
      <c r="K200" s="31"/>
      <c r="L200" s="22"/>
      <c r="M200" s="31"/>
      <c r="N200" s="22"/>
      <c r="O200" s="7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1"/>
      <c r="B201" s="52"/>
      <c r="C201" s="22"/>
      <c r="D201" s="31"/>
      <c r="E201" s="22"/>
      <c r="F201" s="22"/>
      <c r="G201" s="22"/>
      <c r="H201" s="22"/>
      <c r="I201" s="22"/>
      <c r="J201" s="22"/>
      <c r="K201" s="31"/>
      <c r="L201" s="22"/>
      <c r="M201" s="31"/>
      <c r="N201" s="22"/>
      <c r="O201" s="7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1"/>
      <c r="B202" s="52"/>
      <c r="C202" s="22"/>
      <c r="D202" s="31"/>
      <c r="E202" s="22"/>
      <c r="F202" s="22"/>
      <c r="G202" s="22"/>
      <c r="H202" s="22"/>
      <c r="I202" s="22"/>
      <c r="J202" s="22"/>
      <c r="K202" s="31"/>
      <c r="L202" s="22"/>
      <c r="M202" s="31"/>
      <c r="N202" s="22"/>
      <c r="O202" s="7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1"/>
      <c r="B203" s="52"/>
      <c r="C203" s="22"/>
      <c r="D203" s="31"/>
      <c r="E203" s="22"/>
      <c r="F203" s="22"/>
      <c r="G203" s="22"/>
      <c r="H203" s="22"/>
      <c r="I203" s="22"/>
      <c r="J203" s="22"/>
      <c r="K203" s="31"/>
      <c r="L203" s="22"/>
      <c r="M203" s="31"/>
      <c r="N203" s="22"/>
      <c r="O203" s="7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1"/>
      <c r="B204" s="52"/>
      <c r="C204" s="22"/>
      <c r="D204" s="31"/>
      <c r="E204" s="22"/>
      <c r="F204" s="22"/>
      <c r="G204" s="22"/>
      <c r="H204" s="22"/>
      <c r="I204" s="22"/>
      <c r="J204" s="22"/>
      <c r="K204" s="31"/>
      <c r="L204" s="22"/>
      <c r="M204" s="31"/>
      <c r="N204" s="22"/>
      <c r="O204" s="7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1"/>
      <c r="B205" s="52"/>
      <c r="C205" s="22"/>
      <c r="D205" s="31"/>
      <c r="E205" s="22"/>
      <c r="F205" s="22"/>
      <c r="G205" s="22"/>
      <c r="H205" s="22"/>
      <c r="I205" s="22"/>
      <c r="J205" s="22"/>
      <c r="K205" s="31"/>
      <c r="L205" s="22"/>
      <c r="M205" s="31"/>
      <c r="N205" s="22"/>
      <c r="O205" s="7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1"/>
      <c r="B206" s="52"/>
      <c r="C206" s="22"/>
      <c r="D206" s="31"/>
      <c r="E206" s="22"/>
      <c r="F206" s="22"/>
      <c r="G206" s="22"/>
      <c r="H206" s="22"/>
      <c r="I206" s="22"/>
      <c r="J206" s="22"/>
      <c r="K206" s="31"/>
      <c r="L206" s="22"/>
      <c r="M206" s="31"/>
      <c r="N206" s="22"/>
      <c r="O206" s="7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1"/>
      <c r="B207" s="52"/>
      <c r="C207" s="22"/>
      <c r="D207" s="31"/>
      <c r="E207" s="22"/>
      <c r="F207" s="22"/>
      <c r="G207" s="22"/>
      <c r="H207" s="22"/>
      <c r="I207" s="22"/>
      <c r="J207" s="22"/>
      <c r="K207" s="31"/>
      <c r="L207" s="22"/>
      <c r="M207" s="31"/>
      <c r="N207" s="22"/>
      <c r="O207" s="7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1"/>
      <c r="B208" s="52"/>
      <c r="C208" s="22"/>
      <c r="D208" s="31"/>
      <c r="E208" s="22"/>
      <c r="F208" s="22"/>
      <c r="G208" s="22"/>
      <c r="H208" s="22"/>
      <c r="I208" s="22"/>
      <c r="J208" s="22"/>
      <c r="K208" s="31"/>
      <c r="L208" s="22"/>
      <c r="M208" s="31"/>
      <c r="N208" s="22"/>
      <c r="O208" s="7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1"/>
      <c r="B209" s="52"/>
      <c r="C209" s="22"/>
      <c r="D209" s="31"/>
      <c r="E209" s="22"/>
      <c r="F209" s="22"/>
      <c r="G209" s="22"/>
      <c r="H209" s="22"/>
      <c r="I209" s="22"/>
      <c r="J209" s="22"/>
      <c r="K209" s="31"/>
      <c r="L209" s="22"/>
      <c r="M209" s="31"/>
      <c r="N209" s="22"/>
      <c r="O209" s="7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1"/>
      <c r="B210" s="52"/>
      <c r="C210" s="22"/>
      <c r="D210" s="31"/>
      <c r="E210" s="22"/>
      <c r="F210" s="22"/>
      <c r="G210" s="22"/>
      <c r="H210" s="22"/>
      <c r="I210" s="22"/>
      <c r="J210" s="22"/>
      <c r="K210" s="31"/>
      <c r="L210" s="22"/>
      <c r="M210" s="31"/>
      <c r="N210" s="22"/>
      <c r="O210" s="7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1"/>
      <c r="B211" s="52"/>
      <c r="C211" s="22"/>
      <c r="D211" s="31"/>
      <c r="E211" s="22"/>
      <c r="F211" s="22"/>
      <c r="G211" s="22"/>
      <c r="H211" s="22"/>
      <c r="I211" s="22"/>
      <c r="J211" s="22"/>
      <c r="K211" s="31"/>
      <c r="L211" s="22"/>
      <c r="M211" s="31"/>
      <c r="N211" s="22"/>
      <c r="O211" s="7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1"/>
      <c r="B212" s="52"/>
      <c r="C212" s="22"/>
      <c r="D212" s="31"/>
      <c r="E212" s="22"/>
      <c r="F212" s="22"/>
      <c r="G212" s="22"/>
      <c r="H212" s="22"/>
      <c r="I212" s="22"/>
      <c r="J212" s="22"/>
      <c r="K212" s="31"/>
      <c r="L212" s="22"/>
      <c r="M212" s="31"/>
      <c r="N212" s="22"/>
      <c r="O212" s="7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1"/>
      <c r="B213" s="52"/>
      <c r="C213" s="22"/>
      <c r="D213" s="31"/>
      <c r="E213" s="22"/>
      <c r="F213" s="22"/>
      <c r="G213" s="22"/>
      <c r="H213" s="22"/>
      <c r="I213" s="22"/>
      <c r="J213" s="22"/>
      <c r="K213" s="31"/>
      <c r="L213" s="22"/>
      <c r="M213" s="31"/>
      <c r="N213" s="22"/>
      <c r="O213" s="7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1"/>
      <c r="B214" s="52"/>
      <c r="C214" s="22"/>
      <c r="D214" s="31"/>
      <c r="E214" s="22"/>
      <c r="F214" s="22"/>
      <c r="G214" s="22"/>
      <c r="H214" s="22"/>
      <c r="I214" s="22"/>
      <c r="J214" s="22"/>
      <c r="K214" s="31"/>
      <c r="L214" s="22"/>
      <c r="M214" s="31"/>
      <c r="N214" s="22"/>
      <c r="O214" s="7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1"/>
      <c r="B215" s="52"/>
      <c r="C215" s="22"/>
      <c r="D215" s="31"/>
      <c r="E215" s="22"/>
      <c r="F215" s="22"/>
      <c r="G215" s="22"/>
      <c r="H215" s="22"/>
      <c r="I215" s="22"/>
      <c r="J215" s="22"/>
      <c r="K215" s="31"/>
      <c r="L215" s="22"/>
      <c r="M215" s="31"/>
      <c r="N215" s="22"/>
      <c r="O215" s="7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1"/>
      <c r="B216" s="52"/>
      <c r="C216" s="22"/>
      <c r="D216" s="31"/>
      <c r="E216" s="22"/>
      <c r="F216" s="22"/>
      <c r="G216" s="22"/>
      <c r="H216" s="22"/>
      <c r="I216" s="22"/>
      <c r="J216" s="22"/>
      <c r="K216" s="31"/>
      <c r="L216" s="22"/>
      <c r="M216" s="31"/>
      <c r="N216" s="22"/>
      <c r="O216" s="7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1"/>
      <c r="B217" s="52"/>
      <c r="C217" s="22"/>
      <c r="D217" s="31"/>
      <c r="E217" s="22"/>
      <c r="F217" s="22"/>
      <c r="G217" s="22"/>
      <c r="H217" s="22"/>
      <c r="I217" s="22"/>
      <c r="J217" s="22"/>
      <c r="K217" s="31"/>
      <c r="L217" s="22"/>
      <c r="M217" s="31"/>
      <c r="N217" s="22"/>
      <c r="O217" s="7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1"/>
      <c r="B218" s="52"/>
      <c r="C218" s="22"/>
      <c r="D218" s="31"/>
      <c r="E218" s="22"/>
      <c r="F218" s="22"/>
      <c r="G218" s="22"/>
      <c r="H218" s="22"/>
      <c r="I218" s="22"/>
      <c r="J218" s="22"/>
      <c r="K218" s="31"/>
      <c r="L218" s="22"/>
      <c r="M218" s="31"/>
      <c r="N218" s="22"/>
      <c r="O218" s="7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1"/>
      <c r="B219" s="52"/>
      <c r="C219" s="22"/>
      <c r="D219" s="31"/>
      <c r="E219" s="22"/>
      <c r="F219" s="22"/>
      <c r="G219" s="22"/>
      <c r="H219" s="22"/>
      <c r="I219" s="22"/>
      <c r="J219" s="22"/>
      <c r="K219" s="31"/>
      <c r="L219" s="22"/>
      <c r="M219" s="31"/>
      <c r="N219" s="22"/>
      <c r="O219" s="7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1"/>
      <c r="B220" s="52"/>
      <c r="C220" s="22"/>
      <c r="D220" s="31"/>
      <c r="E220" s="22"/>
      <c r="F220" s="22"/>
      <c r="G220" s="22"/>
      <c r="H220" s="22"/>
      <c r="I220" s="22"/>
      <c r="J220" s="22"/>
      <c r="K220" s="31"/>
      <c r="L220" s="22"/>
      <c r="M220" s="31"/>
      <c r="N220" s="22"/>
      <c r="O220" s="7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1"/>
      <c r="B221" s="52"/>
      <c r="C221" s="22"/>
      <c r="D221" s="31"/>
      <c r="E221" s="22"/>
      <c r="F221" s="22"/>
      <c r="G221" s="22"/>
      <c r="H221" s="22"/>
      <c r="I221" s="22"/>
      <c r="J221" s="22"/>
      <c r="K221" s="31"/>
      <c r="L221" s="22"/>
      <c r="M221" s="31"/>
      <c r="N221" s="22"/>
      <c r="O221" s="7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1"/>
      <c r="B222" s="52"/>
      <c r="C222" s="22"/>
      <c r="D222" s="31"/>
      <c r="E222" s="22"/>
      <c r="F222" s="22"/>
      <c r="G222" s="22"/>
      <c r="H222" s="22"/>
      <c r="I222" s="22"/>
      <c r="J222" s="22"/>
      <c r="K222" s="31"/>
      <c r="L222" s="22"/>
      <c r="M222" s="31"/>
      <c r="N222" s="22"/>
      <c r="O222" s="7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1"/>
      <c r="B223" s="52"/>
      <c r="C223" s="22"/>
      <c r="D223" s="31"/>
      <c r="E223" s="22"/>
      <c r="F223" s="22"/>
      <c r="G223" s="22"/>
      <c r="H223" s="22"/>
      <c r="I223" s="22"/>
      <c r="J223" s="22"/>
      <c r="K223" s="31"/>
      <c r="L223" s="22"/>
      <c r="M223" s="31"/>
      <c r="N223" s="22"/>
      <c r="O223" s="7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1"/>
      <c r="B224" s="52"/>
      <c r="C224" s="22"/>
      <c r="D224" s="31"/>
      <c r="E224" s="22"/>
      <c r="F224" s="22"/>
      <c r="G224" s="22"/>
      <c r="H224" s="22"/>
      <c r="I224" s="22"/>
      <c r="J224" s="22"/>
      <c r="K224" s="31"/>
      <c r="L224" s="22"/>
      <c r="M224" s="31"/>
      <c r="N224" s="22"/>
      <c r="O224" s="7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1"/>
      <c r="B225" s="52"/>
      <c r="C225" s="22"/>
      <c r="D225" s="31"/>
      <c r="E225" s="22"/>
      <c r="F225" s="22"/>
      <c r="G225" s="22"/>
      <c r="H225" s="22"/>
      <c r="I225" s="22"/>
      <c r="J225" s="22"/>
      <c r="K225" s="31"/>
      <c r="L225" s="22"/>
      <c r="M225" s="31"/>
      <c r="N225" s="22"/>
      <c r="O225" s="7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1"/>
      <c r="B226" s="52"/>
      <c r="C226" s="22"/>
      <c r="D226" s="31"/>
      <c r="E226" s="22"/>
      <c r="F226" s="22"/>
      <c r="G226" s="22"/>
      <c r="H226" s="22"/>
      <c r="I226" s="22"/>
      <c r="J226" s="22"/>
      <c r="K226" s="31"/>
      <c r="L226" s="22"/>
      <c r="M226" s="31"/>
      <c r="N226" s="22"/>
      <c r="O226" s="7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1"/>
      <c r="B227" s="52"/>
      <c r="C227" s="22"/>
      <c r="D227" s="31"/>
      <c r="E227" s="22"/>
      <c r="F227" s="22"/>
      <c r="G227" s="22"/>
      <c r="H227" s="22"/>
      <c r="I227" s="22"/>
      <c r="J227" s="22"/>
      <c r="K227" s="31"/>
      <c r="L227" s="22"/>
      <c r="M227" s="31"/>
      <c r="N227" s="22"/>
      <c r="O227" s="7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1"/>
      <c r="B228" s="52"/>
      <c r="C228" s="22"/>
      <c r="D228" s="31"/>
      <c r="E228" s="22"/>
      <c r="F228" s="22"/>
      <c r="G228" s="22"/>
      <c r="H228" s="22"/>
      <c r="I228" s="22"/>
      <c r="J228" s="22"/>
      <c r="K228" s="31"/>
      <c r="L228" s="22"/>
      <c r="M228" s="31"/>
      <c r="N228" s="22"/>
      <c r="O228" s="7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1"/>
      <c r="B229" s="52"/>
      <c r="C229" s="22"/>
      <c r="D229" s="31"/>
      <c r="E229" s="22"/>
      <c r="F229" s="22"/>
      <c r="G229" s="22"/>
      <c r="H229" s="22"/>
      <c r="I229" s="22"/>
      <c r="J229" s="22"/>
      <c r="K229" s="31"/>
      <c r="L229" s="22"/>
      <c r="M229" s="31"/>
      <c r="N229" s="22"/>
      <c r="O229" s="7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1"/>
      <c r="B230" s="52"/>
      <c r="C230" s="22"/>
      <c r="D230" s="31"/>
      <c r="E230" s="22"/>
      <c r="F230" s="22"/>
      <c r="G230" s="22"/>
      <c r="H230" s="22"/>
      <c r="I230" s="22"/>
      <c r="J230" s="22"/>
      <c r="K230" s="31"/>
      <c r="L230" s="22"/>
      <c r="M230" s="31"/>
      <c r="N230" s="22"/>
      <c r="O230" s="7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1"/>
      <c r="B231" s="52"/>
      <c r="C231" s="22"/>
      <c r="D231" s="31"/>
      <c r="E231" s="22"/>
      <c r="F231" s="22"/>
      <c r="G231" s="22"/>
      <c r="H231" s="22"/>
      <c r="I231" s="22"/>
      <c r="J231" s="22"/>
      <c r="K231" s="31"/>
      <c r="L231" s="22"/>
      <c r="M231" s="31"/>
      <c r="N231" s="22"/>
      <c r="O231" s="7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1"/>
      <c r="B232" s="52"/>
      <c r="C232" s="22"/>
      <c r="D232" s="31"/>
      <c r="E232" s="22"/>
      <c r="F232" s="22"/>
      <c r="G232" s="22"/>
      <c r="H232" s="22"/>
      <c r="I232" s="22"/>
      <c r="J232" s="22"/>
      <c r="K232" s="31"/>
      <c r="L232" s="22"/>
      <c r="M232" s="31"/>
      <c r="N232" s="22"/>
      <c r="O232" s="7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1"/>
      <c r="B233" s="52"/>
      <c r="C233" s="22"/>
      <c r="D233" s="31"/>
      <c r="E233" s="22"/>
      <c r="F233" s="22"/>
      <c r="G233" s="22"/>
      <c r="H233" s="22"/>
      <c r="I233" s="22"/>
      <c r="J233" s="22"/>
      <c r="K233" s="31"/>
      <c r="L233" s="22"/>
      <c r="M233" s="31"/>
      <c r="N233" s="22"/>
      <c r="O233" s="7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1"/>
      <c r="B234" s="52"/>
      <c r="C234" s="22"/>
      <c r="D234" s="31"/>
      <c r="E234" s="22"/>
      <c r="F234" s="22"/>
      <c r="G234" s="22"/>
      <c r="H234" s="22"/>
      <c r="I234" s="22"/>
      <c r="J234" s="22"/>
      <c r="K234" s="31"/>
      <c r="L234" s="22"/>
      <c r="M234" s="31"/>
      <c r="N234" s="22"/>
      <c r="O234" s="7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1"/>
      <c r="B235" s="52"/>
      <c r="C235" s="22"/>
      <c r="D235" s="31"/>
      <c r="E235" s="22"/>
      <c r="F235" s="22"/>
      <c r="G235" s="22"/>
      <c r="H235" s="22"/>
      <c r="I235" s="22"/>
      <c r="J235" s="22"/>
      <c r="K235" s="31"/>
      <c r="L235" s="22"/>
      <c r="M235" s="31"/>
      <c r="N235" s="22"/>
      <c r="O235" s="7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1"/>
      <c r="B236" s="52"/>
      <c r="C236" s="22"/>
      <c r="D236" s="31"/>
      <c r="E236" s="22"/>
      <c r="F236" s="22"/>
      <c r="G236" s="22"/>
      <c r="H236" s="22"/>
      <c r="I236" s="22"/>
      <c r="J236" s="22"/>
      <c r="K236" s="31"/>
      <c r="L236" s="22"/>
      <c r="M236" s="31"/>
      <c r="N236" s="22"/>
      <c r="O236" s="7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1"/>
      <c r="B237" s="52"/>
      <c r="C237" s="22"/>
      <c r="D237" s="31"/>
      <c r="E237" s="22"/>
      <c r="F237" s="22"/>
      <c r="G237" s="22"/>
      <c r="H237" s="22"/>
      <c r="I237" s="22"/>
      <c r="J237" s="22"/>
      <c r="K237" s="31"/>
      <c r="L237" s="22"/>
      <c r="M237" s="31"/>
      <c r="N237" s="22"/>
      <c r="O237" s="7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1"/>
      <c r="B238" s="52"/>
      <c r="C238" s="22"/>
      <c r="D238" s="31"/>
      <c r="E238" s="22"/>
      <c r="F238" s="22"/>
      <c r="G238" s="22"/>
      <c r="H238" s="22"/>
      <c r="I238" s="22"/>
      <c r="J238" s="22"/>
      <c r="K238" s="31"/>
      <c r="L238" s="22"/>
      <c r="M238" s="31"/>
      <c r="N238" s="22"/>
      <c r="O238" s="7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1"/>
      <c r="B239" s="52"/>
      <c r="C239" s="22"/>
      <c r="D239" s="31"/>
      <c r="E239" s="22"/>
      <c r="F239" s="22"/>
      <c r="G239" s="22"/>
      <c r="H239" s="22"/>
      <c r="I239" s="22"/>
      <c r="J239" s="22"/>
      <c r="K239" s="31"/>
      <c r="L239" s="22"/>
      <c r="M239" s="31"/>
      <c r="N239" s="22"/>
      <c r="O239" s="7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1"/>
      <c r="B240" s="52"/>
      <c r="C240" s="22"/>
      <c r="D240" s="31"/>
      <c r="E240" s="22"/>
      <c r="F240" s="22"/>
      <c r="G240" s="22"/>
      <c r="H240" s="22"/>
      <c r="I240" s="22"/>
      <c r="J240" s="22"/>
      <c r="K240" s="31"/>
      <c r="L240" s="22"/>
      <c r="M240" s="31"/>
      <c r="N240" s="22"/>
      <c r="O240" s="7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1"/>
      <c r="B241" s="52"/>
      <c r="C241" s="22"/>
      <c r="D241" s="31"/>
      <c r="E241" s="22"/>
      <c r="F241" s="22"/>
      <c r="G241" s="22"/>
      <c r="H241" s="22"/>
      <c r="I241" s="22"/>
      <c r="J241" s="22"/>
      <c r="K241" s="31"/>
      <c r="L241" s="22"/>
      <c r="M241" s="31"/>
      <c r="N241" s="22"/>
      <c r="O241" s="7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1"/>
      <c r="B242" s="52"/>
      <c r="C242" s="22"/>
      <c r="D242" s="31"/>
      <c r="E242" s="22"/>
      <c r="F242" s="22"/>
      <c r="G242" s="22"/>
      <c r="H242" s="22"/>
      <c r="I242" s="22"/>
      <c r="J242" s="22"/>
      <c r="K242" s="31"/>
      <c r="L242" s="22"/>
      <c r="M242" s="31"/>
      <c r="N242" s="22"/>
      <c r="O242" s="7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1"/>
      <c r="B243" s="52"/>
      <c r="C243" s="22"/>
      <c r="D243" s="31"/>
      <c r="E243" s="22"/>
      <c r="F243" s="22"/>
      <c r="G243" s="22"/>
      <c r="H243" s="22"/>
      <c r="I243" s="22"/>
      <c r="J243" s="22"/>
      <c r="K243" s="31"/>
      <c r="L243" s="22"/>
      <c r="M243" s="31"/>
      <c r="N243" s="22"/>
      <c r="O243" s="7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1"/>
      <c r="B244" s="52"/>
      <c r="C244" s="22"/>
      <c r="D244" s="31"/>
      <c r="E244" s="22"/>
      <c r="F244" s="22"/>
      <c r="G244" s="22"/>
      <c r="H244" s="22"/>
      <c r="I244" s="22"/>
      <c r="J244" s="22"/>
      <c r="K244" s="31"/>
      <c r="L244" s="22"/>
      <c r="M244" s="31"/>
      <c r="N244" s="22"/>
      <c r="O244" s="7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1"/>
      <c r="B245" s="52"/>
      <c r="C245" s="22"/>
      <c r="D245" s="31"/>
      <c r="E245" s="22"/>
      <c r="F245" s="22"/>
      <c r="G245" s="22"/>
      <c r="H245" s="22"/>
      <c r="I245" s="22"/>
      <c r="J245" s="22"/>
      <c r="K245" s="31"/>
      <c r="L245" s="22"/>
      <c r="M245" s="31"/>
      <c r="N245" s="22"/>
      <c r="O245" s="7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1"/>
      <c r="B246" s="52"/>
      <c r="C246" s="22"/>
      <c r="D246" s="31"/>
      <c r="E246" s="22"/>
      <c r="F246" s="22"/>
      <c r="G246" s="22"/>
      <c r="H246" s="22"/>
      <c r="I246" s="22"/>
      <c r="J246" s="22"/>
      <c r="K246" s="31"/>
      <c r="L246" s="22"/>
      <c r="M246" s="31"/>
      <c r="N246" s="22"/>
      <c r="O246" s="7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1"/>
      <c r="B247" s="52"/>
      <c r="C247" s="22"/>
      <c r="D247" s="31"/>
      <c r="E247" s="22"/>
      <c r="F247" s="22"/>
      <c r="G247" s="22"/>
      <c r="H247" s="22"/>
      <c r="I247" s="22"/>
      <c r="J247" s="22"/>
      <c r="K247" s="31"/>
      <c r="L247" s="22"/>
      <c r="M247" s="31"/>
      <c r="N247" s="22"/>
      <c r="O247" s="7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1"/>
      <c r="B248" s="52"/>
      <c r="C248" s="22"/>
      <c r="D248" s="31"/>
      <c r="E248" s="22"/>
      <c r="F248" s="22"/>
      <c r="G248" s="22"/>
      <c r="H248" s="22"/>
      <c r="I248" s="22"/>
      <c r="J248" s="22"/>
      <c r="K248" s="31"/>
      <c r="L248" s="22"/>
      <c r="M248" s="31"/>
      <c r="N248" s="22"/>
      <c r="O248" s="7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1"/>
      <c r="B249" s="52"/>
      <c r="C249" s="22"/>
      <c r="D249" s="31"/>
      <c r="E249" s="22"/>
      <c r="F249" s="22"/>
      <c r="G249" s="22"/>
      <c r="H249" s="22"/>
      <c r="I249" s="22"/>
      <c r="J249" s="22"/>
      <c r="K249" s="31"/>
      <c r="L249" s="22"/>
      <c r="M249" s="31"/>
      <c r="N249" s="22"/>
      <c r="O249" s="7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1"/>
      <c r="B250" s="52"/>
      <c r="C250" s="22"/>
      <c r="D250" s="31"/>
      <c r="E250" s="22"/>
      <c r="F250" s="22"/>
      <c r="G250" s="22"/>
      <c r="H250" s="22"/>
      <c r="I250" s="22"/>
      <c r="J250" s="22"/>
      <c r="K250" s="31"/>
      <c r="L250" s="22"/>
      <c r="M250" s="31"/>
      <c r="N250" s="22"/>
      <c r="O250" s="7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1"/>
      <c r="B251" s="52"/>
      <c r="C251" s="22"/>
      <c r="D251" s="31"/>
      <c r="E251" s="22"/>
      <c r="F251" s="22"/>
      <c r="G251" s="22"/>
      <c r="H251" s="22"/>
      <c r="I251" s="22"/>
      <c r="J251" s="22"/>
      <c r="K251" s="31"/>
      <c r="L251" s="22"/>
      <c r="M251" s="31"/>
      <c r="N251" s="22"/>
      <c r="O251" s="7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1"/>
      <c r="B252" s="52"/>
      <c r="C252" s="22"/>
      <c r="D252" s="31"/>
      <c r="E252" s="22"/>
      <c r="F252" s="22"/>
      <c r="G252" s="22"/>
      <c r="H252" s="22"/>
      <c r="I252" s="22"/>
      <c r="J252" s="22"/>
      <c r="K252" s="31"/>
      <c r="L252" s="22"/>
      <c r="M252" s="31"/>
      <c r="N252" s="22"/>
      <c r="O252" s="7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1"/>
      <c r="B253" s="52"/>
      <c r="C253" s="22"/>
      <c r="D253" s="31"/>
      <c r="E253" s="22"/>
      <c r="F253" s="22"/>
      <c r="G253" s="22"/>
      <c r="H253" s="22"/>
      <c r="I253" s="22"/>
      <c r="J253" s="22"/>
      <c r="K253" s="31"/>
      <c r="L253" s="22"/>
      <c r="M253" s="31"/>
      <c r="N253" s="22"/>
      <c r="O253" s="7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1"/>
      <c r="B254" s="52"/>
      <c r="C254" s="22"/>
      <c r="D254" s="31"/>
      <c r="E254" s="22"/>
      <c r="F254" s="22"/>
      <c r="G254" s="22"/>
      <c r="H254" s="22"/>
      <c r="I254" s="22"/>
      <c r="J254" s="22"/>
      <c r="K254" s="31"/>
      <c r="L254" s="22"/>
      <c r="M254" s="31"/>
      <c r="N254" s="22"/>
      <c r="O254" s="7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1"/>
      <c r="B255" s="52"/>
      <c r="C255" s="22"/>
      <c r="D255" s="31"/>
      <c r="E255" s="22"/>
      <c r="F255" s="22"/>
      <c r="G255" s="22"/>
      <c r="H255" s="22"/>
      <c r="I255" s="22"/>
      <c r="J255" s="22"/>
      <c r="K255" s="31"/>
      <c r="L255" s="22"/>
      <c r="M255" s="31"/>
      <c r="N255" s="22"/>
      <c r="O255" s="7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1"/>
      <c r="B256" s="52"/>
      <c r="C256" s="22"/>
      <c r="D256" s="31"/>
      <c r="E256" s="22"/>
      <c r="F256" s="22"/>
      <c r="G256" s="22"/>
      <c r="H256" s="22"/>
      <c r="I256" s="22"/>
      <c r="J256" s="22"/>
      <c r="K256" s="31"/>
      <c r="L256" s="22"/>
      <c r="M256" s="31"/>
      <c r="N256" s="22"/>
      <c r="O256" s="7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1"/>
      <c r="B257" s="52"/>
      <c r="C257" s="22"/>
      <c r="D257" s="31"/>
      <c r="E257" s="22"/>
      <c r="F257" s="22"/>
      <c r="G257" s="22"/>
      <c r="H257" s="22"/>
      <c r="I257" s="22"/>
      <c r="J257" s="22"/>
      <c r="K257" s="31"/>
      <c r="L257" s="22"/>
      <c r="M257" s="31"/>
      <c r="N257" s="22"/>
      <c r="O257" s="7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1"/>
      <c r="B258" s="52"/>
      <c r="C258" s="22"/>
      <c r="D258" s="31"/>
      <c r="E258" s="22"/>
      <c r="F258" s="22"/>
      <c r="G258" s="22"/>
      <c r="H258" s="22"/>
      <c r="I258" s="22"/>
      <c r="J258" s="22"/>
      <c r="K258" s="31"/>
      <c r="L258" s="22"/>
      <c r="M258" s="31"/>
      <c r="N258" s="22"/>
      <c r="O258" s="7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1"/>
      <c r="B259" s="52"/>
      <c r="C259" s="22"/>
      <c r="D259" s="31"/>
      <c r="E259" s="22"/>
      <c r="F259" s="22"/>
      <c r="G259" s="22"/>
      <c r="H259" s="22"/>
      <c r="I259" s="22"/>
      <c r="J259" s="22"/>
      <c r="K259" s="31"/>
      <c r="L259" s="22"/>
      <c r="M259" s="31"/>
      <c r="N259" s="22"/>
      <c r="O259" s="7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1"/>
      <c r="B260" s="52"/>
      <c r="C260" s="22"/>
      <c r="D260" s="31"/>
      <c r="E260" s="22"/>
      <c r="F260" s="22"/>
      <c r="G260" s="22"/>
      <c r="H260" s="22"/>
      <c r="I260" s="22"/>
      <c r="J260" s="22"/>
      <c r="K260" s="31"/>
      <c r="L260" s="22"/>
      <c r="M260" s="31"/>
      <c r="N260" s="22"/>
      <c r="O260" s="7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1"/>
      <c r="B261" s="52"/>
      <c r="C261" s="22"/>
      <c r="D261" s="31"/>
      <c r="E261" s="22"/>
      <c r="F261" s="22"/>
      <c r="G261" s="22"/>
      <c r="H261" s="22"/>
      <c r="I261" s="22"/>
      <c r="J261" s="22"/>
      <c r="K261" s="31"/>
      <c r="L261" s="22"/>
      <c r="M261" s="31"/>
      <c r="N261" s="22"/>
      <c r="O261" s="7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1"/>
      <c r="B262" s="52"/>
      <c r="C262" s="22"/>
      <c r="D262" s="31"/>
      <c r="E262" s="22"/>
      <c r="F262" s="22"/>
      <c r="G262" s="22"/>
      <c r="H262" s="22"/>
      <c r="I262" s="22"/>
      <c r="J262" s="22"/>
      <c r="K262" s="31"/>
      <c r="L262" s="22"/>
      <c r="M262" s="31"/>
      <c r="N262" s="22"/>
      <c r="O262" s="7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1"/>
      <c r="B263" s="52"/>
      <c r="C263" s="22"/>
      <c r="D263" s="31"/>
      <c r="E263" s="22"/>
      <c r="F263" s="22"/>
      <c r="G263" s="22"/>
      <c r="H263" s="22"/>
      <c r="I263" s="22"/>
      <c r="J263" s="22"/>
      <c r="K263" s="31"/>
      <c r="L263" s="22"/>
      <c r="M263" s="31"/>
      <c r="N263" s="22"/>
      <c r="O263" s="7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1"/>
      <c r="B264" s="52"/>
      <c r="C264" s="22"/>
      <c r="D264" s="31"/>
      <c r="E264" s="22"/>
      <c r="F264" s="22"/>
      <c r="G264" s="22"/>
      <c r="H264" s="22"/>
      <c r="I264" s="22"/>
      <c r="J264" s="22"/>
      <c r="K264" s="31"/>
      <c r="L264" s="22"/>
      <c r="M264" s="31"/>
      <c r="N264" s="22"/>
      <c r="O264" s="7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1"/>
      <c r="B265" s="52"/>
      <c r="C265" s="22"/>
      <c r="D265" s="31"/>
      <c r="E265" s="22"/>
      <c r="F265" s="22"/>
      <c r="G265" s="22"/>
      <c r="H265" s="22"/>
      <c r="I265" s="22"/>
      <c r="J265" s="22"/>
      <c r="K265" s="31"/>
      <c r="L265" s="22"/>
      <c r="M265" s="31"/>
      <c r="N265" s="22"/>
      <c r="O265" s="7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1"/>
      <c r="B266" s="52"/>
      <c r="C266" s="22"/>
      <c r="D266" s="31"/>
      <c r="E266" s="22"/>
      <c r="F266" s="22"/>
      <c r="G266" s="22"/>
      <c r="H266" s="22"/>
      <c r="I266" s="22"/>
      <c r="J266" s="22"/>
      <c r="K266" s="31"/>
      <c r="L266" s="22"/>
      <c r="M266" s="31"/>
      <c r="N266" s="22"/>
      <c r="O266" s="7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1"/>
      <c r="B267" s="52"/>
      <c r="C267" s="22"/>
      <c r="D267" s="31"/>
      <c r="E267" s="22"/>
      <c r="F267" s="22"/>
      <c r="G267" s="22"/>
      <c r="H267" s="22"/>
      <c r="I267" s="22"/>
      <c r="J267" s="22"/>
      <c r="K267" s="31"/>
      <c r="L267" s="22"/>
      <c r="M267" s="31"/>
      <c r="N267" s="22"/>
      <c r="O267" s="7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1"/>
      <c r="B268" s="52"/>
      <c r="C268" s="22"/>
      <c r="D268" s="31"/>
      <c r="E268" s="22"/>
      <c r="F268" s="22"/>
      <c r="G268" s="22"/>
      <c r="H268" s="22"/>
      <c r="I268" s="22"/>
      <c r="J268" s="22"/>
      <c r="K268" s="31"/>
      <c r="L268" s="22"/>
      <c r="M268" s="31"/>
      <c r="N268" s="22"/>
      <c r="O268" s="7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1"/>
      <c r="B269" s="52"/>
      <c r="C269" s="22"/>
      <c r="D269" s="31"/>
      <c r="E269" s="22"/>
      <c r="F269" s="22"/>
      <c r="G269" s="22"/>
      <c r="H269" s="22"/>
      <c r="I269" s="22"/>
      <c r="J269" s="22"/>
      <c r="K269" s="31"/>
      <c r="L269" s="22"/>
      <c r="M269" s="31"/>
      <c r="N269" s="22"/>
      <c r="O269" s="7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1"/>
      <c r="B270" s="52"/>
      <c r="C270" s="22"/>
      <c r="D270" s="31"/>
      <c r="E270" s="22"/>
      <c r="F270" s="22"/>
      <c r="G270" s="22"/>
      <c r="H270" s="22"/>
      <c r="I270" s="22"/>
      <c r="J270" s="22"/>
      <c r="K270" s="31"/>
      <c r="L270" s="22"/>
      <c r="M270" s="31"/>
      <c r="N270" s="22"/>
      <c r="O270" s="7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1"/>
      <c r="B271" s="52"/>
      <c r="C271" s="22"/>
      <c r="D271" s="31"/>
      <c r="E271" s="22"/>
      <c r="F271" s="22"/>
      <c r="G271" s="22"/>
      <c r="H271" s="22"/>
      <c r="I271" s="22"/>
      <c r="J271" s="22"/>
      <c r="K271" s="31"/>
      <c r="L271" s="22"/>
      <c r="M271" s="31"/>
      <c r="N271" s="22"/>
      <c r="O271" s="7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1"/>
      <c r="B272" s="52"/>
      <c r="C272" s="22"/>
      <c r="D272" s="31"/>
      <c r="E272" s="22"/>
      <c r="F272" s="22"/>
      <c r="G272" s="22"/>
      <c r="H272" s="22"/>
      <c r="I272" s="22"/>
      <c r="J272" s="22"/>
      <c r="K272" s="31"/>
      <c r="L272" s="22"/>
      <c r="M272" s="31"/>
      <c r="N272" s="22"/>
      <c r="O272" s="7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1"/>
      <c r="B273" s="52"/>
      <c r="C273" s="22"/>
      <c r="D273" s="31"/>
      <c r="E273" s="22"/>
      <c r="F273" s="22"/>
      <c r="G273" s="22"/>
      <c r="H273" s="22"/>
      <c r="I273" s="22"/>
      <c r="J273" s="22"/>
      <c r="K273" s="31"/>
      <c r="L273" s="22"/>
      <c r="M273" s="31"/>
      <c r="N273" s="22"/>
      <c r="O273" s="7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1"/>
      <c r="B274" s="52"/>
      <c r="C274" s="22"/>
      <c r="D274" s="31"/>
      <c r="E274" s="22"/>
      <c r="F274" s="22"/>
      <c r="G274" s="22"/>
      <c r="H274" s="22"/>
      <c r="I274" s="22"/>
      <c r="J274" s="22"/>
      <c r="K274" s="31"/>
      <c r="L274" s="22"/>
      <c r="M274" s="31"/>
      <c r="N274" s="22"/>
      <c r="O274" s="7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1"/>
      <c r="B275" s="52"/>
      <c r="C275" s="22"/>
      <c r="D275" s="31"/>
      <c r="E275" s="22"/>
      <c r="F275" s="22"/>
      <c r="G275" s="22"/>
      <c r="H275" s="22"/>
      <c r="I275" s="22"/>
      <c r="J275" s="22"/>
      <c r="K275" s="31"/>
      <c r="L275" s="22"/>
      <c r="M275" s="31"/>
      <c r="N275" s="22"/>
      <c r="O275" s="7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1"/>
      <c r="B276" s="52"/>
      <c r="C276" s="22"/>
      <c r="D276" s="31"/>
      <c r="E276" s="22"/>
      <c r="F276" s="22"/>
      <c r="G276" s="22"/>
      <c r="H276" s="22"/>
      <c r="I276" s="22"/>
      <c r="J276" s="22"/>
      <c r="K276" s="31"/>
      <c r="L276" s="22"/>
      <c r="M276" s="31"/>
      <c r="N276" s="22"/>
      <c r="O276" s="7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1"/>
      <c r="B277" s="52"/>
      <c r="C277" s="22"/>
      <c r="D277" s="31"/>
      <c r="E277" s="22"/>
      <c r="F277" s="22"/>
      <c r="G277" s="22"/>
      <c r="H277" s="22"/>
      <c r="I277" s="22"/>
      <c r="J277" s="22"/>
      <c r="K277" s="31"/>
      <c r="L277" s="22"/>
      <c r="M277" s="31"/>
      <c r="N277" s="22"/>
      <c r="O277" s="7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1"/>
      <c r="B278" s="52"/>
      <c r="C278" s="22"/>
      <c r="D278" s="31"/>
      <c r="E278" s="22"/>
      <c r="F278" s="22"/>
      <c r="G278" s="22"/>
      <c r="H278" s="22"/>
      <c r="I278" s="22"/>
      <c r="J278" s="22"/>
      <c r="K278" s="31"/>
      <c r="L278" s="22"/>
      <c r="M278" s="31"/>
      <c r="N278" s="22"/>
      <c r="O278" s="7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1"/>
      <c r="B279" s="52"/>
      <c r="C279" s="22"/>
      <c r="D279" s="31"/>
      <c r="E279" s="22"/>
      <c r="F279" s="22"/>
      <c r="G279" s="22"/>
      <c r="H279" s="22"/>
      <c r="I279" s="22"/>
      <c r="J279" s="22"/>
      <c r="K279" s="31"/>
      <c r="L279" s="22"/>
      <c r="M279" s="31"/>
      <c r="N279" s="22"/>
      <c r="O279" s="7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1"/>
      <c r="B280" s="52"/>
      <c r="C280" s="22"/>
      <c r="D280" s="31"/>
      <c r="E280" s="22"/>
      <c r="F280" s="22"/>
      <c r="G280" s="22"/>
      <c r="H280" s="22"/>
      <c r="I280" s="22"/>
      <c r="J280" s="22"/>
      <c r="K280" s="31"/>
      <c r="L280" s="22"/>
      <c r="M280" s="31"/>
      <c r="N280" s="22"/>
      <c r="O280" s="7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1"/>
      <c r="B281" s="52"/>
      <c r="C281" s="22"/>
      <c r="D281" s="31"/>
      <c r="E281" s="22"/>
      <c r="F281" s="22"/>
      <c r="G281" s="22"/>
      <c r="H281" s="22"/>
      <c r="I281" s="22"/>
      <c r="J281" s="22"/>
      <c r="K281" s="31"/>
      <c r="L281" s="22"/>
      <c r="M281" s="31"/>
      <c r="N281" s="22"/>
      <c r="O281" s="7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1"/>
      <c r="B282" s="52"/>
      <c r="C282" s="22"/>
      <c r="D282" s="31"/>
      <c r="E282" s="22"/>
      <c r="F282" s="22"/>
      <c r="G282" s="22"/>
      <c r="H282" s="22"/>
      <c r="I282" s="22"/>
      <c r="J282" s="22"/>
      <c r="K282" s="31"/>
      <c r="L282" s="22"/>
      <c r="M282" s="31"/>
      <c r="N282" s="22"/>
      <c r="O282" s="7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1"/>
      <c r="B283" s="52"/>
      <c r="C283" s="22"/>
      <c r="D283" s="31"/>
      <c r="E283" s="22"/>
      <c r="F283" s="22"/>
      <c r="G283" s="22"/>
      <c r="H283" s="22"/>
      <c r="I283" s="22"/>
      <c r="J283" s="22"/>
      <c r="K283" s="31"/>
      <c r="L283" s="22"/>
      <c r="M283" s="31"/>
      <c r="N283" s="22"/>
      <c r="O283" s="7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1"/>
      <c r="B284" s="52"/>
      <c r="C284" s="22"/>
      <c r="D284" s="31"/>
      <c r="E284" s="22"/>
      <c r="F284" s="22"/>
      <c r="G284" s="22"/>
      <c r="H284" s="22"/>
      <c r="I284" s="22"/>
      <c r="J284" s="22"/>
      <c r="K284" s="31"/>
      <c r="L284" s="22"/>
      <c r="M284" s="31"/>
      <c r="N284" s="22"/>
      <c r="O284" s="7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1"/>
      <c r="B285" s="52"/>
      <c r="C285" s="22"/>
      <c r="D285" s="31"/>
      <c r="E285" s="22"/>
      <c r="F285" s="22"/>
      <c r="G285" s="22"/>
      <c r="H285" s="22"/>
      <c r="I285" s="22"/>
      <c r="J285" s="22"/>
      <c r="K285" s="31"/>
      <c r="L285" s="22"/>
      <c r="M285" s="31"/>
      <c r="N285" s="22"/>
      <c r="O285" s="7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1"/>
      <c r="B286" s="52"/>
      <c r="C286" s="22"/>
      <c r="D286" s="31"/>
      <c r="E286" s="22"/>
      <c r="F286" s="22"/>
      <c r="G286" s="22"/>
      <c r="H286" s="22"/>
      <c r="I286" s="22"/>
      <c r="J286" s="22"/>
      <c r="K286" s="31"/>
      <c r="L286" s="22"/>
      <c r="M286" s="31"/>
      <c r="N286" s="22"/>
      <c r="O286" s="7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1"/>
      <c r="B287" s="52"/>
      <c r="C287" s="22"/>
      <c r="D287" s="31"/>
      <c r="E287" s="22"/>
      <c r="F287" s="22"/>
      <c r="G287" s="22"/>
      <c r="H287" s="22"/>
      <c r="I287" s="22"/>
      <c r="J287" s="22"/>
      <c r="K287" s="31"/>
      <c r="L287" s="22"/>
      <c r="M287" s="31"/>
      <c r="N287" s="22"/>
      <c r="O287" s="7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1"/>
      <c r="B288" s="52"/>
      <c r="C288" s="22"/>
      <c r="D288" s="31"/>
      <c r="E288" s="22"/>
      <c r="F288" s="22"/>
      <c r="G288" s="22"/>
      <c r="H288" s="22"/>
      <c r="I288" s="22"/>
      <c r="J288" s="22"/>
      <c r="K288" s="31"/>
      <c r="L288" s="22"/>
      <c r="M288" s="31"/>
      <c r="N288" s="22"/>
      <c r="O288" s="7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1"/>
      <c r="B289" s="52"/>
      <c r="C289" s="22"/>
      <c r="D289" s="31"/>
      <c r="E289" s="22"/>
      <c r="F289" s="22"/>
      <c r="G289" s="22"/>
      <c r="H289" s="22"/>
      <c r="I289" s="22"/>
      <c r="J289" s="22"/>
      <c r="K289" s="31"/>
      <c r="L289" s="22"/>
      <c r="M289" s="31"/>
      <c r="N289" s="22"/>
      <c r="O289" s="7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1"/>
      <c r="B290" s="52"/>
      <c r="C290" s="22"/>
      <c r="D290" s="31"/>
      <c r="E290" s="22"/>
      <c r="F290" s="22"/>
      <c r="G290" s="22"/>
      <c r="H290" s="22"/>
      <c r="I290" s="22"/>
      <c r="J290" s="22"/>
      <c r="K290" s="31"/>
      <c r="L290" s="22"/>
      <c r="M290" s="31"/>
      <c r="N290" s="22"/>
      <c r="O290" s="7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1"/>
      <c r="B291" s="52"/>
      <c r="C291" s="22"/>
      <c r="D291" s="31"/>
      <c r="E291" s="22"/>
      <c r="F291" s="22"/>
      <c r="G291" s="22"/>
      <c r="H291" s="22"/>
      <c r="I291" s="22"/>
      <c r="J291" s="22"/>
      <c r="K291" s="31"/>
      <c r="L291" s="22"/>
      <c r="M291" s="31"/>
      <c r="N291" s="22"/>
      <c r="O291" s="7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1"/>
      <c r="B292" s="52"/>
      <c r="C292" s="22"/>
      <c r="D292" s="31"/>
      <c r="E292" s="22"/>
      <c r="F292" s="22"/>
      <c r="G292" s="22"/>
      <c r="H292" s="22"/>
      <c r="I292" s="22"/>
      <c r="J292" s="22"/>
      <c r="K292" s="31"/>
      <c r="L292" s="22"/>
      <c r="M292" s="31"/>
      <c r="N292" s="22"/>
      <c r="O292" s="7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1"/>
      <c r="B293" s="52"/>
      <c r="C293" s="22"/>
      <c r="D293" s="31"/>
      <c r="E293" s="22"/>
      <c r="F293" s="22"/>
      <c r="G293" s="22"/>
      <c r="H293" s="22"/>
      <c r="I293" s="22"/>
      <c r="J293" s="22"/>
      <c r="K293" s="31"/>
      <c r="L293" s="22"/>
      <c r="M293" s="31"/>
      <c r="N293" s="22"/>
      <c r="O293" s="7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1"/>
      <c r="B294" s="52"/>
      <c r="C294" s="22"/>
      <c r="D294" s="31"/>
      <c r="E294" s="22"/>
      <c r="F294" s="22"/>
      <c r="G294" s="22"/>
      <c r="H294" s="22"/>
      <c r="I294" s="22"/>
      <c r="J294" s="22"/>
      <c r="K294" s="31"/>
      <c r="L294" s="22"/>
      <c r="M294" s="31"/>
      <c r="N294" s="22"/>
      <c r="O294" s="7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1"/>
      <c r="B295" s="52"/>
      <c r="C295" s="22"/>
      <c r="D295" s="31"/>
      <c r="E295" s="22"/>
      <c r="F295" s="22"/>
      <c r="G295" s="22"/>
      <c r="H295" s="22"/>
      <c r="I295" s="22"/>
      <c r="J295" s="22"/>
      <c r="K295" s="31"/>
      <c r="L295" s="22"/>
      <c r="M295" s="31"/>
      <c r="N295" s="22"/>
      <c r="O295" s="7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1"/>
      <c r="B296" s="52"/>
      <c r="C296" s="22"/>
      <c r="D296" s="31"/>
      <c r="E296" s="22"/>
      <c r="F296" s="22"/>
      <c r="G296" s="22"/>
      <c r="H296" s="22"/>
      <c r="I296" s="22"/>
      <c r="J296" s="22"/>
      <c r="K296" s="31"/>
      <c r="L296" s="22"/>
      <c r="M296" s="31"/>
      <c r="N296" s="22"/>
      <c r="O296" s="7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1"/>
      <c r="B297" s="52"/>
      <c r="C297" s="22"/>
      <c r="D297" s="31"/>
      <c r="E297" s="22"/>
      <c r="F297" s="22"/>
      <c r="G297" s="22"/>
      <c r="H297" s="22"/>
      <c r="I297" s="22"/>
      <c r="J297" s="22"/>
      <c r="K297" s="31"/>
      <c r="L297" s="22"/>
      <c r="M297" s="31"/>
      <c r="N297" s="22"/>
      <c r="O297" s="7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1"/>
      <c r="B298" s="52"/>
      <c r="C298" s="22"/>
      <c r="D298" s="31"/>
      <c r="E298" s="22"/>
      <c r="F298" s="22"/>
      <c r="G298" s="22"/>
      <c r="H298" s="22"/>
      <c r="I298" s="22"/>
      <c r="J298" s="22"/>
      <c r="K298" s="31"/>
      <c r="L298" s="22"/>
      <c r="M298" s="31"/>
      <c r="N298" s="22"/>
      <c r="O298" s="7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1"/>
      <c r="B299" s="52"/>
      <c r="C299" s="22"/>
      <c r="D299" s="31"/>
      <c r="E299" s="22"/>
      <c r="F299" s="22"/>
      <c r="G299" s="22"/>
      <c r="H299" s="22"/>
      <c r="I299" s="22"/>
      <c r="J299" s="22"/>
      <c r="K299" s="31"/>
      <c r="L299" s="22"/>
      <c r="M299" s="31"/>
      <c r="N299" s="22"/>
      <c r="O299" s="7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1"/>
      <c r="B300" s="52"/>
      <c r="C300" s="22"/>
      <c r="D300" s="31"/>
      <c r="E300" s="22"/>
      <c r="F300" s="22"/>
      <c r="G300" s="22"/>
      <c r="H300" s="22"/>
      <c r="I300" s="22"/>
      <c r="J300" s="22"/>
      <c r="K300" s="31"/>
      <c r="L300" s="22"/>
      <c r="M300" s="31"/>
      <c r="N300" s="22"/>
      <c r="O300" s="7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1"/>
      <c r="B301" s="52"/>
      <c r="C301" s="22"/>
      <c r="D301" s="31"/>
      <c r="E301" s="22"/>
      <c r="F301" s="22"/>
      <c r="G301" s="22"/>
      <c r="H301" s="22"/>
      <c r="I301" s="22"/>
      <c r="J301" s="22"/>
      <c r="K301" s="31"/>
      <c r="L301" s="22"/>
      <c r="M301" s="31"/>
      <c r="N301" s="22"/>
      <c r="O301" s="7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1"/>
      <c r="B302" s="52"/>
      <c r="C302" s="22"/>
      <c r="D302" s="31"/>
      <c r="E302" s="22"/>
      <c r="F302" s="22"/>
      <c r="G302" s="22"/>
      <c r="H302" s="22"/>
      <c r="I302" s="22"/>
      <c r="J302" s="22"/>
      <c r="K302" s="31"/>
      <c r="L302" s="22"/>
      <c r="M302" s="31"/>
      <c r="N302" s="22"/>
      <c r="O302" s="7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1"/>
      <c r="B303" s="52"/>
      <c r="C303" s="22"/>
      <c r="D303" s="31"/>
      <c r="E303" s="22"/>
      <c r="F303" s="22"/>
      <c r="G303" s="22"/>
      <c r="H303" s="22"/>
      <c r="I303" s="22"/>
      <c r="J303" s="22"/>
      <c r="K303" s="31"/>
      <c r="L303" s="22"/>
      <c r="M303" s="31"/>
      <c r="N303" s="22"/>
      <c r="O303" s="7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1"/>
      <c r="B304" s="52"/>
      <c r="C304" s="22"/>
      <c r="D304" s="31"/>
      <c r="E304" s="22"/>
      <c r="F304" s="22"/>
      <c r="G304" s="22"/>
      <c r="H304" s="22"/>
      <c r="I304" s="22"/>
      <c r="J304" s="22"/>
      <c r="K304" s="31"/>
      <c r="L304" s="22"/>
      <c r="M304" s="31"/>
      <c r="N304" s="22"/>
      <c r="O304" s="7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1"/>
      <c r="B305" s="52"/>
      <c r="C305" s="22"/>
      <c r="D305" s="31"/>
      <c r="E305" s="22"/>
      <c r="F305" s="22"/>
      <c r="G305" s="22"/>
      <c r="H305" s="22"/>
      <c r="I305" s="22"/>
      <c r="J305" s="22"/>
      <c r="K305" s="31"/>
      <c r="L305" s="22"/>
      <c r="M305" s="31"/>
      <c r="N305" s="22"/>
      <c r="O305" s="7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1"/>
      <c r="B306" s="52"/>
      <c r="C306" s="22"/>
      <c r="D306" s="31"/>
      <c r="E306" s="22"/>
      <c r="F306" s="22"/>
      <c r="G306" s="22"/>
      <c r="H306" s="22"/>
      <c r="I306" s="22"/>
      <c r="J306" s="22"/>
      <c r="K306" s="31"/>
      <c r="L306" s="22"/>
      <c r="M306" s="31"/>
      <c r="N306" s="22"/>
      <c r="O306" s="7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1"/>
      <c r="B307" s="52"/>
      <c r="C307" s="22"/>
      <c r="D307" s="31"/>
      <c r="E307" s="22"/>
      <c r="F307" s="22"/>
      <c r="G307" s="22"/>
      <c r="H307" s="22"/>
      <c r="I307" s="22"/>
      <c r="J307" s="22"/>
      <c r="K307" s="31"/>
      <c r="L307" s="22"/>
      <c r="M307" s="31"/>
      <c r="N307" s="22"/>
      <c r="O307" s="7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1"/>
      <c r="B308" s="52"/>
      <c r="C308" s="22"/>
      <c r="D308" s="31"/>
      <c r="E308" s="22"/>
      <c r="F308" s="22"/>
      <c r="G308" s="22"/>
      <c r="H308" s="22"/>
      <c r="I308" s="22"/>
      <c r="J308" s="22"/>
      <c r="K308" s="31"/>
      <c r="L308" s="22"/>
      <c r="M308" s="31"/>
      <c r="N308" s="22"/>
      <c r="O308" s="7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1"/>
      <c r="B309" s="52"/>
      <c r="C309" s="22"/>
      <c r="D309" s="31"/>
      <c r="E309" s="22"/>
      <c r="F309" s="22"/>
      <c r="G309" s="22"/>
      <c r="H309" s="22"/>
      <c r="I309" s="22"/>
      <c r="J309" s="22"/>
      <c r="K309" s="31"/>
      <c r="L309" s="22"/>
      <c r="M309" s="31"/>
      <c r="N309" s="22"/>
      <c r="O309" s="7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1"/>
      <c r="B310" s="52"/>
      <c r="C310" s="22"/>
      <c r="D310" s="31"/>
      <c r="E310" s="22"/>
      <c r="F310" s="22"/>
      <c r="G310" s="22"/>
      <c r="H310" s="22"/>
      <c r="I310" s="22"/>
      <c r="J310" s="22"/>
      <c r="K310" s="31"/>
      <c r="L310" s="22"/>
      <c r="M310" s="31"/>
      <c r="N310" s="22"/>
      <c r="O310" s="7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1"/>
      <c r="B311" s="52"/>
      <c r="C311" s="22"/>
      <c r="D311" s="31"/>
      <c r="E311" s="22"/>
      <c r="F311" s="22"/>
      <c r="G311" s="22"/>
      <c r="H311" s="22"/>
      <c r="I311" s="22"/>
      <c r="J311" s="22"/>
      <c r="K311" s="31"/>
      <c r="L311" s="22"/>
      <c r="M311" s="31"/>
      <c r="N311" s="22"/>
      <c r="O311" s="7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1"/>
      <c r="B312" s="52"/>
      <c r="C312" s="22"/>
      <c r="D312" s="31"/>
      <c r="E312" s="22"/>
      <c r="F312" s="22"/>
      <c r="G312" s="22"/>
      <c r="H312" s="22"/>
      <c r="I312" s="22"/>
      <c r="J312" s="22"/>
      <c r="K312" s="31"/>
      <c r="L312" s="22"/>
      <c r="M312" s="31"/>
      <c r="N312" s="22"/>
      <c r="O312" s="7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1"/>
      <c r="B313" s="52"/>
      <c r="C313" s="22"/>
      <c r="D313" s="31"/>
      <c r="E313" s="22"/>
      <c r="F313" s="22"/>
      <c r="G313" s="22"/>
      <c r="H313" s="22"/>
      <c r="I313" s="22"/>
      <c r="J313" s="22"/>
      <c r="K313" s="31"/>
      <c r="L313" s="22"/>
      <c r="M313" s="31"/>
      <c r="N313" s="22"/>
      <c r="O313" s="7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1"/>
      <c r="B314" s="52"/>
      <c r="C314" s="22"/>
      <c r="D314" s="31"/>
      <c r="E314" s="22"/>
      <c r="F314" s="22"/>
      <c r="G314" s="22"/>
      <c r="H314" s="22"/>
      <c r="I314" s="22"/>
      <c r="J314" s="22"/>
      <c r="K314" s="31"/>
      <c r="L314" s="22"/>
      <c r="M314" s="31"/>
      <c r="N314" s="22"/>
      <c r="O314" s="7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1"/>
      <c r="B315" s="52"/>
      <c r="C315" s="22"/>
      <c r="D315" s="31"/>
      <c r="E315" s="22"/>
      <c r="F315" s="22"/>
      <c r="G315" s="22"/>
      <c r="H315" s="22"/>
      <c r="I315" s="22"/>
      <c r="J315" s="22"/>
      <c r="K315" s="31"/>
      <c r="L315" s="22"/>
      <c r="M315" s="31"/>
      <c r="N315" s="22"/>
      <c r="O315" s="7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1"/>
      <c r="B316" s="52"/>
      <c r="C316" s="22"/>
      <c r="D316" s="31"/>
      <c r="E316" s="22"/>
      <c r="F316" s="22"/>
      <c r="G316" s="22"/>
      <c r="H316" s="22"/>
      <c r="I316" s="22"/>
      <c r="J316" s="22"/>
      <c r="K316" s="31"/>
      <c r="L316" s="22"/>
      <c r="M316" s="31"/>
      <c r="N316" s="22"/>
      <c r="O316" s="7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1"/>
      <c r="B317" s="52"/>
      <c r="C317" s="22"/>
      <c r="D317" s="31"/>
      <c r="E317" s="22"/>
      <c r="F317" s="22"/>
      <c r="G317" s="22"/>
      <c r="H317" s="22"/>
      <c r="I317" s="22"/>
      <c r="J317" s="22"/>
      <c r="K317" s="31"/>
      <c r="L317" s="22"/>
      <c r="M317" s="31"/>
      <c r="N317" s="22"/>
      <c r="O317" s="7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1"/>
      <c r="B318" s="52"/>
      <c r="C318" s="22"/>
      <c r="D318" s="31"/>
      <c r="E318" s="22"/>
      <c r="F318" s="22"/>
      <c r="G318" s="22"/>
      <c r="H318" s="22"/>
      <c r="I318" s="22"/>
      <c r="J318" s="22"/>
      <c r="K318" s="31"/>
      <c r="L318" s="22"/>
      <c r="M318" s="31"/>
      <c r="N318" s="22"/>
      <c r="O318" s="7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1"/>
      <c r="B319" s="52"/>
      <c r="C319" s="22"/>
      <c r="D319" s="31"/>
      <c r="E319" s="22"/>
      <c r="F319" s="22"/>
      <c r="G319" s="22"/>
      <c r="H319" s="22"/>
      <c r="I319" s="22"/>
      <c r="J319" s="22"/>
      <c r="K319" s="31"/>
      <c r="L319" s="22"/>
      <c r="M319" s="31"/>
      <c r="N319" s="22"/>
      <c r="O319" s="7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1"/>
      <c r="B320" s="52"/>
      <c r="C320" s="22"/>
      <c r="D320" s="31"/>
      <c r="E320" s="22"/>
      <c r="F320" s="22"/>
      <c r="G320" s="22"/>
      <c r="H320" s="22"/>
      <c r="I320" s="22"/>
      <c r="J320" s="22"/>
      <c r="K320" s="31"/>
      <c r="L320" s="22"/>
      <c r="M320" s="31"/>
      <c r="N320" s="22"/>
      <c r="O320" s="7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1"/>
      <c r="B321" s="52"/>
      <c r="C321" s="22"/>
      <c r="D321" s="31"/>
      <c r="E321" s="22"/>
      <c r="F321" s="22"/>
      <c r="G321" s="22"/>
      <c r="H321" s="22"/>
      <c r="I321" s="22"/>
      <c r="J321" s="22"/>
      <c r="K321" s="31"/>
      <c r="L321" s="22"/>
      <c r="M321" s="31"/>
      <c r="N321" s="22"/>
      <c r="O321" s="7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1"/>
      <c r="B322" s="52"/>
      <c r="C322" s="22"/>
      <c r="D322" s="31"/>
      <c r="E322" s="22"/>
      <c r="F322" s="22"/>
      <c r="G322" s="22"/>
      <c r="H322" s="22"/>
      <c r="I322" s="22"/>
      <c r="J322" s="22"/>
      <c r="K322" s="31"/>
      <c r="L322" s="22"/>
      <c r="M322" s="31"/>
      <c r="N322" s="22"/>
      <c r="O322" s="7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1"/>
      <c r="B323" s="52"/>
      <c r="C323" s="22"/>
      <c r="D323" s="31"/>
      <c r="E323" s="22"/>
      <c r="F323" s="22"/>
      <c r="G323" s="22"/>
      <c r="H323" s="22"/>
      <c r="I323" s="22"/>
      <c r="J323" s="22"/>
      <c r="K323" s="31"/>
      <c r="L323" s="22"/>
      <c r="M323" s="31"/>
      <c r="N323" s="22"/>
      <c r="O323" s="7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1"/>
      <c r="B324" s="52"/>
      <c r="C324" s="22"/>
      <c r="D324" s="31"/>
      <c r="E324" s="22"/>
      <c r="F324" s="22"/>
      <c r="G324" s="22"/>
      <c r="H324" s="22"/>
      <c r="I324" s="22"/>
      <c r="J324" s="22"/>
      <c r="K324" s="31"/>
      <c r="L324" s="22"/>
      <c r="M324" s="31"/>
      <c r="N324" s="22"/>
      <c r="O324" s="7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1"/>
      <c r="B325" s="52"/>
      <c r="C325" s="22"/>
      <c r="D325" s="31"/>
      <c r="E325" s="22"/>
      <c r="F325" s="22"/>
      <c r="G325" s="22"/>
      <c r="H325" s="22"/>
      <c r="I325" s="22"/>
      <c r="J325" s="22"/>
      <c r="K325" s="31"/>
      <c r="L325" s="22"/>
      <c r="M325" s="31"/>
      <c r="N325" s="22"/>
      <c r="O325" s="7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1"/>
      <c r="B326" s="52"/>
      <c r="C326" s="22"/>
      <c r="D326" s="31"/>
      <c r="E326" s="22"/>
      <c r="F326" s="22"/>
      <c r="G326" s="22"/>
      <c r="H326" s="22"/>
      <c r="I326" s="22"/>
      <c r="J326" s="22"/>
      <c r="K326" s="31"/>
      <c r="L326" s="22"/>
      <c r="M326" s="31"/>
      <c r="N326" s="22"/>
      <c r="O326" s="7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1"/>
      <c r="B327" s="52"/>
      <c r="C327" s="22"/>
      <c r="D327" s="31"/>
      <c r="E327" s="22"/>
      <c r="F327" s="22"/>
      <c r="G327" s="22"/>
      <c r="H327" s="22"/>
      <c r="I327" s="22"/>
      <c r="J327" s="22"/>
      <c r="K327" s="31"/>
      <c r="L327" s="22"/>
      <c r="M327" s="31"/>
      <c r="N327" s="22"/>
      <c r="O327" s="7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1"/>
      <c r="B328" s="52"/>
      <c r="C328" s="22"/>
      <c r="D328" s="31"/>
      <c r="E328" s="22"/>
      <c r="F328" s="22"/>
      <c r="G328" s="22"/>
      <c r="H328" s="22"/>
      <c r="I328" s="22"/>
      <c r="J328" s="22"/>
      <c r="K328" s="31"/>
      <c r="L328" s="22"/>
      <c r="M328" s="31"/>
      <c r="N328" s="22"/>
      <c r="O328" s="7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1"/>
      <c r="B329" s="52"/>
      <c r="C329" s="22"/>
      <c r="D329" s="31"/>
      <c r="E329" s="22"/>
      <c r="F329" s="22"/>
      <c r="G329" s="22"/>
      <c r="H329" s="22"/>
      <c r="I329" s="22"/>
      <c r="J329" s="22"/>
      <c r="K329" s="31"/>
      <c r="L329" s="22"/>
      <c r="M329" s="31"/>
      <c r="N329" s="22"/>
      <c r="O329" s="7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1"/>
      <c r="B330" s="52"/>
      <c r="C330" s="22"/>
      <c r="D330" s="31"/>
      <c r="E330" s="22"/>
      <c r="F330" s="22"/>
      <c r="G330" s="22"/>
      <c r="H330" s="22"/>
      <c r="I330" s="22"/>
      <c r="J330" s="22"/>
      <c r="K330" s="31"/>
      <c r="L330" s="22"/>
      <c r="M330" s="31"/>
      <c r="N330" s="22"/>
      <c r="O330" s="7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1"/>
      <c r="B331" s="52"/>
      <c r="C331" s="22"/>
      <c r="D331" s="31"/>
      <c r="E331" s="22"/>
      <c r="F331" s="22"/>
      <c r="G331" s="22"/>
      <c r="H331" s="22"/>
      <c r="I331" s="22"/>
      <c r="J331" s="22"/>
      <c r="K331" s="31"/>
      <c r="L331" s="22"/>
      <c r="M331" s="31"/>
      <c r="N331" s="22"/>
      <c r="O331" s="7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1"/>
      <c r="B332" s="52"/>
      <c r="C332" s="22"/>
      <c r="D332" s="31"/>
      <c r="E332" s="22"/>
      <c r="F332" s="22"/>
      <c r="G332" s="22"/>
      <c r="H332" s="22"/>
      <c r="I332" s="22"/>
      <c r="J332" s="22"/>
      <c r="K332" s="31"/>
      <c r="L332" s="22"/>
      <c r="M332" s="31"/>
      <c r="N332" s="22"/>
      <c r="O332" s="7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1"/>
      <c r="B333" s="52"/>
      <c r="C333" s="22"/>
      <c r="D333" s="31"/>
      <c r="E333" s="22"/>
      <c r="F333" s="22"/>
      <c r="G333" s="22"/>
      <c r="H333" s="22"/>
      <c r="I333" s="22"/>
      <c r="J333" s="22"/>
      <c r="K333" s="31"/>
      <c r="L333" s="22"/>
      <c r="M333" s="31"/>
      <c r="N333" s="22"/>
      <c r="O333" s="7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1"/>
      <c r="B334" s="52"/>
      <c r="C334" s="22"/>
      <c r="D334" s="31"/>
      <c r="E334" s="22"/>
      <c r="F334" s="22"/>
      <c r="G334" s="22"/>
      <c r="H334" s="22"/>
      <c r="I334" s="22"/>
      <c r="J334" s="22"/>
      <c r="K334" s="31"/>
      <c r="L334" s="22"/>
      <c r="M334" s="31"/>
      <c r="N334" s="22"/>
      <c r="O334" s="7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1"/>
      <c r="B335" s="52"/>
      <c r="C335" s="22"/>
      <c r="D335" s="31"/>
      <c r="E335" s="22"/>
      <c r="F335" s="22"/>
      <c r="G335" s="22"/>
      <c r="H335" s="22"/>
      <c r="I335" s="22"/>
      <c r="J335" s="22"/>
      <c r="K335" s="31"/>
      <c r="L335" s="22"/>
      <c r="M335" s="31"/>
      <c r="N335" s="22"/>
      <c r="O335" s="7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1"/>
      <c r="B336" s="52"/>
      <c r="C336" s="22"/>
      <c r="D336" s="31"/>
      <c r="E336" s="22"/>
      <c r="F336" s="22"/>
      <c r="G336" s="22"/>
      <c r="H336" s="22"/>
      <c r="I336" s="22"/>
      <c r="J336" s="22"/>
      <c r="K336" s="31"/>
      <c r="L336" s="22"/>
      <c r="M336" s="31"/>
      <c r="N336" s="22"/>
      <c r="O336" s="7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1"/>
      <c r="B337" s="52"/>
      <c r="C337" s="22"/>
      <c r="D337" s="31"/>
      <c r="E337" s="22"/>
      <c r="F337" s="22"/>
      <c r="G337" s="22"/>
      <c r="H337" s="22"/>
      <c r="I337" s="22"/>
      <c r="J337" s="22"/>
      <c r="K337" s="31"/>
      <c r="L337" s="22"/>
      <c r="M337" s="31"/>
      <c r="N337" s="22"/>
      <c r="O337" s="7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1"/>
      <c r="B338" s="52"/>
      <c r="C338" s="22"/>
      <c r="D338" s="31"/>
      <c r="E338" s="22"/>
      <c r="F338" s="22"/>
      <c r="G338" s="22"/>
      <c r="H338" s="22"/>
      <c r="I338" s="22"/>
      <c r="J338" s="22"/>
      <c r="K338" s="31"/>
      <c r="L338" s="22"/>
      <c r="M338" s="31"/>
      <c r="N338" s="22"/>
      <c r="O338" s="7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1"/>
      <c r="B339" s="52"/>
      <c r="C339" s="22"/>
      <c r="D339" s="31"/>
      <c r="E339" s="22"/>
      <c r="F339" s="22"/>
      <c r="G339" s="22"/>
      <c r="H339" s="22"/>
      <c r="I339" s="22"/>
      <c r="J339" s="22"/>
      <c r="K339" s="31"/>
      <c r="L339" s="22"/>
      <c r="M339" s="31"/>
      <c r="N339" s="22"/>
      <c r="O339" s="7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1"/>
      <c r="B340" s="52"/>
      <c r="C340" s="22"/>
      <c r="D340" s="31"/>
      <c r="E340" s="22"/>
      <c r="F340" s="22"/>
      <c r="G340" s="22"/>
      <c r="H340" s="22"/>
      <c r="I340" s="22"/>
      <c r="J340" s="22"/>
      <c r="K340" s="31"/>
      <c r="L340" s="22"/>
      <c r="M340" s="31"/>
      <c r="N340" s="22"/>
      <c r="O340" s="7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1"/>
      <c r="B341" s="52"/>
      <c r="C341" s="22"/>
      <c r="D341" s="31"/>
      <c r="E341" s="22"/>
      <c r="F341" s="22"/>
      <c r="G341" s="22"/>
      <c r="H341" s="22"/>
      <c r="I341" s="22"/>
      <c r="J341" s="22"/>
      <c r="K341" s="31"/>
      <c r="L341" s="22"/>
      <c r="M341" s="31"/>
      <c r="N341" s="22"/>
      <c r="O341" s="7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1"/>
      <c r="B342" s="52"/>
      <c r="C342" s="22"/>
      <c r="D342" s="31"/>
      <c r="E342" s="22"/>
      <c r="F342" s="22"/>
      <c r="G342" s="22"/>
      <c r="H342" s="22"/>
      <c r="I342" s="22"/>
      <c r="J342" s="22"/>
      <c r="K342" s="31"/>
      <c r="L342" s="22"/>
      <c r="M342" s="31"/>
      <c r="N342" s="22"/>
      <c r="O342" s="7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1"/>
      <c r="B343" s="52"/>
      <c r="C343" s="22"/>
      <c r="D343" s="31"/>
      <c r="E343" s="22"/>
      <c r="F343" s="22"/>
      <c r="G343" s="22"/>
      <c r="H343" s="22"/>
      <c r="I343" s="22"/>
      <c r="J343" s="22"/>
      <c r="K343" s="31"/>
      <c r="L343" s="22"/>
      <c r="M343" s="31"/>
      <c r="N343" s="22"/>
      <c r="O343" s="7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1"/>
      <c r="B344" s="52"/>
      <c r="C344" s="22"/>
      <c r="D344" s="31"/>
      <c r="E344" s="22"/>
      <c r="F344" s="22"/>
      <c r="G344" s="22"/>
      <c r="H344" s="22"/>
      <c r="I344" s="22"/>
      <c r="J344" s="22"/>
      <c r="K344" s="31"/>
      <c r="L344" s="22"/>
      <c r="M344" s="31"/>
      <c r="N344" s="22"/>
      <c r="O344" s="7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1"/>
      <c r="B345" s="52"/>
      <c r="C345" s="22"/>
      <c r="D345" s="31"/>
      <c r="E345" s="22"/>
      <c r="F345" s="22"/>
      <c r="G345" s="22"/>
      <c r="H345" s="22"/>
      <c r="I345" s="22"/>
      <c r="J345" s="22"/>
      <c r="K345" s="31"/>
      <c r="L345" s="22"/>
      <c r="M345" s="31"/>
      <c r="N345" s="22"/>
      <c r="O345" s="7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1"/>
      <c r="B346" s="52"/>
      <c r="C346" s="22"/>
      <c r="D346" s="31"/>
      <c r="E346" s="22"/>
      <c r="F346" s="22"/>
      <c r="G346" s="22"/>
      <c r="H346" s="22"/>
      <c r="I346" s="22"/>
      <c r="J346" s="22"/>
      <c r="K346" s="31"/>
      <c r="L346" s="22"/>
      <c r="M346" s="31"/>
      <c r="N346" s="22"/>
      <c r="O346" s="7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1"/>
      <c r="B347" s="52"/>
      <c r="C347" s="22"/>
      <c r="D347" s="31"/>
      <c r="E347" s="22"/>
      <c r="F347" s="22"/>
      <c r="G347" s="22"/>
      <c r="H347" s="22"/>
      <c r="I347" s="22"/>
      <c r="J347" s="22"/>
      <c r="K347" s="31"/>
      <c r="L347" s="22"/>
      <c r="M347" s="31"/>
      <c r="N347" s="22"/>
      <c r="O347" s="7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1"/>
      <c r="B348" s="52"/>
      <c r="C348" s="22"/>
      <c r="D348" s="31"/>
      <c r="E348" s="22"/>
      <c r="F348" s="22"/>
      <c r="G348" s="22"/>
      <c r="H348" s="22"/>
      <c r="I348" s="22"/>
      <c r="J348" s="22"/>
      <c r="K348" s="31"/>
      <c r="L348" s="22"/>
      <c r="M348" s="31"/>
      <c r="N348" s="22"/>
      <c r="O348" s="7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1"/>
      <c r="B349" s="52"/>
      <c r="C349" s="22"/>
      <c r="D349" s="31"/>
      <c r="E349" s="22"/>
      <c r="F349" s="22"/>
      <c r="G349" s="22"/>
      <c r="H349" s="22"/>
      <c r="I349" s="22"/>
      <c r="J349" s="22"/>
      <c r="K349" s="31"/>
      <c r="L349" s="22"/>
      <c r="M349" s="31"/>
      <c r="N349" s="22"/>
      <c r="O349" s="7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1"/>
      <c r="B350" s="52"/>
      <c r="C350" s="22"/>
      <c r="D350" s="31"/>
      <c r="E350" s="22"/>
      <c r="F350" s="22"/>
      <c r="G350" s="22"/>
      <c r="H350" s="22"/>
      <c r="I350" s="22"/>
      <c r="J350" s="22"/>
      <c r="K350" s="31"/>
      <c r="L350" s="22"/>
      <c r="M350" s="31"/>
      <c r="N350" s="22"/>
      <c r="O350" s="7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1"/>
      <c r="B351" s="52"/>
      <c r="C351" s="22"/>
      <c r="D351" s="31"/>
      <c r="E351" s="22"/>
      <c r="F351" s="22"/>
      <c r="G351" s="22"/>
      <c r="H351" s="22"/>
      <c r="I351" s="22"/>
      <c r="J351" s="22"/>
      <c r="K351" s="31"/>
      <c r="L351" s="22"/>
      <c r="M351" s="31"/>
      <c r="N351" s="22"/>
      <c r="O351" s="7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1"/>
      <c r="B352" s="52"/>
      <c r="C352" s="22"/>
      <c r="D352" s="31"/>
      <c r="E352" s="22"/>
      <c r="F352" s="22"/>
      <c r="G352" s="22"/>
      <c r="H352" s="22"/>
      <c r="I352" s="22"/>
      <c r="J352" s="22"/>
      <c r="K352" s="31"/>
      <c r="L352" s="22"/>
      <c r="M352" s="31"/>
      <c r="N352" s="22"/>
      <c r="O352" s="7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1"/>
      <c r="B353" s="52"/>
      <c r="C353" s="22"/>
      <c r="D353" s="31"/>
      <c r="E353" s="22"/>
      <c r="F353" s="22"/>
      <c r="G353" s="22"/>
      <c r="H353" s="22"/>
      <c r="I353" s="22"/>
      <c r="J353" s="22"/>
      <c r="K353" s="31"/>
      <c r="L353" s="22"/>
      <c r="M353" s="31"/>
      <c r="N353" s="22"/>
      <c r="O353" s="7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1"/>
      <c r="B354" s="52"/>
      <c r="C354" s="22"/>
      <c r="D354" s="31"/>
      <c r="E354" s="22"/>
      <c r="F354" s="22"/>
      <c r="G354" s="22"/>
      <c r="H354" s="22"/>
      <c r="I354" s="22"/>
      <c r="J354" s="22"/>
      <c r="K354" s="31"/>
      <c r="L354" s="22"/>
      <c r="M354" s="31"/>
      <c r="N354" s="22"/>
      <c r="O354" s="7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1"/>
      <c r="B355" s="52"/>
      <c r="C355" s="22"/>
      <c r="D355" s="31"/>
      <c r="E355" s="22"/>
      <c r="F355" s="22"/>
      <c r="G355" s="22"/>
      <c r="H355" s="22"/>
      <c r="I355" s="22"/>
      <c r="J355" s="22"/>
      <c r="K355" s="31"/>
      <c r="L355" s="22"/>
      <c r="M355" s="31"/>
      <c r="N355" s="22"/>
      <c r="O355" s="7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1"/>
      <c r="B356" s="52"/>
      <c r="C356" s="22"/>
      <c r="D356" s="31"/>
      <c r="E356" s="22"/>
      <c r="F356" s="22"/>
      <c r="G356" s="22"/>
      <c r="H356" s="22"/>
      <c r="I356" s="22"/>
      <c r="J356" s="22"/>
      <c r="K356" s="31"/>
      <c r="L356" s="22"/>
      <c r="M356" s="31"/>
      <c r="N356" s="22"/>
      <c r="O356" s="7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1"/>
      <c r="B357" s="52"/>
      <c r="C357" s="22"/>
      <c r="D357" s="31"/>
      <c r="E357" s="22"/>
      <c r="F357" s="22"/>
      <c r="G357" s="22"/>
      <c r="H357" s="22"/>
      <c r="I357" s="22"/>
      <c r="J357" s="22"/>
      <c r="K357" s="31"/>
      <c r="L357" s="22"/>
      <c r="M357" s="31"/>
      <c r="N357" s="22"/>
      <c r="O357" s="7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1"/>
      <c r="B358" s="52"/>
      <c r="C358" s="22"/>
      <c r="D358" s="31"/>
      <c r="E358" s="22"/>
      <c r="F358" s="22"/>
      <c r="G358" s="22"/>
      <c r="H358" s="22"/>
      <c r="I358" s="22"/>
      <c r="J358" s="22"/>
      <c r="K358" s="31"/>
      <c r="L358" s="22"/>
      <c r="M358" s="31"/>
      <c r="N358" s="22"/>
      <c r="O358" s="7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1"/>
      <c r="B359" s="52"/>
      <c r="C359" s="22"/>
      <c r="D359" s="31"/>
      <c r="E359" s="22"/>
      <c r="F359" s="22"/>
      <c r="G359" s="22"/>
      <c r="H359" s="22"/>
      <c r="I359" s="22"/>
      <c r="J359" s="22"/>
      <c r="K359" s="31"/>
      <c r="L359" s="22"/>
      <c r="M359" s="31"/>
      <c r="N359" s="22"/>
      <c r="O359" s="7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1"/>
      <c r="B360" s="52"/>
      <c r="C360" s="22"/>
      <c r="D360" s="31"/>
      <c r="E360" s="22"/>
      <c r="F360" s="22"/>
      <c r="G360" s="22"/>
      <c r="H360" s="22"/>
      <c r="I360" s="22"/>
      <c r="J360" s="22"/>
      <c r="K360" s="31"/>
      <c r="L360" s="22"/>
      <c r="M360" s="31"/>
      <c r="N360" s="22"/>
      <c r="O360" s="7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1"/>
      <c r="B361" s="52"/>
      <c r="C361" s="22"/>
      <c r="D361" s="31"/>
      <c r="E361" s="22"/>
      <c r="F361" s="22"/>
      <c r="G361" s="22"/>
      <c r="H361" s="22"/>
      <c r="I361" s="22"/>
      <c r="J361" s="22"/>
      <c r="K361" s="31"/>
      <c r="L361" s="22"/>
      <c r="M361" s="31"/>
      <c r="N361" s="22"/>
      <c r="O361" s="7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1"/>
      <c r="B362" s="52"/>
      <c r="C362" s="22"/>
      <c r="D362" s="31"/>
      <c r="E362" s="22"/>
      <c r="F362" s="22"/>
      <c r="G362" s="22"/>
      <c r="H362" s="22"/>
      <c r="I362" s="22"/>
      <c r="J362" s="22"/>
      <c r="K362" s="31"/>
      <c r="L362" s="22"/>
      <c r="M362" s="31"/>
      <c r="N362" s="22"/>
      <c r="O362" s="7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1"/>
      <c r="B363" s="52"/>
      <c r="C363" s="22"/>
      <c r="D363" s="31"/>
      <c r="E363" s="22"/>
      <c r="F363" s="22"/>
      <c r="G363" s="22"/>
      <c r="H363" s="22"/>
      <c r="I363" s="22"/>
      <c r="J363" s="22"/>
      <c r="K363" s="31"/>
      <c r="L363" s="22"/>
      <c r="M363" s="31"/>
      <c r="N363" s="22"/>
      <c r="O363" s="7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1"/>
      <c r="B364" s="52"/>
      <c r="C364" s="22"/>
      <c r="D364" s="31"/>
      <c r="E364" s="22"/>
      <c r="F364" s="22"/>
      <c r="G364" s="22"/>
      <c r="H364" s="22"/>
      <c r="I364" s="22"/>
      <c r="J364" s="22"/>
      <c r="K364" s="31"/>
      <c r="L364" s="22"/>
      <c r="M364" s="31"/>
      <c r="N364" s="22"/>
      <c r="O364" s="7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1"/>
      <c r="B365" s="52"/>
      <c r="C365" s="22"/>
      <c r="D365" s="31"/>
      <c r="E365" s="22"/>
      <c r="F365" s="22"/>
      <c r="G365" s="22"/>
      <c r="H365" s="22"/>
      <c r="I365" s="22"/>
      <c r="J365" s="22"/>
      <c r="K365" s="31"/>
      <c r="L365" s="22"/>
      <c r="M365" s="31"/>
      <c r="N365" s="22"/>
      <c r="O365" s="7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1"/>
      <c r="B366" s="52"/>
      <c r="C366" s="22"/>
      <c r="D366" s="31"/>
      <c r="E366" s="22"/>
      <c r="F366" s="22"/>
      <c r="G366" s="22"/>
      <c r="H366" s="22"/>
      <c r="I366" s="22"/>
      <c r="J366" s="22"/>
      <c r="K366" s="31"/>
      <c r="L366" s="22"/>
      <c r="M366" s="31"/>
      <c r="N366" s="22"/>
      <c r="O366" s="7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1"/>
      <c r="B367" s="52"/>
      <c r="C367" s="22"/>
      <c r="D367" s="31"/>
      <c r="E367" s="22"/>
      <c r="F367" s="22"/>
      <c r="G367" s="22"/>
      <c r="H367" s="22"/>
      <c r="I367" s="22"/>
      <c r="J367" s="22"/>
      <c r="K367" s="31"/>
      <c r="L367" s="22"/>
      <c r="M367" s="31"/>
      <c r="N367" s="22"/>
      <c r="O367" s="7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1"/>
      <c r="B368" s="52"/>
      <c r="C368" s="22"/>
      <c r="D368" s="31"/>
      <c r="E368" s="22"/>
      <c r="F368" s="22"/>
      <c r="G368" s="22"/>
      <c r="H368" s="22"/>
      <c r="I368" s="22"/>
      <c r="J368" s="22"/>
      <c r="K368" s="31"/>
      <c r="L368" s="22"/>
      <c r="M368" s="31"/>
      <c r="N368" s="22"/>
      <c r="O368" s="7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1"/>
      <c r="B369" s="52"/>
      <c r="C369" s="22"/>
      <c r="D369" s="31"/>
      <c r="E369" s="22"/>
      <c r="F369" s="22"/>
      <c r="G369" s="22"/>
      <c r="H369" s="22"/>
      <c r="I369" s="22"/>
      <c r="J369" s="22"/>
      <c r="K369" s="31"/>
      <c r="L369" s="22"/>
      <c r="M369" s="31"/>
      <c r="N369" s="22"/>
      <c r="O369" s="7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1"/>
      <c r="B370" s="52"/>
      <c r="C370" s="22"/>
      <c r="D370" s="31"/>
      <c r="E370" s="22"/>
      <c r="F370" s="22"/>
      <c r="G370" s="22"/>
      <c r="H370" s="22"/>
      <c r="I370" s="22"/>
      <c r="J370" s="22"/>
      <c r="K370" s="31"/>
      <c r="L370" s="22"/>
      <c r="M370" s="31"/>
      <c r="N370" s="22"/>
      <c r="O370" s="7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1"/>
      <c r="B371" s="52"/>
      <c r="C371" s="22"/>
      <c r="D371" s="31"/>
      <c r="E371" s="22"/>
      <c r="F371" s="22"/>
      <c r="G371" s="22"/>
      <c r="H371" s="22"/>
      <c r="I371" s="22"/>
      <c r="J371" s="22"/>
      <c r="K371" s="31"/>
      <c r="L371" s="22"/>
      <c r="M371" s="31"/>
      <c r="N371" s="22"/>
      <c r="O371" s="7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1"/>
      <c r="B372" s="52"/>
      <c r="C372" s="22"/>
      <c r="D372" s="31"/>
      <c r="E372" s="22"/>
      <c r="F372" s="22"/>
      <c r="G372" s="22"/>
      <c r="H372" s="22"/>
      <c r="I372" s="22"/>
      <c r="J372" s="22"/>
      <c r="K372" s="31"/>
      <c r="L372" s="22"/>
      <c r="M372" s="31"/>
      <c r="N372" s="22"/>
      <c r="O372" s="7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1"/>
      <c r="B373" s="52"/>
      <c r="C373" s="22"/>
      <c r="D373" s="31"/>
      <c r="E373" s="22"/>
      <c r="F373" s="22"/>
      <c r="G373" s="22"/>
      <c r="H373" s="22"/>
      <c r="I373" s="22"/>
      <c r="J373" s="22"/>
      <c r="K373" s="31"/>
      <c r="L373" s="22"/>
      <c r="M373" s="31"/>
      <c r="N373" s="22"/>
      <c r="O373" s="7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1"/>
      <c r="B374" s="52"/>
      <c r="C374" s="22"/>
      <c r="D374" s="31"/>
      <c r="E374" s="22"/>
      <c r="F374" s="22"/>
      <c r="G374" s="22"/>
      <c r="H374" s="22"/>
      <c r="I374" s="22"/>
      <c r="J374" s="22"/>
      <c r="K374" s="31"/>
      <c r="L374" s="22"/>
      <c r="M374" s="31"/>
      <c r="N374" s="22"/>
      <c r="O374" s="7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1"/>
      <c r="B375" s="52"/>
      <c r="C375" s="22"/>
      <c r="D375" s="31"/>
      <c r="E375" s="22"/>
      <c r="F375" s="22"/>
      <c r="G375" s="22"/>
      <c r="H375" s="22"/>
      <c r="I375" s="22"/>
      <c r="J375" s="22"/>
      <c r="K375" s="31"/>
      <c r="L375" s="22"/>
      <c r="M375" s="31"/>
      <c r="N375" s="22"/>
      <c r="O375" s="7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1"/>
      <c r="B376" s="52"/>
      <c r="C376" s="22"/>
      <c r="D376" s="31"/>
      <c r="E376" s="22"/>
      <c r="F376" s="22"/>
      <c r="G376" s="22"/>
      <c r="H376" s="22"/>
      <c r="I376" s="22"/>
      <c r="J376" s="22"/>
      <c r="K376" s="31"/>
      <c r="L376" s="22"/>
      <c r="M376" s="31"/>
      <c r="N376" s="22"/>
      <c r="O376" s="7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1"/>
      <c r="B377" s="52"/>
      <c r="C377" s="22"/>
      <c r="D377" s="31"/>
      <c r="E377" s="22"/>
      <c r="F377" s="22"/>
      <c r="G377" s="22"/>
      <c r="H377" s="22"/>
      <c r="I377" s="22"/>
      <c r="J377" s="22"/>
      <c r="K377" s="31"/>
      <c r="L377" s="22"/>
      <c r="M377" s="31"/>
      <c r="N377" s="22"/>
      <c r="O377" s="7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1"/>
      <c r="B378" s="52"/>
      <c r="C378" s="22"/>
      <c r="D378" s="31"/>
      <c r="E378" s="22"/>
      <c r="F378" s="22"/>
      <c r="G378" s="22"/>
      <c r="H378" s="22"/>
      <c r="I378" s="22"/>
      <c r="J378" s="22"/>
      <c r="K378" s="31"/>
      <c r="L378" s="22"/>
      <c r="M378" s="31"/>
      <c r="N378" s="22"/>
      <c r="O378" s="7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1"/>
      <c r="B379" s="52"/>
      <c r="C379" s="22"/>
      <c r="D379" s="31"/>
      <c r="E379" s="22"/>
      <c r="F379" s="22"/>
      <c r="G379" s="22"/>
      <c r="H379" s="22"/>
      <c r="I379" s="22"/>
      <c r="J379" s="22"/>
      <c r="K379" s="31"/>
      <c r="L379" s="22"/>
      <c r="M379" s="31"/>
      <c r="N379" s="22"/>
      <c r="O379" s="7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1"/>
      <c r="B380" s="52"/>
      <c r="C380" s="22"/>
      <c r="D380" s="31"/>
      <c r="E380" s="22"/>
      <c r="F380" s="22"/>
      <c r="G380" s="22"/>
      <c r="H380" s="22"/>
      <c r="I380" s="22"/>
      <c r="J380" s="22"/>
      <c r="K380" s="31"/>
      <c r="L380" s="22"/>
      <c r="M380" s="31"/>
      <c r="N380" s="22"/>
      <c r="O380" s="7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1"/>
      <c r="B381" s="52"/>
      <c r="C381" s="22"/>
      <c r="D381" s="31"/>
      <c r="E381" s="22"/>
      <c r="F381" s="22"/>
      <c r="G381" s="22"/>
      <c r="H381" s="22"/>
      <c r="I381" s="22"/>
      <c r="J381" s="22"/>
      <c r="K381" s="31"/>
      <c r="L381" s="22"/>
      <c r="M381" s="31"/>
      <c r="N381" s="22"/>
      <c r="O381" s="7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1"/>
      <c r="B382" s="52"/>
      <c r="C382" s="22"/>
      <c r="D382" s="31"/>
      <c r="E382" s="22"/>
      <c r="F382" s="22"/>
      <c r="G382" s="22"/>
      <c r="H382" s="22"/>
      <c r="I382" s="22"/>
      <c r="J382" s="22"/>
      <c r="K382" s="31"/>
      <c r="L382" s="22"/>
      <c r="M382" s="31"/>
      <c r="N382" s="22"/>
      <c r="O382" s="7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1"/>
      <c r="B383" s="52"/>
      <c r="C383" s="22"/>
      <c r="D383" s="31"/>
      <c r="E383" s="22"/>
      <c r="F383" s="22"/>
      <c r="G383" s="22"/>
      <c r="H383" s="22"/>
      <c r="I383" s="22"/>
      <c r="J383" s="22"/>
      <c r="K383" s="31"/>
      <c r="L383" s="22"/>
      <c r="M383" s="31"/>
      <c r="N383" s="22"/>
      <c r="O383" s="7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1"/>
      <c r="B384" s="52"/>
      <c r="C384" s="22"/>
      <c r="D384" s="31"/>
      <c r="E384" s="22"/>
      <c r="F384" s="22"/>
      <c r="G384" s="22"/>
      <c r="H384" s="22"/>
      <c r="I384" s="22"/>
      <c r="J384" s="22"/>
      <c r="K384" s="31"/>
      <c r="L384" s="22"/>
      <c r="M384" s="31"/>
      <c r="N384" s="22"/>
      <c r="O384" s="7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1"/>
      <c r="B385" s="52"/>
      <c r="C385" s="22"/>
      <c r="D385" s="31"/>
      <c r="E385" s="22"/>
      <c r="F385" s="22"/>
      <c r="G385" s="22"/>
      <c r="H385" s="22"/>
      <c r="I385" s="22"/>
      <c r="J385" s="22"/>
      <c r="K385" s="31"/>
      <c r="L385" s="22"/>
      <c r="M385" s="31"/>
      <c r="N385" s="22"/>
      <c r="O385" s="7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1"/>
      <c r="B386" s="52"/>
      <c r="C386" s="22"/>
      <c r="D386" s="31"/>
      <c r="E386" s="22"/>
      <c r="F386" s="22"/>
      <c r="G386" s="22"/>
      <c r="H386" s="22"/>
      <c r="I386" s="22"/>
      <c r="J386" s="22"/>
      <c r="K386" s="31"/>
      <c r="L386" s="22"/>
      <c r="M386" s="31"/>
      <c r="N386" s="22"/>
      <c r="O386" s="7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1"/>
      <c r="B387" s="52"/>
      <c r="C387" s="22"/>
      <c r="D387" s="31"/>
      <c r="E387" s="22"/>
      <c r="F387" s="22"/>
      <c r="G387" s="22"/>
      <c r="H387" s="22"/>
      <c r="I387" s="22"/>
      <c r="J387" s="22"/>
      <c r="K387" s="31"/>
      <c r="L387" s="22"/>
      <c r="M387" s="31"/>
      <c r="N387" s="22"/>
      <c r="O387" s="7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1"/>
      <c r="B388" s="52"/>
      <c r="C388" s="22"/>
      <c r="D388" s="31"/>
      <c r="E388" s="22"/>
      <c r="F388" s="22"/>
      <c r="G388" s="22"/>
      <c r="H388" s="22"/>
      <c r="I388" s="22"/>
      <c r="J388" s="22"/>
      <c r="K388" s="31"/>
      <c r="L388" s="22"/>
      <c r="M388" s="31"/>
      <c r="N388" s="22"/>
      <c r="O388" s="7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1"/>
      <c r="B389" s="52"/>
      <c r="C389" s="22"/>
      <c r="D389" s="31"/>
      <c r="E389" s="22"/>
      <c r="F389" s="22"/>
      <c r="G389" s="22"/>
      <c r="H389" s="22"/>
      <c r="I389" s="22"/>
      <c r="J389" s="22"/>
      <c r="K389" s="31"/>
      <c r="L389" s="22"/>
      <c r="M389" s="31"/>
      <c r="N389" s="22"/>
      <c r="O389" s="7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1"/>
      <c r="B390" s="52"/>
      <c r="C390" s="22"/>
      <c r="D390" s="31"/>
      <c r="E390" s="22"/>
      <c r="F390" s="22"/>
      <c r="G390" s="22"/>
      <c r="H390" s="22"/>
      <c r="I390" s="22"/>
      <c r="J390" s="22"/>
      <c r="K390" s="31"/>
      <c r="L390" s="22"/>
      <c r="M390" s="31"/>
      <c r="N390" s="22"/>
      <c r="O390" s="7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1"/>
      <c r="B391" s="52"/>
      <c r="C391" s="22"/>
      <c r="D391" s="31"/>
      <c r="E391" s="22"/>
      <c r="F391" s="22"/>
      <c r="G391" s="22"/>
      <c r="H391" s="22"/>
      <c r="I391" s="22"/>
      <c r="J391" s="22"/>
      <c r="K391" s="31"/>
      <c r="L391" s="22"/>
      <c r="M391" s="31"/>
      <c r="N391" s="22"/>
      <c r="O391" s="7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1"/>
      <c r="B392" s="52"/>
      <c r="C392" s="22"/>
      <c r="D392" s="31"/>
      <c r="E392" s="22"/>
      <c r="F392" s="22"/>
      <c r="G392" s="22"/>
      <c r="H392" s="22"/>
      <c r="I392" s="22"/>
      <c r="J392" s="22"/>
      <c r="K392" s="31"/>
      <c r="L392" s="22"/>
      <c r="M392" s="31"/>
      <c r="N392" s="22"/>
      <c r="O392" s="7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1"/>
      <c r="B393" s="52"/>
      <c r="C393" s="22"/>
      <c r="D393" s="31"/>
      <c r="E393" s="22"/>
      <c r="F393" s="22"/>
      <c r="G393" s="22"/>
      <c r="H393" s="22"/>
      <c r="I393" s="22"/>
      <c r="J393" s="22"/>
      <c r="K393" s="31"/>
      <c r="L393" s="22"/>
      <c r="M393" s="31"/>
      <c r="N393" s="22"/>
      <c r="O393" s="7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1"/>
      <c r="B394" s="52"/>
      <c r="C394" s="22"/>
      <c r="D394" s="31"/>
      <c r="E394" s="22"/>
      <c r="F394" s="22"/>
      <c r="G394" s="22"/>
      <c r="H394" s="22"/>
      <c r="I394" s="22"/>
      <c r="J394" s="22"/>
      <c r="K394" s="31"/>
      <c r="L394" s="22"/>
      <c r="M394" s="31"/>
      <c r="N394" s="22"/>
      <c r="O394" s="7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1"/>
      <c r="B395" s="52"/>
      <c r="C395" s="22"/>
      <c r="D395" s="31"/>
      <c r="E395" s="22"/>
      <c r="F395" s="22"/>
      <c r="G395" s="22"/>
      <c r="H395" s="22"/>
      <c r="I395" s="22"/>
      <c r="J395" s="22"/>
      <c r="K395" s="31"/>
      <c r="L395" s="22"/>
      <c r="M395" s="31"/>
      <c r="N395" s="22"/>
      <c r="O395" s="7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1"/>
      <c r="B396" s="52"/>
      <c r="C396" s="22"/>
      <c r="D396" s="31"/>
      <c r="E396" s="22"/>
      <c r="F396" s="22"/>
      <c r="G396" s="22"/>
      <c r="H396" s="22"/>
      <c r="I396" s="22"/>
      <c r="J396" s="22"/>
      <c r="K396" s="31"/>
      <c r="L396" s="22"/>
      <c r="M396" s="31"/>
      <c r="N396" s="22"/>
      <c r="O396" s="7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1"/>
      <c r="B397" s="52"/>
      <c r="C397" s="22"/>
      <c r="D397" s="31"/>
      <c r="E397" s="22"/>
      <c r="F397" s="22"/>
      <c r="G397" s="22"/>
      <c r="H397" s="22"/>
      <c r="I397" s="22"/>
      <c r="J397" s="22"/>
      <c r="K397" s="31"/>
      <c r="L397" s="22"/>
      <c r="M397" s="31"/>
      <c r="N397" s="22"/>
      <c r="O397" s="7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1"/>
      <c r="B398" s="52"/>
      <c r="C398" s="22"/>
      <c r="D398" s="31"/>
      <c r="E398" s="22"/>
      <c r="F398" s="22"/>
      <c r="G398" s="22"/>
      <c r="H398" s="22"/>
      <c r="I398" s="22"/>
      <c r="J398" s="22"/>
      <c r="K398" s="31"/>
      <c r="L398" s="22"/>
      <c r="M398" s="31"/>
      <c r="N398" s="22"/>
      <c r="O398" s="7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1"/>
      <c r="B399" s="52"/>
      <c r="C399" s="22"/>
      <c r="D399" s="31"/>
      <c r="E399" s="22"/>
      <c r="F399" s="22"/>
      <c r="G399" s="22"/>
      <c r="H399" s="22"/>
      <c r="I399" s="22"/>
      <c r="J399" s="22"/>
      <c r="K399" s="31"/>
      <c r="L399" s="22"/>
      <c r="M399" s="31"/>
      <c r="N399" s="22"/>
      <c r="O399" s="7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1"/>
      <c r="B400" s="52"/>
      <c r="C400" s="22"/>
      <c r="D400" s="31"/>
      <c r="E400" s="22"/>
      <c r="F400" s="22"/>
      <c r="G400" s="22"/>
      <c r="H400" s="22"/>
      <c r="I400" s="22"/>
      <c r="J400" s="22"/>
      <c r="K400" s="31"/>
      <c r="L400" s="22"/>
      <c r="M400" s="31"/>
      <c r="N400" s="22"/>
      <c r="O400" s="7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1"/>
      <c r="B401" s="52"/>
      <c r="C401" s="22"/>
      <c r="D401" s="31"/>
      <c r="E401" s="22"/>
      <c r="F401" s="22"/>
      <c r="G401" s="22"/>
      <c r="H401" s="22"/>
      <c r="I401" s="22"/>
      <c r="J401" s="22"/>
      <c r="K401" s="31"/>
      <c r="L401" s="22"/>
      <c r="M401" s="31"/>
      <c r="N401" s="22"/>
      <c r="O401" s="7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1"/>
      <c r="B402" s="52"/>
      <c r="C402" s="22"/>
      <c r="D402" s="31"/>
      <c r="E402" s="22"/>
      <c r="F402" s="22"/>
      <c r="G402" s="22"/>
      <c r="H402" s="22"/>
      <c r="I402" s="22"/>
      <c r="J402" s="22"/>
      <c r="K402" s="31"/>
      <c r="L402" s="22"/>
      <c r="M402" s="31"/>
      <c r="N402" s="22"/>
      <c r="O402" s="7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1"/>
      <c r="B403" s="52"/>
      <c r="C403" s="22"/>
      <c r="D403" s="31"/>
      <c r="E403" s="22"/>
      <c r="F403" s="22"/>
      <c r="G403" s="22"/>
      <c r="H403" s="22"/>
      <c r="I403" s="22"/>
      <c r="J403" s="22"/>
      <c r="K403" s="31"/>
      <c r="L403" s="22"/>
      <c r="M403" s="31"/>
      <c r="N403" s="22"/>
      <c r="O403" s="7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1"/>
      <c r="B404" s="52"/>
      <c r="C404" s="22"/>
      <c r="D404" s="31"/>
      <c r="E404" s="22"/>
      <c r="F404" s="22"/>
      <c r="G404" s="22"/>
      <c r="H404" s="22"/>
      <c r="I404" s="22"/>
      <c r="J404" s="22"/>
      <c r="K404" s="31"/>
      <c r="L404" s="22"/>
      <c r="M404" s="31"/>
      <c r="N404" s="22"/>
      <c r="O404" s="7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1"/>
      <c r="B405" s="52"/>
      <c r="C405" s="22"/>
      <c r="D405" s="31"/>
      <c r="E405" s="22"/>
      <c r="F405" s="22"/>
      <c r="G405" s="22"/>
      <c r="H405" s="22"/>
      <c r="I405" s="22"/>
      <c r="J405" s="22"/>
      <c r="K405" s="31"/>
      <c r="L405" s="22"/>
      <c r="M405" s="31"/>
      <c r="N405" s="22"/>
      <c r="O405" s="7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1"/>
      <c r="B406" s="52"/>
      <c r="C406" s="22"/>
      <c r="D406" s="31"/>
      <c r="E406" s="22"/>
      <c r="F406" s="22"/>
      <c r="G406" s="22"/>
      <c r="H406" s="22"/>
      <c r="I406" s="22"/>
      <c r="J406" s="22"/>
      <c r="K406" s="31"/>
      <c r="L406" s="22"/>
      <c r="M406" s="31"/>
      <c r="N406" s="22"/>
      <c r="O406" s="7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1"/>
      <c r="B407" s="52"/>
      <c r="C407" s="22"/>
      <c r="D407" s="31"/>
      <c r="E407" s="22"/>
      <c r="F407" s="22"/>
      <c r="G407" s="22"/>
      <c r="H407" s="22"/>
      <c r="I407" s="22"/>
      <c r="J407" s="22"/>
      <c r="K407" s="31"/>
      <c r="L407" s="22"/>
      <c r="M407" s="31"/>
      <c r="N407" s="22"/>
      <c r="O407" s="7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1"/>
      <c r="B408" s="52"/>
      <c r="C408" s="22"/>
      <c r="D408" s="31"/>
      <c r="E408" s="22"/>
      <c r="F408" s="22"/>
      <c r="G408" s="22"/>
      <c r="H408" s="22"/>
      <c r="I408" s="22"/>
      <c r="J408" s="22"/>
      <c r="K408" s="31"/>
      <c r="L408" s="22"/>
      <c r="M408" s="31"/>
      <c r="N408" s="22"/>
      <c r="O408" s="7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1"/>
      <c r="B409" s="52"/>
      <c r="C409" s="22"/>
      <c r="D409" s="31"/>
      <c r="E409" s="22"/>
      <c r="F409" s="22"/>
      <c r="G409" s="22"/>
      <c r="H409" s="22"/>
      <c r="I409" s="22"/>
      <c r="J409" s="22"/>
      <c r="K409" s="31"/>
      <c r="L409" s="22"/>
      <c r="M409" s="31"/>
      <c r="N409" s="22"/>
      <c r="O409" s="7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1"/>
      <c r="B410" s="52"/>
      <c r="C410" s="22"/>
      <c r="D410" s="31"/>
      <c r="E410" s="22"/>
      <c r="F410" s="22"/>
      <c r="G410" s="22"/>
      <c r="H410" s="22"/>
      <c r="I410" s="22"/>
      <c r="J410" s="22"/>
      <c r="K410" s="31"/>
      <c r="L410" s="22"/>
      <c r="M410" s="31"/>
      <c r="N410" s="22"/>
      <c r="O410" s="7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1"/>
      <c r="B411" s="52"/>
      <c r="C411" s="22"/>
      <c r="D411" s="31"/>
      <c r="E411" s="22"/>
      <c r="F411" s="22"/>
      <c r="G411" s="22"/>
      <c r="H411" s="22"/>
      <c r="I411" s="22"/>
      <c r="J411" s="22"/>
      <c r="K411" s="31"/>
      <c r="L411" s="22"/>
      <c r="M411" s="31"/>
      <c r="N411" s="22"/>
      <c r="O411" s="7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1"/>
      <c r="B412" s="52"/>
      <c r="C412" s="22"/>
      <c r="D412" s="31"/>
      <c r="E412" s="22"/>
      <c r="F412" s="22"/>
      <c r="G412" s="22"/>
      <c r="H412" s="22"/>
      <c r="I412" s="22"/>
      <c r="J412" s="22"/>
      <c r="K412" s="31"/>
      <c r="L412" s="22"/>
      <c r="M412" s="31"/>
      <c r="N412" s="22"/>
      <c r="O412" s="7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1"/>
      <c r="B413" s="52"/>
      <c r="C413" s="22"/>
      <c r="D413" s="31"/>
      <c r="E413" s="22"/>
      <c r="F413" s="22"/>
      <c r="G413" s="22"/>
      <c r="H413" s="22"/>
      <c r="I413" s="22"/>
      <c r="J413" s="22"/>
      <c r="K413" s="31"/>
      <c r="L413" s="22"/>
      <c r="M413" s="31"/>
      <c r="N413" s="22"/>
      <c r="O413" s="7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1"/>
      <c r="B414" s="52"/>
      <c r="C414" s="22"/>
      <c r="D414" s="31"/>
      <c r="E414" s="22"/>
      <c r="F414" s="22"/>
      <c r="G414" s="22"/>
      <c r="H414" s="22"/>
      <c r="I414" s="22"/>
      <c r="J414" s="22"/>
      <c r="K414" s="31"/>
      <c r="L414" s="22"/>
      <c r="M414" s="31"/>
      <c r="N414" s="22"/>
      <c r="O414" s="7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1"/>
      <c r="B415" s="52"/>
      <c r="C415" s="22"/>
      <c r="D415" s="31"/>
      <c r="E415" s="22"/>
      <c r="F415" s="22"/>
      <c r="G415" s="22"/>
      <c r="H415" s="22"/>
      <c r="I415" s="22"/>
      <c r="J415" s="22"/>
      <c r="K415" s="31"/>
      <c r="L415" s="22"/>
      <c r="M415" s="31"/>
      <c r="N415" s="22"/>
      <c r="O415" s="7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1"/>
      <c r="B416" s="52"/>
      <c r="C416" s="22"/>
      <c r="D416" s="31"/>
      <c r="E416" s="22"/>
      <c r="F416" s="22"/>
      <c r="G416" s="22"/>
      <c r="H416" s="22"/>
      <c r="I416" s="22"/>
      <c r="J416" s="22"/>
      <c r="K416" s="31"/>
      <c r="L416" s="22"/>
      <c r="M416" s="31"/>
      <c r="N416" s="22"/>
      <c r="O416" s="7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1"/>
      <c r="B417" s="52"/>
      <c r="C417" s="22"/>
      <c r="D417" s="31"/>
      <c r="E417" s="22"/>
      <c r="F417" s="22"/>
      <c r="G417" s="22"/>
      <c r="H417" s="22"/>
      <c r="I417" s="22"/>
      <c r="J417" s="22"/>
      <c r="K417" s="31"/>
      <c r="L417" s="22"/>
      <c r="M417" s="31"/>
      <c r="N417" s="22"/>
      <c r="O417" s="7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1"/>
      <c r="B418" s="52"/>
      <c r="C418" s="22"/>
      <c r="D418" s="31"/>
      <c r="E418" s="22"/>
      <c r="F418" s="22"/>
      <c r="G418" s="22"/>
      <c r="H418" s="22"/>
      <c r="I418" s="22"/>
      <c r="J418" s="22"/>
      <c r="K418" s="31"/>
      <c r="L418" s="22"/>
      <c r="M418" s="31"/>
      <c r="N418" s="22"/>
      <c r="O418" s="7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1"/>
      <c r="B419" s="52"/>
      <c r="C419" s="22"/>
      <c r="D419" s="31"/>
      <c r="E419" s="22"/>
      <c r="F419" s="22"/>
      <c r="G419" s="22"/>
      <c r="H419" s="22"/>
      <c r="I419" s="22"/>
      <c r="J419" s="22"/>
      <c r="K419" s="31"/>
      <c r="L419" s="22"/>
      <c r="M419" s="31"/>
      <c r="N419" s="22"/>
      <c r="O419" s="7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1"/>
      <c r="B420" s="52"/>
      <c r="C420" s="22"/>
      <c r="D420" s="31"/>
      <c r="E420" s="22"/>
      <c r="F420" s="22"/>
      <c r="G420" s="22"/>
      <c r="H420" s="22"/>
      <c r="I420" s="22"/>
      <c r="J420" s="22"/>
      <c r="K420" s="31"/>
      <c r="L420" s="22"/>
      <c r="M420" s="31"/>
      <c r="N420" s="22"/>
      <c r="O420" s="7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1"/>
      <c r="B421" s="52"/>
      <c r="C421" s="22"/>
      <c r="D421" s="31"/>
      <c r="E421" s="22"/>
      <c r="F421" s="22"/>
      <c r="G421" s="22"/>
      <c r="H421" s="22"/>
      <c r="I421" s="22"/>
      <c r="J421" s="22"/>
      <c r="K421" s="31"/>
      <c r="L421" s="22"/>
      <c r="M421" s="31"/>
      <c r="N421" s="22"/>
      <c r="O421" s="7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1"/>
      <c r="B422" s="52"/>
      <c r="C422" s="22"/>
      <c r="D422" s="31"/>
      <c r="E422" s="22"/>
      <c r="F422" s="22"/>
      <c r="G422" s="22"/>
      <c r="H422" s="22"/>
      <c r="I422" s="22"/>
      <c r="J422" s="22"/>
      <c r="K422" s="31"/>
      <c r="L422" s="22"/>
      <c r="M422" s="31"/>
      <c r="N422" s="22"/>
      <c r="O422" s="7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1"/>
      <c r="B423" s="52"/>
      <c r="C423" s="22"/>
      <c r="D423" s="31"/>
      <c r="E423" s="22"/>
      <c r="F423" s="22"/>
      <c r="G423" s="22"/>
      <c r="H423" s="22"/>
      <c r="I423" s="22"/>
      <c r="J423" s="22"/>
      <c r="K423" s="31"/>
      <c r="L423" s="22"/>
      <c r="M423" s="31"/>
      <c r="N423" s="22"/>
      <c r="O423" s="7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1"/>
      <c r="B424" s="52"/>
      <c r="C424" s="22"/>
      <c r="D424" s="31"/>
      <c r="E424" s="22"/>
      <c r="F424" s="22"/>
      <c r="G424" s="22"/>
      <c r="H424" s="22"/>
      <c r="I424" s="22"/>
      <c r="J424" s="22"/>
      <c r="K424" s="31"/>
      <c r="L424" s="22"/>
      <c r="M424" s="31"/>
      <c r="N424" s="22"/>
      <c r="O424" s="7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1"/>
      <c r="B425" s="52"/>
      <c r="C425" s="22"/>
      <c r="D425" s="31"/>
      <c r="E425" s="22"/>
      <c r="F425" s="22"/>
      <c r="G425" s="22"/>
      <c r="H425" s="22"/>
      <c r="I425" s="22"/>
      <c r="J425" s="22"/>
      <c r="K425" s="31"/>
      <c r="L425" s="22"/>
      <c r="M425" s="31"/>
      <c r="N425" s="22"/>
      <c r="O425" s="7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1"/>
      <c r="B426" s="52"/>
      <c r="C426" s="22"/>
      <c r="D426" s="31"/>
      <c r="E426" s="22"/>
      <c r="F426" s="22"/>
      <c r="G426" s="22"/>
      <c r="H426" s="22"/>
      <c r="I426" s="22"/>
      <c r="J426" s="22"/>
      <c r="K426" s="31"/>
      <c r="L426" s="22"/>
      <c r="M426" s="31"/>
      <c r="N426" s="22"/>
      <c r="O426" s="7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1"/>
      <c r="B427" s="52"/>
      <c r="C427" s="22"/>
      <c r="D427" s="31"/>
      <c r="E427" s="22"/>
      <c r="F427" s="22"/>
      <c r="G427" s="22"/>
      <c r="H427" s="22"/>
      <c r="I427" s="22"/>
      <c r="J427" s="22"/>
      <c r="K427" s="31"/>
      <c r="L427" s="22"/>
      <c r="M427" s="31"/>
      <c r="N427" s="22"/>
      <c r="O427" s="7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1"/>
      <c r="B428" s="52"/>
      <c r="C428" s="22"/>
      <c r="D428" s="31"/>
      <c r="E428" s="22"/>
      <c r="F428" s="22"/>
      <c r="G428" s="22"/>
      <c r="H428" s="22"/>
      <c r="I428" s="22"/>
      <c r="J428" s="22"/>
      <c r="K428" s="31"/>
      <c r="L428" s="22"/>
      <c r="M428" s="31"/>
      <c r="N428" s="22"/>
      <c r="O428" s="7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1"/>
      <c r="B429" s="52"/>
      <c r="C429" s="22"/>
      <c r="D429" s="31"/>
      <c r="E429" s="22"/>
      <c r="F429" s="22"/>
      <c r="G429" s="22"/>
      <c r="H429" s="22"/>
      <c r="I429" s="22"/>
      <c r="J429" s="22"/>
      <c r="K429" s="31"/>
      <c r="L429" s="22"/>
      <c r="M429" s="31"/>
      <c r="N429" s="22"/>
      <c r="O429" s="7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1"/>
      <c r="B430" s="52"/>
      <c r="C430" s="22"/>
      <c r="D430" s="31"/>
      <c r="E430" s="22"/>
      <c r="F430" s="22"/>
      <c r="G430" s="22"/>
      <c r="H430" s="22"/>
      <c r="I430" s="22"/>
      <c r="J430" s="22"/>
      <c r="K430" s="31"/>
      <c r="L430" s="22"/>
      <c r="M430" s="31"/>
      <c r="N430" s="22"/>
      <c r="O430" s="7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1"/>
      <c r="B431" s="52"/>
      <c r="C431" s="22"/>
      <c r="D431" s="31"/>
      <c r="E431" s="22"/>
      <c r="F431" s="22"/>
      <c r="G431" s="22"/>
      <c r="H431" s="22"/>
      <c r="I431" s="22"/>
      <c r="J431" s="22"/>
      <c r="K431" s="31"/>
      <c r="L431" s="22"/>
      <c r="M431" s="31"/>
      <c r="N431" s="22"/>
      <c r="O431" s="7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1"/>
      <c r="B432" s="52"/>
      <c r="C432" s="22"/>
      <c r="D432" s="31"/>
      <c r="E432" s="22"/>
      <c r="F432" s="22"/>
      <c r="G432" s="22"/>
      <c r="H432" s="22"/>
      <c r="I432" s="22"/>
      <c r="J432" s="22"/>
      <c r="K432" s="31"/>
      <c r="L432" s="22"/>
      <c r="M432" s="31"/>
      <c r="N432" s="22"/>
      <c r="O432" s="7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1"/>
      <c r="B433" s="52"/>
      <c r="C433" s="22"/>
      <c r="D433" s="31"/>
      <c r="E433" s="22"/>
      <c r="F433" s="22"/>
      <c r="G433" s="22"/>
      <c r="H433" s="22"/>
      <c r="I433" s="22"/>
      <c r="J433" s="22"/>
      <c r="K433" s="31"/>
      <c r="L433" s="22"/>
      <c r="M433" s="31"/>
      <c r="N433" s="22"/>
      <c r="O433" s="7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1"/>
      <c r="B434" s="52"/>
      <c r="C434" s="22"/>
      <c r="D434" s="31"/>
      <c r="E434" s="22"/>
      <c r="F434" s="22"/>
      <c r="G434" s="22"/>
      <c r="H434" s="22"/>
      <c r="I434" s="22"/>
      <c r="J434" s="22"/>
      <c r="K434" s="31"/>
      <c r="L434" s="22"/>
      <c r="M434" s="31"/>
      <c r="N434" s="22"/>
      <c r="O434" s="7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1"/>
      <c r="B435" s="52"/>
      <c r="C435" s="22"/>
      <c r="D435" s="31"/>
      <c r="E435" s="22"/>
      <c r="F435" s="22"/>
      <c r="G435" s="22"/>
      <c r="H435" s="22"/>
      <c r="I435" s="22"/>
      <c r="J435" s="22"/>
      <c r="K435" s="31"/>
      <c r="L435" s="22"/>
      <c r="M435" s="31"/>
      <c r="N435" s="22"/>
      <c r="O435" s="7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1"/>
      <c r="B436" s="52"/>
      <c r="C436" s="22"/>
      <c r="D436" s="31"/>
      <c r="E436" s="22"/>
      <c r="F436" s="22"/>
      <c r="G436" s="22"/>
      <c r="H436" s="22"/>
      <c r="I436" s="22"/>
      <c r="J436" s="22"/>
      <c r="K436" s="31"/>
      <c r="L436" s="22"/>
      <c r="M436" s="31"/>
      <c r="N436" s="22"/>
      <c r="O436" s="7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1"/>
      <c r="B437" s="52"/>
      <c r="C437" s="22"/>
      <c r="D437" s="31"/>
      <c r="E437" s="22"/>
      <c r="F437" s="22"/>
      <c r="G437" s="22"/>
      <c r="H437" s="22"/>
      <c r="I437" s="22"/>
      <c r="J437" s="22"/>
      <c r="K437" s="31"/>
      <c r="L437" s="22"/>
      <c r="M437" s="31"/>
      <c r="N437" s="22"/>
      <c r="O437" s="7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1"/>
      <c r="B438" s="52"/>
      <c r="C438" s="22"/>
      <c r="D438" s="31"/>
      <c r="E438" s="22"/>
      <c r="F438" s="22"/>
      <c r="G438" s="22"/>
      <c r="H438" s="22"/>
      <c r="I438" s="22"/>
      <c r="J438" s="22"/>
      <c r="K438" s="31"/>
      <c r="L438" s="22"/>
      <c r="M438" s="31"/>
      <c r="N438" s="22"/>
      <c r="O438" s="7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1"/>
      <c r="B439" s="52"/>
      <c r="C439" s="22"/>
      <c r="D439" s="31"/>
      <c r="E439" s="22"/>
      <c r="F439" s="22"/>
      <c r="G439" s="22"/>
      <c r="H439" s="22"/>
      <c r="I439" s="22"/>
      <c r="J439" s="22"/>
      <c r="K439" s="31"/>
      <c r="L439" s="22"/>
      <c r="M439" s="31"/>
      <c r="N439" s="22"/>
      <c r="O439" s="7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1"/>
      <c r="B440" s="52"/>
      <c r="C440" s="22"/>
      <c r="D440" s="31"/>
      <c r="E440" s="22"/>
      <c r="F440" s="22"/>
      <c r="G440" s="22"/>
      <c r="H440" s="22"/>
      <c r="I440" s="22"/>
      <c r="J440" s="22"/>
      <c r="K440" s="31"/>
      <c r="L440" s="22"/>
      <c r="M440" s="31"/>
      <c r="N440" s="22"/>
      <c r="O440" s="7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1"/>
      <c r="B441" s="52"/>
      <c r="C441" s="22"/>
      <c r="D441" s="31"/>
      <c r="E441" s="22"/>
      <c r="F441" s="22"/>
      <c r="G441" s="22"/>
      <c r="H441" s="22"/>
      <c r="I441" s="22"/>
      <c r="J441" s="22"/>
      <c r="K441" s="31"/>
      <c r="L441" s="22"/>
      <c r="M441" s="31"/>
      <c r="N441" s="22"/>
      <c r="O441" s="7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1"/>
      <c r="B442" s="52"/>
      <c r="C442" s="22"/>
      <c r="D442" s="31"/>
      <c r="E442" s="22"/>
      <c r="F442" s="22"/>
      <c r="G442" s="22"/>
      <c r="H442" s="22"/>
      <c r="I442" s="22"/>
      <c r="J442" s="22"/>
      <c r="K442" s="31"/>
      <c r="L442" s="22"/>
      <c r="M442" s="31"/>
      <c r="N442" s="22"/>
      <c r="O442" s="7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1"/>
      <c r="B443" s="52"/>
      <c r="C443" s="22"/>
      <c r="D443" s="31"/>
      <c r="E443" s="22"/>
      <c r="F443" s="22"/>
      <c r="G443" s="22"/>
      <c r="H443" s="22"/>
      <c r="I443" s="22"/>
      <c r="J443" s="22"/>
      <c r="K443" s="31"/>
      <c r="L443" s="22"/>
      <c r="M443" s="31"/>
      <c r="N443" s="22"/>
      <c r="O443" s="7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1"/>
      <c r="B444" s="52"/>
      <c r="C444" s="22"/>
      <c r="D444" s="31"/>
      <c r="E444" s="22"/>
      <c r="F444" s="22"/>
      <c r="G444" s="22"/>
      <c r="H444" s="22"/>
      <c r="I444" s="22"/>
      <c r="J444" s="22"/>
      <c r="K444" s="31"/>
      <c r="L444" s="22"/>
      <c r="M444" s="31"/>
      <c r="N444" s="22"/>
      <c r="O444" s="7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1"/>
      <c r="B445" s="52"/>
      <c r="C445" s="22"/>
      <c r="D445" s="31"/>
      <c r="E445" s="22"/>
      <c r="F445" s="22"/>
      <c r="G445" s="22"/>
      <c r="H445" s="22"/>
      <c r="I445" s="22"/>
      <c r="J445" s="22"/>
      <c r="K445" s="31"/>
      <c r="L445" s="22"/>
      <c r="M445" s="31"/>
      <c r="N445" s="22"/>
      <c r="O445" s="7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1"/>
      <c r="B446" s="52"/>
      <c r="C446" s="22"/>
      <c r="D446" s="31"/>
      <c r="E446" s="22"/>
      <c r="F446" s="22"/>
      <c r="G446" s="22"/>
      <c r="H446" s="22"/>
      <c r="I446" s="22"/>
      <c r="J446" s="22"/>
      <c r="K446" s="31"/>
      <c r="L446" s="22"/>
      <c r="M446" s="31"/>
      <c r="N446" s="22"/>
      <c r="O446" s="7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1"/>
      <c r="B447" s="52"/>
      <c r="C447" s="22"/>
      <c r="D447" s="31"/>
      <c r="E447" s="22"/>
      <c r="F447" s="22"/>
      <c r="G447" s="22"/>
      <c r="H447" s="22"/>
      <c r="I447" s="22"/>
      <c r="J447" s="22"/>
      <c r="K447" s="31"/>
      <c r="L447" s="22"/>
      <c r="M447" s="31"/>
      <c r="N447" s="22"/>
      <c r="O447" s="7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1"/>
      <c r="B448" s="52"/>
      <c r="C448" s="22"/>
      <c r="D448" s="31"/>
      <c r="E448" s="22"/>
      <c r="F448" s="22"/>
      <c r="G448" s="22"/>
      <c r="H448" s="22"/>
      <c r="I448" s="22"/>
      <c r="J448" s="22"/>
      <c r="K448" s="31"/>
      <c r="L448" s="22"/>
      <c r="M448" s="31"/>
      <c r="N448" s="22"/>
      <c r="O448" s="7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1"/>
      <c r="B449" s="52"/>
      <c r="C449" s="22"/>
      <c r="D449" s="31"/>
      <c r="E449" s="22"/>
      <c r="F449" s="22"/>
      <c r="G449" s="22"/>
      <c r="H449" s="22"/>
      <c r="I449" s="22"/>
      <c r="J449" s="22"/>
      <c r="K449" s="31"/>
      <c r="L449" s="22"/>
      <c r="M449" s="31"/>
      <c r="N449" s="22"/>
      <c r="O449" s="7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1"/>
      <c r="B450" s="52"/>
      <c r="C450" s="22"/>
      <c r="D450" s="31"/>
      <c r="E450" s="22"/>
      <c r="F450" s="22"/>
      <c r="G450" s="22"/>
      <c r="H450" s="22"/>
      <c r="I450" s="22"/>
      <c r="J450" s="22"/>
      <c r="K450" s="31"/>
      <c r="L450" s="22"/>
      <c r="M450" s="31"/>
      <c r="N450" s="22"/>
      <c r="O450" s="7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1"/>
      <c r="B451" s="52"/>
      <c r="C451" s="22"/>
      <c r="D451" s="31"/>
      <c r="E451" s="22"/>
      <c r="F451" s="22"/>
      <c r="G451" s="22"/>
      <c r="H451" s="22"/>
      <c r="I451" s="22"/>
      <c r="J451" s="22"/>
      <c r="K451" s="31"/>
      <c r="L451" s="22"/>
      <c r="M451" s="31"/>
      <c r="N451" s="22"/>
      <c r="O451" s="7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1"/>
      <c r="B452" s="52"/>
      <c r="C452" s="22"/>
      <c r="D452" s="31"/>
      <c r="E452" s="22"/>
      <c r="F452" s="22"/>
      <c r="G452" s="22"/>
      <c r="H452" s="22"/>
      <c r="I452" s="22"/>
      <c r="J452" s="22"/>
      <c r="K452" s="31"/>
      <c r="L452" s="22"/>
      <c r="M452" s="31"/>
      <c r="N452" s="22"/>
      <c r="O452" s="7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1"/>
      <c r="B453" s="52"/>
      <c r="C453" s="22"/>
      <c r="D453" s="31"/>
      <c r="E453" s="22"/>
      <c r="F453" s="22"/>
      <c r="G453" s="22"/>
      <c r="H453" s="22"/>
      <c r="I453" s="22"/>
      <c r="J453" s="22"/>
      <c r="K453" s="31"/>
      <c r="L453" s="22"/>
      <c r="M453" s="31"/>
      <c r="N453" s="22"/>
      <c r="O453" s="7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1"/>
      <c r="B454" s="52"/>
      <c r="C454" s="22"/>
      <c r="D454" s="31"/>
      <c r="E454" s="22"/>
      <c r="F454" s="22"/>
      <c r="G454" s="22"/>
      <c r="H454" s="22"/>
      <c r="I454" s="22"/>
      <c r="J454" s="22"/>
      <c r="K454" s="31"/>
      <c r="L454" s="22"/>
      <c r="M454" s="31"/>
      <c r="N454" s="22"/>
      <c r="O454" s="7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1"/>
      <c r="B455" s="52"/>
      <c r="C455" s="22"/>
      <c r="D455" s="31"/>
      <c r="E455" s="22"/>
      <c r="F455" s="22"/>
      <c r="G455" s="22"/>
      <c r="H455" s="22"/>
      <c r="I455" s="22"/>
      <c r="J455" s="22"/>
      <c r="K455" s="31"/>
      <c r="L455" s="22"/>
      <c r="M455" s="31"/>
      <c r="N455" s="22"/>
      <c r="O455" s="7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1"/>
      <c r="B456" s="52"/>
      <c r="C456" s="22"/>
      <c r="D456" s="31"/>
      <c r="E456" s="22"/>
      <c r="F456" s="22"/>
      <c r="G456" s="22"/>
      <c r="H456" s="22"/>
      <c r="I456" s="22"/>
      <c r="J456" s="22"/>
      <c r="K456" s="31"/>
      <c r="L456" s="22"/>
      <c r="M456" s="31"/>
      <c r="N456" s="22"/>
      <c r="O456" s="7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1"/>
      <c r="B457" s="52"/>
      <c r="C457" s="22"/>
      <c r="D457" s="31"/>
      <c r="E457" s="22"/>
      <c r="F457" s="22"/>
      <c r="G457" s="22"/>
      <c r="H457" s="22"/>
      <c r="I457" s="22"/>
      <c r="J457" s="22"/>
      <c r="K457" s="31"/>
      <c r="L457" s="22"/>
      <c r="M457" s="31"/>
      <c r="N457" s="22"/>
      <c r="O457" s="7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1"/>
      <c r="B458" s="52"/>
      <c r="C458" s="22"/>
      <c r="D458" s="31"/>
      <c r="E458" s="22"/>
      <c r="F458" s="22"/>
      <c r="G458" s="22"/>
      <c r="H458" s="22"/>
      <c r="I458" s="22"/>
      <c r="J458" s="22"/>
      <c r="K458" s="31"/>
      <c r="L458" s="22"/>
      <c r="M458" s="31"/>
      <c r="N458" s="22"/>
      <c r="O458" s="7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1"/>
      <c r="B459" s="52"/>
      <c r="C459" s="22"/>
      <c r="D459" s="31"/>
      <c r="E459" s="22"/>
      <c r="F459" s="22"/>
      <c r="G459" s="22"/>
      <c r="H459" s="22"/>
      <c r="I459" s="22"/>
      <c r="J459" s="22"/>
      <c r="K459" s="31"/>
      <c r="L459" s="22"/>
      <c r="M459" s="31"/>
      <c r="N459" s="22"/>
      <c r="O459" s="7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1"/>
      <c r="B460" s="52"/>
      <c r="C460" s="22"/>
      <c r="D460" s="31"/>
      <c r="E460" s="22"/>
      <c r="F460" s="22"/>
      <c r="G460" s="22"/>
      <c r="H460" s="22"/>
      <c r="I460" s="22"/>
      <c r="J460" s="22"/>
      <c r="K460" s="31"/>
      <c r="L460" s="22"/>
      <c r="M460" s="31"/>
      <c r="N460" s="22"/>
      <c r="O460" s="7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1"/>
      <c r="B461" s="52"/>
      <c r="C461" s="22"/>
      <c r="D461" s="31"/>
      <c r="E461" s="22"/>
      <c r="F461" s="22"/>
      <c r="G461" s="22"/>
      <c r="H461" s="22"/>
      <c r="I461" s="22"/>
      <c r="J461" s="22"/>
      <c r="K461" s="31"/>
      <c r="L461" s="22"/>
      <c r="M461" s="31"/>
      <c r="N461" s="22"/>
      <c r="O461" s="7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1"/>
      <c r="B462" s="52"/>
      <c r="C462" s="22"/>
      <c r="D462" s="31"/>
      <c r="E462" s="22"/>
      <c r="F462" s="22"/>
      <c r="G462" s="22"/>
      <c r="H462" s="22"/>
      <c r="I462" s="22"/>
      <c r="J462" s="22"/>
      <c r="K462" s="31"/>
      <c r="L462" s="22"/>
      <c r="M462" s="31"/>
      <c r="N462" s="22"/>
      <c r="O462" s="7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1"/>
      <c r="B463" s="52"/>
      <c r="C463" s="22"/>
      <c r="D463" s="31"/>
      <c r="E463" s="22"/>
      <c r="F463" s="22"/>
      <c r="G463" s="22"/>
      <c r="H463" s="22"/>
      <c r="I463" s="22"/>
      <c r="J463" s="22"/>
      <c r="K463" s="31"/>
      <c r="L463" s="22"/>
      <c r="M463" s="31"/>
      <c r="N463" s="22"/>
      <c r="O463" s="7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1"/>
      <c r="B464" s="52"/>
      <c r="C464" s="22"/>
      <c r="D464" s="31"/>
      <c r="E464" s="22"/>
      <c r="F464" s="22"/>
      <c r="G464" s="22"/>
      <c r="H464" s="22"/>
      <c r="I464" s="22"/>
      <c r="J464" s="22"/>
      <c r="K464" s="31"/>
      <c r="L464" s="22"/>
      <c r="M464" s="31"/>
      <c r="N464" s="22"/>
      <c r="O464" s="7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1"/>
      <c r="B465" s="52"/>
      <c r="C465" s="22"/>
      <c r="D465" s="31"/>
      <c r="E465" s="22"/>
      <c r="F465" s="22"/>
      <c r="G465" s="22"/>
      <c r="H465" s="22"/>
      <c r="I465" s="22"/>
      <c r="J465" s="22"/>
      <c r="K465" s="31"/>
      <c r="L465" s="22"/>
      <c r="M465" s="31"/>
      <c r="N465" s="22"/>
      <c r="O465" s="7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1"/>
      <c r="B466" s="52"/>
      <c r="C466" s="22"/>
      <c r="D466" s="31"/>
      <c r="E466" s="22"/>
      <c r="F466" s="22"/>
      <c r="G466" s="22"/>
      <c r="H466" s="22"/>
      <c r="I466" s="22"/>
      <c r="J466" s="22"/>
      <c r="K466" s="31"/>
      <c r="L466" s="22"/>
      <c r="M466" s="31"/>
      <c r="N466" s="22"/>
      <c r="O466" s="7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1"/>
      <c r="B467" s="52"/>
      <c r="C467" s="22"/>
      <c r="D467" s="31"/>
      <c r="E467" s="22"/>
      <c r="F467" s="22"/>
      <c r="G467" s="22"/>
      <c r="H467" s="22"/>
      <c r="I467" s="22"/>
      <c r="J467" s="22"/>
      <c r="K467" s="31"/>
      <c r="L467" s="22"/>
      <c r="M467" s="31"/>
      <c r="N467" s="22"/>
      <c r="O467" s="7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1"/>
      <c r="B468" s="52"/>
      <c r="C468" s="22"/>
      <c r="D468" s="31"/>
      <c r="E468" s="22"/>
      <c r="F468" s="22"/>
      <c r="G468" s="22"/>
      <c r="H468" s="22"/>
      <c r="I468" s="22"/>
      <c r="J468" s="22"/>
      <c r="K468" s="31"/>
      <c r="L468" s="22"/>
      <c r="M468" s="31"/>
      <c r="N468" s="22"/>
      <c r="O468" s="7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1"/>
      <c r="B469" s="52"/>
      <c r="C469" s="22"/>
      <c r="D469" s="31"/>
      <c r="E469" s="22"/>
      <c r="F469" s="22"/>
      <c r="G469" s="22"/>
      <c r="H469" s="22"/>
      <c r="I469" s="22"/>
      <c r="J469" s="22"/>
      <c r="K469" s="31"/>
      <c r="L469" s="22"/>
      <c r="M469" s="31"/>
      <c r="N469" s="22"/>
      <c r="O469" s="7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1"/>
      <c r="B470" s="52"/>
      <c r="C470" s="22"/>
      <c r="D470" s="31"/>
      <c r="E470" s="22"/>
      <c r="F470" s="22"/>
      <c r="G470" s="22"/>
      <c r="H470" s="22"/>
      <c r="I470" s="22"/>
      <c r="J470" s="22"/>
      <c r="K470" s="31"/>
      <c r="L470" s="22"/>
      <c r="M470" s="31"/>
      <c r="N470" s="22"/>
      <c r="O470" s="7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1"/>
      <c r="B471" s="52"/>
      <c r="C471" s="22"/>
      <c r="D471" s="31"/>
      <c r="E471" s="22"/>
      <c r="F471" s="22"/>
      <c r="G471" s="22"/>
      <c r="H471" s="22"/>
      <c r="I471" s="22"/>
      <c r="J471" s="22"/>
      <c r="K471" s="31"/>
      <c r="L471" s="22"/>
      <c r="M471" s="31"/>
      <c r="N471" s="22"/>
      <c r="O471" s="7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1"/>
      <c r="B472" s="52"/>
      <c r="C472" s="22"/>
      <c r="D472" s="31"/>
      <c r="E472" s="22"/>
      <c r="F472" s="22"/>
      <c r="G472" s="22"/>
      <c r="H472" s="22"/>
      <c r="I472" s="22"/>
      <c r="J472" s="22"/>
      <c r="K472" s="31"/>
      <c r="L472" s="22"/>
      <c r="M472" s="31"/>
      <c r="N472" s="22"/>
      <c r="O472" s="7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1"/>
      <c r="B473" s="52"/>
      <c r="C473" s="22"/>
      <c r="D473" s="31"/>
      <c r="E473" s="22"/>
      <c r="F473" s="22"/>
      <c r="G473" s="22"/>
      <c r="H473" s="22"/>
      <c r="I473" s="22"/>
      <c r="J473" s="22"/>
      <c r="K473" s="31"/>
      <c r="L473" s="22"/>
      <c r="M473" s="31"/>
      <c r="N473" s="22"/>
      <c r="O473" s="7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1"/>
      <c r="B474" s="52"/>
      <c r="C474" s="22"/>
      <c r="D474" s="31"/>
      <c r="E474" s="22"/>
      <c r="F474" s="22"/>
      <c r="G474" s="22"/>
      <c r="H474" s="22"/>
      <c r="I474" s="22"/>
      <c r="J474" s="22"/>
      <c r="K474" s="31"/>
      <c r="L474" s="22"/>
      <c r="M474" s="31"/>
      <c r="N474" s="22"/>
      <c r="O474" s="7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1"/>
      <c r="B475" s="52"/>
      <c r="C475" s="22"/>
      <c r="D475" s="31"/>
      <c r="E475" s="22"/>
      <c r="F475" s="22"/>
      <c r="G475" s="22"/>
      <c r="H475" s="22"/>
      <c r="I475" s="22"/>
      <c r="J475" s="22"/>
      <c r="K475" s="31"/>
      <c r="L475" s="22"/>
      <c r="M475" s="31"/>
      <c r="N475" s="22"/>
      <c r="O475" s="7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1"/>
      <c r="B476" s="52"/>
      <c r="C476" s="22"/>
      <c r="D476" s="31"/>
      <c r="E476" s="22"/>
      <c r="F476" s="22"/>
      <c r="G476" s="22"/>
      <c r="H476" s="22"/>
      <c r="I476" s="22"/>
      <c r="J476" s="22"/>
      <c r="K476" s="31"/>
      <c r="L476" s="22"/>
      <c r="M476" s="31"/>
      <c r="N476" s="22"/>
      <c r="O476" s="7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1"/>
      <c r="B477" s="52"/>
      <c r="C477" s="22"/>
      <c r="D477" s="31"/>
      <c r="E477" s="22"/>
      <c r="F477" s="22"/>
      <c r="G477" s="22"/>
      <c r="H477" s="22"/>
      <c r="I477" s="22"/>
      <c r="J477" s="22"/>
      <c r="K477" s="31"/>
      <c r="L477" s="22"/>
      <c r="M477" s="31"/>
      <c r="N477" s="22"/>
      <c r="O477" s="7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1"/>
      <c r="B478" s="52"/>
      <c r="C478" s="22"/>
      <c r="D478" s="31"/>
      <c r="E478" s="22"/>
      <c r="F478" s="22"/>
      <c r="G478" s="22"/>
      <c r="H478" s="22"/>
      <c r="I478" s="22"/>
      <c r="J478" s="22"/>
      <c r="K478" s="31"/>
      <c r="L478" s="22"/>
      <c r="M478" s="31"/>
      <c r="N478" s="22"/>
      <c r="O478" s="7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1"/>
      <c r="B479" s="52"/>
      <c r="C479" s="22"/>
      <c r="D479" s="31"/>
      <c r="E479" s="22"/>
      <c r="F479" s="22"/>
      <c r="G479" s="22"/>
      <c r="H479" s="22"/>
      <c r="I479" s="22"/>
      <c r="J479" s="22"/>
      <c r="K479" s="31"/>
      <c r="L479" s="22"/>
      <c r="M479" s="31"/>
      <c r="N479" s="22"/>
      <c r="O479" s="7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1"/>
      <c r="B480" s="52"/>
      <c r="C480" s="22"/>
      <c r="D480" s="31"/>
      <c r="E480" s="22"/>
      <c r="F480" s="22"/>
      <c r="G480" s="22"/>
      <c r="H480" s="22"/>
      <c r="I480" s="22"/>
      <c r="J480" s="22"/>
      <c r="K480" s="31"/>
      <c r="L480" s="22"/>
      <c r="M480" s="31"/>
      <c r="N480" s="22"/>
      <c r="O480" s="7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1"/>
      <c r="B481" s="52"/>
      <c r="C481" s="22"/>
      <c r="D481" s="31"/>
      <c r="E481" s="22"/>
      <c r="F481" s="22"/>
      <c r="G481" s="22"/>
      <c r="H481" s="22"/>
      <c r="I481" s="22"/>
      <c r="J481" s="22"/>
      <c r="K481" s="31"/>
      <c r="L481" s="22"/>
      <c r="M481" s="31"/>
      <c r="N481" s="22"/>
      <c r="O481" s="7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1"/>
      <c r="B482" s="52"/>
      <c r="C482" s="22"/>
      <c r="D482" s="31"/>
      <c r="E482" s="22"/>
      <c r="F482" s="22"/>
      <c r="G482" s="22"/>
      <c r="H482" s="22"/>
      <c r="I482" s="22"/>
      <c r="J482" s="22"/>
      <c r="K482" s="31"/>
      <c r="L482" s="22"/>
      <c r="M482" s="31"/>
      <c r="N482" s="22"/>
      <c r="O482" s="7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1"/>
      <c r="B483" s="52"/>
      <c r="C483" s="22"/>
      <c r="D483" s="31"/>
      <c r="E483" s="22"/>
      <c r="F483" s="22"/>
      <c r="G483" s="22"/>
      <c r="H483" s="22"/>
      <c r="I483" s="22"/>
      <c r="J483" s="22"/>
      <c r="K483" s="31"/>
      <c r="L483" s="22"/>
      <c r="M483" s="31"/>
      <c r="N483" s="22"/>
      <c r="O483" s="7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1"/>
      <c r="B484" s="52"/>
      <c r="C484" s="22"/>
      <c r="D484" s="31"/>
      <c r="E484" s="22"/>
      <c r="F484" s="22"/>
      <c r="G484" s="22"/>
      <c r="H484" s="22"/>
      <c r="I484" s="22"/>
      <c r="J484" s="22"/>
      <c r="K484" s="31"/>
      <c r="L484" s="22"/>
      <c r="M484" s="31"/>
      <c r="N484" s="22"/>
      <c r="O484" s="7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1"/>
      <c r="B485" s="52"/>
      <c r="C485" s="22"/>
      <c r="D485" s="31"/>
      <c r="E485" s="22"/>
      <c r="F485" s="22"/>
      <c r="G485" s="22"/>
      <c r="H485" s="22"/>
      <c r="I485" s="22"/>
      <c r="J485" s="22"/>
      <c r="K485" s="31"/>
      <c r="L485" s="22"/>
      <c r="M485" s="31"/>
      <c r="N485" s="22"/>
      <c r="O485" s="7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1"/>
      <c r="B486" s="52"/>
      <c r="C486" s="22"/>
      <c r="D486" s="31"/>
      <c r="E486" s="22"/>
      <c r="F486" s="22"/>
      <c r="G486" s="22"/>
      <c r="H486" s="22"/>
      <c r="I486" s="22"/>
      <c r="J486" s="22"/>
      <c r="K486" s="31"/>
      <c r="L486" s="22"/>
      <c r="M486" s="31"/>
      <c r="N486" s="22"/>
      <c r="O486" s="7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1"/>
      <c r="B487" s="52"/>
      <c r="C487" s="22"/>
      <c r="D487" s="31"/>
      <c r="E487" s="22"/>
      <c r="F487" s="22"/>
      <c r="G487" s="22"/>
      <c r="H487" s="22"/>
      <c r="I487" s="22"/>
      <c r="J487" s="22"/>
      <c r="K487" s="31"/>
      <c r="L487" s="22"/>
      <c r="M487" s="31"/>
      <c r="N487" s="22"/>
      <c r="O487" s="7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1"/>
      <c r="B488" s="52"/>
      <c r="C488" s="22"/>
      <c r="D488" s="31"/>
      <c r="E488" s="22"/>
      <c r="F488" s="22"/>
      <c r="G488" s="22"/>
      <c r="H488" s="22"/>
      <c r="I488" s="22"/>
      <c r="J488" s="22"/>
      <c r="K488" s="31"/>
      <c r="L488" s="22"/>
      <c r="M488" s="31"/>
      <c r="N488" s="22"/>
      <c r="O488" s="7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1"/>
      <c r="B489" s="52"/>
      <c r="C489" s="22"/>
      <c r="D489" s="31"/>
      <c r="E489" s="22"/>
      <c r="F489" s="22"/>
      <c r="G489" s="22"/>
      <c r="H489" s="22"/>
      <c r="I489" s="22"/>
      <c r="J489" s="22"/>
      <c r="K489" s="31"/>
      <c r="L489" s="22"/>
      <c r="M489" s="31"/>
      <c r="N489" s="22"/>
      <c r="O489" s="7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1"/>
      <c r="B490" s="52"/>
      <c r="C490" s="22"/>
      <c r="D490" s="31"/>
      <c r="E490" s="22"/>
      <c r="F490" s="22"/>
      <c r="G490" s="22"/>
      <c r="H490" s="22"/>
      <c r="I490" s="22"/>
      <c r="J490" s="22"/>
      <c r="K490" s="31"/>
      <c r="L490" s="22"/>
      <c r="M490" s="31"/>
      <c r="N490" s="22"/>
      <c r="O490" s="7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1"/>
      <c r="B491" s="52"/>
      <c r="C491" s="22"/>
      <c r="D491" s="31"/>
      <c r="E491" s="22"/>
      <c r="F491" s="22"/>
      <c r="G491" s="22"/>
      <c r="H491" s="22"/>
      <c r="I491" s="22"/>
      <c r="J491" s="22"/>
      <c r="K491" s="31"/>
      <c r="L491" s="22"/>
      <c r="M491" s="31"/>
      <c r="N491" s="22"/>
      <c r="O491" s="7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1"/>
      <c r="B492" s="52"/>
      <c r="C492" s="22"/>
      <c r="D492" s="31"/>
      <c r="E492" s="22"/>
      <c r="F492" s="22"/>
      <c r="G492" s="22"/>
      <c r="H492" s="22"/>
      <c r="I492" s="22"/>
      <c r="J492" s="22"/>
      <c r="K492" s="31"/>
      <c r="L492" s="22"/>
      <c r="M492" s="31"/>
      <c r="N492" s="22"/>
      <c r="O492" s="7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1"/>
      <c r="B493" s="52"/>
      <c r="C493" s="22"/>
      <c r="D493" s="31"/>
      <c r="E493" s="22"/>
      <c r="F493" s="22"/>
      <c r="G493" s="22"/>
      <c r="H493" s="22"/>
      <c r="I493" s="22"/>
      <c r="J493" s="22"/>
      <c r="K493" s="31"/>
      <c r="L493" s="22"/>
      <c r="M493" s="31"/>
      <c r="N493" s="22"/>
      <c r="O493" s="7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1"/>
      <c r="B494" s="52"/>
      <c r="C494" s="22"/>
      <c r="D494" s="31"/>
      <c r="E494" s="22"/>
      <c r="F494" s="22"/>
      <c r="G494" s="22"/>
      <c r="H494" s="22"/>
      <c r="I494" s="22"/>
      <c r="J494" s="22"/>
      <c r="K494" s="31"/>
      <c r="L494" s="22"/>
      <c r="M494" s="31"/>
      <c r="N494" s="22"/>
      <c r="O494" s="7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1"/>
      <c r="B495" s="52"/>
      <c r="C495" s="22"/>
      <c r="D495" s="31"/>
      <c r="E495" s="22"/>
      <c r="F495" s="22"/>
      <c r="G495" s="22"/>
      <c r="H495" s="22"/>
      <c r="I495" s="22"/>
      <c r="J495" s="22"/>
      <c r="K495" s="31"/>
      <c r="L495" s="22"/>
      <c r="M495" s="31"/>
      <c r="N495" s="22"/>
      <c r="O495" s="7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1"/>
      <c r="B496" s="52"/>
      <c r="C496" s="22"/>
      <c r="D496" s="31"/>
      <c r="E496" s="22"/>
      <c r="F496" s="22"/>
      <c r="G496" s="22"/>
      <c r="H496" s="22"/>
      <c r="I496" s="22"/>
      <c r="J496" s="22"/>
      <c r="K496" s="31"/>
      <c r="L496" s="22"/>
      <c r="M496" s="31"/>
      <c r="N496" s="22"/>
      <c r="O496" s="7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1"/>
      <c r="B497" s="52"/>
      <c r="C497" s="22"/>
      <c r="D497" s="31"/>
      <c r="E497" s="22"/>
      <c r="F497" s="22"/>
      <c r="G497" s="22"/>
      <c r="H497" s="22"/>
      <c r="I497" s="22"/>
      <c r="J497" s="22"/>
      <c r="K497" s="31"/>
      <c r="L497" s="22"/>
      <c r="M497" s="31"/>
      <c r="N497" s="22"/>
      <c r="O497" s="7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1"/>
      <c r="B498" s="52"/>
      <c r="C498" s="22"/>
      <c r="D498" s="31"/>
      <c r="E498" s="22"/>
      <c r="F498" s="22"/>
      <c r="G498" s="22"/>
      <c r="H498" s="22"/>
      <c r="I498" s="22"/>
      <c r="J498" s="22"/>
      <c r="K498" s="31"/>
      <c r="L498" s="22"/>
      <c r="M498" s="31"/>
      <c r="N498" s="22"/>
      <c r="O498" s="7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1"/>
      <c r="B499" s="52"/>
      <c r="C499" s="22"/>
      <c r="D499" s="31"/>
      <c r="E499" s="22"/>
      <c r="F499" s="22"/>
      <c r="G499" s="22"/>
      <c r="H499" s="22"/>
      <c r="I499" s="22"/>
      <c r="J499" s="22"/>
      <c r="K499" s="31"/>
      <c r="L499" s="22"/>
      <c r="M499" s="31"/>
      <c r="N499" s="22"/>
      <c r="O499" s="7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1"/>
      <c r="B500" s="52"/>
      <c r="C500" s="22"/>
      <c r="D500" s="31"/>
      <c r="E500" s="22"/>
      <c r="F500" s="22"/>
      <c r="G500" s="22"/>
      <c r="H500" s="22"/>
      <c r="I500" s="22"/>
      <c r="J500" s="22"/>
      <c r="K500" s="31"/>
      <c r="L500" s="22"/>
      <c r="M500" s="31"/>
      <c r="N500" s="22"/>
      <c r="O500" s="7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1"/>
      <c r="B501" s="52"/>
      <c r="C501" s="22"/>
      <c r="D501" s="31"/>
      <c r="E501" s="22"/>
      <c r="F501" s="22"/>
      <c r="G501" s="22"/>
      <c r="H501" s="22"/>
      <c r="I501" s="22"/>
      <c r="J501" s="22"/>
      <c r="K501" s="31"/>
      <c r="L501" s="22"/>
      <c r="M501" s="31"/>
      <c r="N501" s="22"/>
      <c r="O501" s="7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1"/>
      <c r="B502" s="52"/>
      <c r="C502" s="22"/>
      <c r="D502" s="31"/>
      <c r="E502" s="22"/>
      <c r="F502" s="22"/>
      <c r="G502" s="22"/>
      <c r="H502" s="22"/>
      <c r="I502" s="22"/>
      <c r="J502" s="22"/>
      <c r="K502" s="31"/>
      <c r="L502" s="22"/>
      <c r="M502" s="31"/>
      <c r="N502" s="22"/>
      <c r="O502" s="7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1"/>
      <c r="B503" s="52"/>
      <c r="C503" s="22"/>
      <c r="D503" s="31"/>
      <c r="E503" s="22"/>
      <c r="F503" s="22"/>
      <c r="G503" s="22"/>
      <c r="H503" s="22"/>
      <c r="I503" s="22"/>
      <c r="J503" s="22"/>
      <c r="K503" s="31"/>
      <c r="L503" s="22"/>
      <c r="M503" s="31"/>
      <c r="N503" s="22"/>
      <c r="O503" s="7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1"/>
      <c r="B504" s="52"/>
      <c r="C504" s="22"/>
      <c r="D504" s="31"/>
      <c r="E504" s="22"/>
      <c r="F504" s="22"/>
      <c r="G504" s="22"/>
      <c r="H504" s="22"/>
      <c r="I504" s="22"/>
      <c r="J504" s="22"/>
      <c r="K504" s="31"/>
      <c r="L504" s="22"/>
      <c r="M504" s="31"/>
      <c r="N504" s="22"/>
      <c r="O504" s="7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1"/>
      <c r="B505" s="52"/>
      <c r="C505" s="22"/>
      <c r="D505" s="31"/>
      <c r="E505" s="22"/>
      <c r="F505" s="22"/>
      <c r="G505" s="22"/>
      <c r="H505" s="22"/>
      <c r="I505" s="22"/>
      <c r="J505" s="22"/>
      <c r="K505" s="31"/>
      <c r="L505" s="22"/>
      <c r="M505" s="31"/>
      <c r="N505" s="22"/>
      <c r="O505" s="7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1"/>
      <c r="B506" s="52"/>
      <c r="C506" s="22"/>
      <c r="D506" s="31"/>
      <c r="E506" s="22"/>
      <c r="F506" s="22"/>
      <c r="G506" s="22"/>
      <c r="H506" s="22"/>
      <c r="I506" s="22"/>
      <c r="J506" s="22"/>
      <c r="K506" s="31"/>
      <c r="L506" s="22"/>
      <c r="M506" s="31"/>
      <c r="N506" s="22"/>
      <c r="O506" s="7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1"/>
      <c r="B507" s="52"/>
      <c r="C507" s="22"/>
      <c r="D507" s="31"/>
      <c r="E507" s="22"/>
      <c r="F507" s="22"/>
      <c r="G507" s="22"/>
      <c r="H507" s="22"/>
      <c r="I507" s="22"/>
      <c r="J507" s="22"/>
      <c r="K507" s="31"/>
      <c r="L507" s="22"/>
      <c r="M507" s="31"/>
      <c r="N507" s="22"/>
      <c r="O507" s="7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1"/>
      <c r="B508" s="52"/>
      <c r="C508" s="22"/>
      <c r="D508" s="31"/>
      <c r="E508" s="22"/>
      <c r="F508" s="22"/>
      <c r="G508" s="22"/>
      <c r="H508" s="22"/>
      <c r="I508" s="22"/>
      <c r="J508" s="22"/>
      <c r="K508" s="31"/>
      <c r="L508" s="22"/>
      <c r="M508" s="31"/>
      <c r="N508" s="22"/>
      <c r="O508" s="7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1"/>
      <c r="B509" s="52"/>
      <c r="C509" s="22"/>
      <c r="D509" s="31"/>
      <c r="E509" s="22"/>
      <c r="F509" s="22"/>
      <c r="G509" s="22"/>
      <c r="H509" s="22"/>
      <c r="I509" s="22"/>
      <c r="J509" s="22"/>
      <c r="K509" s="31"/>
      <c r="L509" s="22"/>
      <c r="M509" s="31"/>
      <c r="N509" s="22"/>
      <c r="O509" s="7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1"/>
      <c r="B510" s="52"/>
      <c r="C510" s="22"/>
      <c r="D510" s="31"/>
      <c r="E510" s="22"/>
      <c r="F510" s="22"/>
      <c r="G510" s="22"/>
      <c r="H510" s="22"/>
      <c r="I510" s="22"/>
      <c r="J510" s="22"/>
      <c r="K510" s="31"/>
      <c r="L510" s="22"/>
      <c r="M510" s="31"/>
      <c r="N510" s="22"/>
      <c r="O510" s="7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1"/>
      <c r="B511" s="52"/>
      <c r="C511" s="22"/>
      <c r="D511" s="31"/>
      <c r="E511" s="22"/>
      <c r="F511" s="22"/>
      <c r="G511" s="22"/>
      <c r="H511" s="22"/>
      <c r="I511" s="22"/>
      <c r="J511" s="22"/>
      <c r="K511" s="31"/>
      <c r="L511" s="22"/>
      <c r="M511" s="31"/>
      <c r="N511" s="22"/>
      <c r="O511" s="7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1"/>
      <c r="B512" s="52"/>
      <c r="C512" s="22"/>
      <c r="D512" s="31"/>
      <c r="E512" s="22"/>
      <c r="F512" s="22"/>
      <c r="G512" s="22"/>
      <c r="H512" s="22"/>
      <c r="I512" s="22"/>
      <c r="J512" s="22"/>
      <c r="K512" s="31"/>
      <c r="L512" s="22"/>
      <c r="M512" s="31"/>
      <c r="N512" s="22"/>
      <c r="O512" s="7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1"/>
      <c r="B513" s="52"/>
      <c r="C513" s="22"/>
      <c r="D513" s="31"/>
      <c r="E513" s="22"/>
      <c r="F513" s="22"/>
      <c r="G513" s="22"/>
      <c r="H513" s="22"/>
      <c r="I513" s="22"/>
      <c r="J513" s="22"/>
      <c r="K513" s="31"/>
      <c r="L513" s="22"/>
      <c r="M513" s="31"/>
      <c r="N513" s="22"/>
      <c r="O513" s="7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1"/>
      <c r="B514" s="52"/>
      <c r="C514" s="22"/>
      <c r="D514" s="31"/>
      <c r="E514" s="22"/>
      <c r="F514" s="22"/>
      <c r="G514" s="22"/>
      <c r="H514" s="22"/>
      <c r="I514" s="22"/>
      <c r="J514" s="22"/>
      <c r="K514" s="31"/>
      <c r="L514" s="22"/>
      <c r="M514" s="31"/>
      <c r="N514" s="22"/>
      <c r="O514" s="7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1"/>
      <c r="B515" s="52"/>
      <c r="C515" s="22"/>
      <c r="D515" s="31"/>
      <c r="E515" s="22"/>
      <c r="F515" s="22"/>
      <c r="G515" s="22"/>
      <c r="H515" s="22"/>
      <c r="I515" s="22"/>
      <c r="J515" s="22"/>
      <c r="K515" s="31"/>
      <c r="L515" s="22"/>
      <c r="M515" s="31"/>
      <c r="N515" s="22"/>
      <c r="O515" s="7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1"/>
      <c r="B516" s="52"/>
      <c r="C516" s="22"/>
      <c r="D516" s="31"/>
      <c r="E516" s="22"/>
      <c r="F516" s="22"/>
      <c r="G516" s="22"/>
      <c r="H516" s="22"/>
      <c r="I516" s="22"/>
      <c r="J516" s="22"/>
      <c r="K516" s="31"/>
      <c r="L516" s="22"/>
      <c r="M516" s="31"/>
      <c r="N516" s="22"/>
      <c r="O516" s="7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1"/>
      <c r="B517" s="52"/>
      <c r="C517" s="22"/>
      <c r="D517" s="31"/>
      <c r="E517" s="22"/>
      <c r="F517" s="22"/>
      <c r="G517" s="22"/>
      <c r="H517" s="22"/>
      <c r="I517" s="22"/>
      <c r="J517" s="22"/>
      <c r="K517" s="31"/>
      <c r="L517" s="22"/>
      <c r="M517" s="31"/>
      <c r="N517" s="22"/>
      <c r="O517" s="7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1"/>
      <c r="B518" s="52"/>
      <c r="C518" s="22"/>
      <c r="D518" s="31"/>
      <c r="E518" s="22"/>
      <c r="F518" s="22"/>
      <c r="G518" s="22"/>
      <c r="H518" s="22"/>
      <c r="I518" s="22"/>
      <c r="J518" s="22"/>
      <c r="K518" s="31"/>
      <c r="L518" s="22"/>
      <c r="M518" s="31"/>
      <c r="N518" s="22"/>
      <c r="O518" s="7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1"/>
      <c r="B519" s="52"/>
      <c r="C519" s="22"/>
      <c r="D519" s="31"/>
      <c r="E519" s="22"/>
      <c r="F519" s="22"/>
      <c r="G519" s="22"/>
      <c r="H519" s="22"/>
      <c r="I519" s="22"/>
      <c r="J519" s="22"/>
      <c r="K519" s="31"/>
      <c r="L519" s="22"/>
      <c r="M519" s="31"/>
      <c r="N519" s="22"/>
      <c r="O519" s="7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1"/>
      <c r="B520" s="52"/>
      <c r="C520" s="22"/>
      <c r="D520" s="31"/>
      <c r="E520" s="22"/>
      <c r="F520" s="22"/>
      <c r="G520" s="22"/>
      <c r="H520" s="22"/>
      <c r="I520" s="22"/>
      <c r="J520" s="22"/>
      <c r="K520" s="31"/>
      <c r="L520" s="22"/>
      <c r="M520" s="31"/>
      <c r="N520" s="22"/>
      <c r="O520" s="7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1"/>
      <c r="B521" s="52"/>
      <c r="C521" s="22"/>
      <c r="D521" s="31"/>
      <c r="E521" s="22"/>
      <c r="F521" s="22"/>
      <c r="G521" s="22"/>
      <c r="H521" s="22"/>
      <c r="I521" s="22"/>
      <c r="J521" s="22"/>
      <c r="K521" s="31"/>
      <c r="L521" s="22"/>
      <c r="M521" s="31"/>
      <c r="N521" s="22"/>
      <c r="O521" s="7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1"/>
      <c r="B522" s="52"/>
      <c r="C522" s="22"/>
      <c r="D522" s="31"/>
      <c r="E522" s="22"/>
      <c r="F522" s="22"/>
      <c r="G522" s="22"/>
      <c r="H522" s="22"/>
      <c r="I522" s="22"/>
      <c r="J522" s="22"/>
      <c r="K522" s="31"/>
      <c r="L522" s="22"/>
      <c r="M522" s="31"/>
      <c r="N522" s="22"/>
      <c r="O522" s="7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1"/>
      <c r="B523" s="52"/>
      <c r="C523" s="22"/>
      <c r="D523" s="31"/>
      <c r="E523" s="22"/>
      <c r="F523" s="22"/>
      <c r="G523" s="22"/>
      <c r="H523" s="22"/>
      <c r="I523" s="22"/>
      <c r="J523" s="22"/>
      <c r="K523" s="31"/>
      <c r="L523" s="22"/>
      <c r="M523" s="31"/>
      <c r="N523" s="22"/>
      <c r="O523" s="7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1"/>
      <c r="B524" s="52"/>
      <c r="C524" s="22"/>
      <c r="D524" s="31"/>
      <c r="E524" s="22"/>
      <c r="F524" s="22"/>
      <c r="G524" s="22"/>
      <c r="H524" s="22"/>
      <c r="I524" s="22"/>
      <c r="J524" s="22"/>
      <c r="K524" s="31"/>
      <c r="L524" s="22"/>
      <c r="M524" s="31"/>
      <c r="N524" s="22"/>
      <c r="O524" s="7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1"/>
      <c r="B525" s="52"/>
      <c r="C525" s="22"/>
      <c r="D525" s="31"/>
      <c r="E525" s="22"/>
      <c r="F525" s="22"/>
      <c r="G525" s="22"/>
      <c r="H525" s="22"/>
      <c r="I525" s="22"/>
      <c r="J525" s="22"/>
      <c r="K525" s="31"/>
      <c r="L525" s="22"/>
      <c r="M525" s="31"/>
      <c r="N525" s="22"/>
      <c r="O525" s="7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1"/>
      <c r="B526" s="52"/>
      <c r="C526" s="22"/>
      <c r="D526" s="31"/>
      <c r="E526" s="22"/>
      <c r="F526" s="22"/>
      <c r="G526" s="22"/>
      <c r="H526" s="22"/>
      <c r="I526" s="22"/>
      <c r="J526" s="22"/>
      <c r="K526" s="31"/>
      <c r="L526" s="22"/>
      <c r="M526" s="31"/>
      <c r="N526" s="22"/>
      <c r="O526" s="7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1"/>
      <c r="B527" s="52"/>
      <c r="C527" s="22"/>
      <c r="D527" s="31"/>
      <c r="E527" s="22"/>
      <c r="F527" s="22"/>
      <c r="G527" s="22"/>
      <c r="H527" s="22"/>
      <c r="I527" s="22"/>
      <c r="J527" s="22"/>
      <c r="K527" s="31"/>
      <c r="L527" s="22"/>
      <c r="M527" s="31"/>
      <c r="N527" s="22"/>
      <c r="O527" s="7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1"/>
      <c r="B528" s="52"/>
      <c r="C528" s="22"/>
      <c r="D528" s="31"/>
      <c r="E528" s="22"/>
      <c r="F528" s="22"/>
      <c r="G528" s="22"/>
      <c r="H528" s="22"/>
      <c r="I528" s="22"/>
      <c r="J528" s="22"/>
      <c r="K528" s="31"/>
      <c r="L528" s="22"/>
      <c r="M528" s="31"/>
      <c r="N528" s="22"/>
      <c r="O528" s="7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1"/>
      <c r="B529" s="52"/>
      <c r="C529" s="22"/>
      <c r="D529" s="31"/>
      <c r="E529" s="22"/>
      <c r="F529" s="22"/>
      <c r="G529" s="22"/>
      <c r="H529" s="22"/>
      <c r="I529" s="22"/>
      <c r="J529" s="22"/>
      <c r="K529" s="31"/>
      <c r="L529" s="22"/>
      <c r="M529" s="31"/>
      <c r="N529" s="22"/>
      <c r="O529" s="7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1"/>
      <c r="B530" s="52"/>
      <c r="C530" s="22"/>
      <c r="D530" s="31"/>
      <c r="E530" s="22"/>
      <c r="F530" s="22"/>
      <c r="G530" s="22"/>
      <c r="H530" s="22"/>
      <c r="I530" s="22"/>
      <c r="J530" s="22"/>
      <c r="K530" s="31"/>
      <c r="L530" s="22"/>
      <c r="M530" s="31"/>
      <c r="N530" s="22"/>
      <c r="O530" s="7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1"/>
      <c r="B531" s="52"/>
      <c r="C531" s="22"/>
      <c r="D531" s="31"/>
      <c r="E531" s="22"/>
      <c r="F531" s="22"/>
      <c r="G531" s="22"/>
      <c r="H531" s="22"/>
      <c r="I531" s="22"/>
      <c r="J531" s="22"/>
      <c r="K531" s="31"/>
      <c r="L531" s="22"/>
      <c r="M531" s="31"/>
      <c r="N531" s="22"/>
      <c r="O531" s="7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1"/>
      <c r="B532" s="52"/>
      <c r="C532" s="22"/>
      <c r="D532" s="31"/>
      <c r="E532" s="22"/>
      <c r="F532" s="22"/>
      <c r="G532" s="22"/>
      <c r="H532" s="22"/>
      <c r="I532" s="22"/>
      <c r="J532" s="22"/>
      <c r="K532" s="31"/>
      <c r="L532" s="22"/>
      <c r="M532" s="31"/>
      <c r="N532" s="22"/>
      <c r="O532" s="7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1"/>
      <c r="B533" s="52"/>
      <c r="C533" s="22"/>
      <c r="D533" s="31"/>
      <c r="E533" s="22"/>
      <c r="F533" s="22"/>
      <c r="G533" s="22"/>
      <c r="H533" s="22"/>
      <c r="I533" s="22"/>
      <c r="J533" s="22"/>
      <c r="K533" s="31"/>
      <c r="L533" s="22"/>
      <c r="M533" s="31"/>
      <c r="N533" s="22"/>
      <c r="O533" s="7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1"/>
      <c r="B534" s="52"/>
      <c r="C534" s="22"/>
      <c r="D534" s="31"/>
      <c r="E534" s="22"/>
      <c r="F534" s="22"/>
      <c r="G534" s="22"/>
      <c r="H534" s="22"/>
      <c r="I534" s="22"/>
      <c r="J534" s="22"/>
      <c r="K534" s="31"/>
      <c r="L534" s="22"/>
      <c r="M534" s="31"/>
      <c r="N534" s="22"/>
      <c r="O534" s="7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1"/>
      <c r="B535" s="52"/>
      <c r="C535" s="22"/>
      <c r="D535" s="31"/>
      <c r="E535" s="22"/>
      <c r="F535" s="22"/>
      <c r="G535" s="22"/>
      <c r="H535" s="22"/>
      <c r="I535" s="22"/>
      <c r="J535" s="22"/>
      <c r="K535" s="31"/>
      <c r="L535" s="22"/>
      <c r="M535" s="31"/>
      <c r="N535" s="22"/>
      <c r="O535" s="7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1"/>
      <c r="B536" s="52"/>
      <c r="C536" s="22"/>
      <c r="D536" s="31"/>
      <c r="E536" s="22"/>
      <c r="F536" s="22"/>
      <c r="G536" s="22"/>
      <c r="H536" s="22"/>
      <c r="I536" s="22"/>
      <c r="J536" s="22"/>
      <c r="K536" s="31"/>
      <c r="L536" s="22"/>
      <c r="M536" s="31"/>
      <c r="N536" s="22"/>
      <c r="O536" s="7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1"/>
      <c r="B537" s="52"/>
      <c r="C537" s="22"/>
      <c r="D537" s="31"/>
      <c r="E537" s="22"/>
      <c r="F537" s="22"/>
      <c r="G537" s="22"/>
      <c r="H537" s="22"/>
      <c r="I537" s="22"/>
      <c r="J537" s="22"/>
      <c r="K537" s="31"/>
      <c r="L537" s="22"/>
      <c r="M537" s="31"/>
      <c r="N537" s="22"/>
      <c r="O537" s="7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1"/>
      <c r="B538" s="52"/>
      <c r="C538" s="22"/>
      <c r="D538" s="31"/>
      <c r="E538" s="22"/>
      <c r="F538" s="22"/>
      <c r="G538" s="22"/>
      <c r="H538" s="22"/>
      <c r="I538" s="22"/>
      <c r="J538" s="22"/>
      <c r="K538" s="31"/>
      <c r="L538" s="22"/>
      <c r="M538" s="31"/>
      <c r="N538" s="22"/>
      <c r="O538" s="7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1"/>
      <c r="B539" s="52"/>
      <c r="C539" s="22"/>
      <c r="D539" s="31"/>
      <c r="E539" s="22"/>
      <c r="F539" s="22"/>
      <c r="G539" s="22"/>
      <c r="H539" s="22"/>
      <c r="I539" s="22"/>
      <c r="J539" s="22"/>
      <c r="K539" s="31"/>
      <c r="L539" s="22"/>
      <c r="M539" s="31"/>
      <c r="N539" s="22"/>
      <c r="O539" s="7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1"/>
      <c r="B540" s="52"/>
      <c r="C540" s="22"/>
      <c r="D540" s="31"/>
      <c r="E540" s="22"/>
      <c r="F540" s="22"/>
      <c r="G540" s="22"/>
      <c r="H540" s="22"/>
      <c r="I540" s="22"/>
      <c r="J540" s="22"/>
      <c r="K540" s="31"/>
      <c r="L540" s="22"/>
      <c r="M540" s="31"/>
      <c r="N540" s="22"/>
      <c r="O540" s="7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1"/>
      <c r="B541" s="52"/>
      <c r="C541" s="22"/>
      <c r="D541" s="31"/>
      <c r="E541" s="22"/>
      <c r="F541" s="22"/>
      <c r="G541" s="22"/>
      <c r="H541" s="22"/>
      <c r="I541" s="22"/>
      <c r="J541" s="22"/>
      <c r="K541" s="31"/>
      <c r="L541" s="22"/>
      <c r="M541" s="31"/>
      <c r="N541" s="22"/>
      <c r="O541" s="7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1"/>
      <c r="B542" s="52"/>
      <c r="C542" s="22"/>
      <c r="D542" s="31"/>
      <c r="E542" s="22"/>
      <c r="F542" s="22"/>
      <c r="G542" s="22"/>
      <c r="H542" s="22"/>
      <c r="I542" s="22"/>
      <c r="J542" s="22"/>
      <c r="K542" s="31"/>
      <c r="L542" s="22"/>
      <c r="M542" s="31"/>
      <c r="N542" s="22"/>
      <c r="O542" s="7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1"/>
      <c r="B543" s="52"/>
      <c r="C543" s="22"/>
      <c r="D543" s="31"/>
      <c r="E543" s="22"/>
      <c r="F543" s="22"/>
      <c r="G543" s="22"/>
      <c r="H543" s="22"/>
      <c r="I543" s="22"/>
      <c r="J543" s="22"/>
      <c r="K543" s="31"/>
      <c r="L543" s="22"/>
      <c r="M543" s="31"/>
      <c r="N543" s="22"/>
      <c r="O543" s="7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1"/>
      <c r="B544" s="52"/>
      <c r="C544" s="22"/>
      <c r="D544" s="31"/>
      <c r="E544" s="22"/>
      <c r="F544" s="22"/>
      <c r="G544" s="22"/>
      <c r="H544" s="22"/>
      <c r="I544" s="22"/>
      <c r="J544" s="22"/>
      <c r="K544" s="31"/>
      <c r="L544" s="22"/>
      <c r="M544" s="31"/>
      <c r="N544" s="22"/>
      <c r="O544" s="7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1"/>
      <c r="B545" s="52"/>
      <c r="C545" s="22"/>
      <c r="D545" s="31"/>
      <c r="E545" s="22"/>
      <c r="F545" s="22"/>
      <c r="G545" s="22"/>
      <c r="H545" s="22"/>
      <c r="I545" s="22"/>
      <c r="J545" s="22"/>
      <c r="K545" s="31"/>
      <c r="L545" s="22"/>
      <c r="M545" s="31"/>
      <c r="N545" s="22"/>
      <c r="O545" s="7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1"/>
      <c r="B546" s="52"/>
      <c r="C546" s="22"/>
      <c r="D546" s="31"/>
      <c r="E546" s="22"/>
      <c r="F546" s="22"/>
      <c r="G546" s="22"/>
      <c r="H546" s="22"/>
      <c r="I546" s="22"/>
      <c r="J546" s="22"/>
      <c r="K546" s="31"/>
      <c r="L546" s="22"/>
      <c r="M546" s="31"/>
      <c r="N546" s="22"/>
      <c r="O546" s="7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1"/>
      <c r="B547" s="52"/>
      <c r="C547" s="22"/>
      <c r="D547" s="31"/>
      <c r="E547" s="22"/>
      <c r="F547" s="22"/>
      <c r="G547" s="22"/>
      <c r="H547" s="22"/>
      <c r="I547" s="22"/>
      <c r="J547" s="22"/>
      <c r="K547" s="31"/>
      <c r="L547" s="22"/>
      <c r="M547" s="31"/>
      <c r="N547" s="22"/>
      <c r="O547" s="7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1"/>
      <c r="B548" s="52"/>
      <c r="C548" s="22"/>
      <c r="D548" s="31"/>
      <c r="E548" s="22"/>
      <c r="F548" s="22"/>
      <c r="G548" s="22"/>
      <c r="H548" s="22"/>
      <c r="I548" s="22"/>
      <c r="J548" s="22"/>
      <c r="K548" s="31"/>
      <c r="L548" s="22"/>
      <c r="M548" s="31"/>
      <c r="N548" s="22"/>
      <c r="O548" s="7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1"/>
      <c r="B549" s="52"/>
      <c r="C549" s="22"/>
      <c r="D549" s="31"/>
      <c r="E549" s="22"/>
      <c r="F549" s="22"/>
      <c r="G549" s="22"/>
      <c r="H549" s="22"/>
      <c r="I549" s="22"/>
      <c r="J549" s="22"/>
      <c r="K549" s="31"/>
      <c r="L549" s="22"/>
      <c r="M549" s="31"/>
      <c r="N549" s="22"/>
      <c r="O549" s="7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1"/>
      <c r="B550" s="52"/>
      <c r="C550" s="22"/>
      <c r="D550" s="31"/>
      <c r="E550" s="22"/>
      <c r="F550" s="22"/>
      <c r="G550" s="22"/>
      <c r="H550" s="22"/>
      <c r="I550" s="22"/>
      <c r="J550" s="22"/>
      <c r="K550" s="31"/>
      <c r="L550" s="22"/>
      <c r="M550" s="31"/>
      <c r="N550" s="22"/>
      <c r="O550" s="7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1"/>
      <c r="B551" s="52"/>
      <c r="C551" s="22"/>
      <c r="D551" s="31"/>
      <c r="E551" s="22"/>
      <c r="F551" s="22"/>
      <c r="G551" s="22"/>
      <c r="H551" s="22"/>
      <c r="I551" s="22"/>
      <c r="J551" s="22"/>
      <c r="K551" s="31"/>
      <c r="L551" s="22"/>
      <c r="M551" s="31"/>
      <c r="N551" s="22"/>
      <c r="O551" s="7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1"/>
      <c r="B552" s="52"/>
      <c r="C552" s="22"/>
      <c r="D552" s="31"/>
      <c r="E552" s="22"/>
      <c r="F552" s="22"/>
      <c r="G552" s="22"/>
      <c r="H552" s="22"/>
      <c r="I552" s="22"/>
      <c r="J552" s="22"/>
      <c r="K552" s="31"/>
      <c r="L552" s="22"/>
      <c r="M552" s="31"/>
      <c r="N552" s="22"/>
      <c r="O552" s="7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1"/>
      <c r="B553" s="52"/>
      <c r="C553" s="22"/>
      <c r="D553" s="31"/>
      <c r="E553" s="22"/>
      <c r="F553" s="22"/>
      <c r="G553" s="22"/>
      <c r="H553" s="22"/>
      <c r="I553" s="22"/>
      <c r="J553" s="22"/>
      <c r="K553" s="31"/>
      <c r="L553" s="22"/>
      <c r="M553" s="31"/>
      <c r="N553" s="22"/>
      <c r="O553" s="7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1"/>
      <c r="B554" s="52"/>
      <c r="C554" s="22"/>
      <c r="D554" s="31"/>
      <c r="E554" s="22"/>
      <c r="F554" s="22"/>
      <c r="G554" s="22"/>
      <c r="H554" s="22"/>
      <c r="I554" s="22"/>
      <c r="J554" s="22"/>
      <c r="K554" s="31"/>
      <c r="L554" s="22"/>
      <c r="M554" s="31"/>
      <c r="N554" s="22"/>
      <c r="O554" s="7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1"/>
      <c r="B555" s="52"/>
      <c r="C555" s="22"/>
      <c r="D555" s="31"/>
      <c r="E555" s="22"/>
      <c r="F555" s="22"/>
      <c r="G555" s="22"/>
      <c r="H555" s="22"/>
      <c r="I555" s="22"/>
      <c r="J555" s="22"/>
      <c r="K555" s="31"/>
      <c r="L555" s="22"/>
      <c r="M555" s="31"/>
      <c r="N555" s="22"/>
      <c r="O555" s="7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1"/>
      <c r="B556" s="52"/>
      <c r="C556" s="22"/>
      <c r="D556" s="31"/>
      <c r="E556" s="22"/>
      <c r="F556" s="22"/>
      <c r="G556" s="22"/>
      <c r="H556" s="22"/>
      <c r="I556" s="22"/>
      <c r="J556" s="22"/>
      <c r="K556" s="31"/>
      <c r="L556" s="22"/>
      <c r="M556" s="31"/>
      <c r="N556" s="22"/>
      <c r="O556" s="7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1"/>
      <c r="B557" s="52"/>
      <c r="C557" s="22"/>
      <c r="D557" s="31"/>
      <c r="E557" s="22"/>
      <c r="F557" s="22"/>
      <c r="G557" s="22"/>
      <c r="H557" s="22"/>
      <c r="I557" s="22"/>
      <c r="J557" s="22"/>
      <c r="K557" s="31"/>
      <c r="L557" s="22"/>
      <c r="M557" s="31"/>
      <c r="N557" s="22"/>
      <c r="O557" s="7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1"/>
      <c r="B558" s="52"/>
      <c r="C558" s="22"/>
      <c r="D558" s="31"/>
      <c r="E558" s="22"/>
      <c r="F558" s="22"/>
      <c r="G558" s="22"/>
      <c r="H558" s="22"/>
      <c r="I558" s="22"/>
      <c r="J558" s="22"/>
      <c r="K558" s="31"/>
      <c r="L558" s="22"/>
      <c r="M558" s="31"/>
      <c r="N558" s="22"/>
      <c r="O558" s="7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1"/>
      <c r="B559" s="52"/>
      <c r="C559" s="22"/>
      <c r="D559" s="31"/>
      <c r="E559" s="22"/>
      <c r="F559" s="22"/>
      <c r="G559" s="22"/>
      <c r="H559" s="22"/>
      <c r="I559" s="22"/>
      <c r="J559" s="22"/>
      <c r="K559" s="31"/>
      <c r="L559" s="22"/>
      <c r="M559" s="31"/>
      <c r="N559" s="22"/>
      <c r="O559" s="7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1"/>
      <c r="B560" s="52"/>
      <c r="C560" s="22"/>
      <c r="D560" s="31"/>
      <c r="E560" s="22"/>
      <c r="F560" s="22"/>
      <c r="G560" s="22"/>
      <c r="H560" s="22"/>
      <c r="I560" s="22"/>
      <c r="J560" s="22"/>
      <c r="K560" s="31"/>
      <c r="L560" s="22"/>
      <c r="M560" s="31"/>
      <c r="N560" s="22"/>
      <c r="O560" s="7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1"/>
      <c r="B561" s="52"/>
      <c r="C561" s="22"/>
      <c r="D561" s="31"/>
      <c r="E561" s="22"/>
      <c r="F561" s="22"/>
      <c r="G561" s="22"/>
      <c r="H561" s="22"/>
      <c r="I561" s="22"/>
      <c r="J561" s="22"/>
      <c r="K561" s="31"/>
      <c r="L561" s="22"/>
      <c r="M561" s="31"/>
      <c r="N561" s="22"/>
      <c r="O561" s="7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1"/>
      <c r="B562" s="52"/>
      <c r="C562" s="22"/>
      <c r="D562" s="31"/>
      <c r="E562" s="22"/>
      <c r="F562" s="22"/>
      <c r="G562" s="22"/>
      <c r="H562" s="22"/>
      <c r="I562" s="22"/>
      <c r="J562" s="22"/>
      <c r="K562" s="31"/>
      <c r="L562" s="22"/>
      <c r="M562" s="31"/>
      <c r="N562" s="22"/>
      <c r="O562" s="7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1"/>
      <c r="B563" s="52"/>
      <c r="C563" s="22"/>
      <c r="D563" s="31"/>
      <c r="E563" s="22"/>
      <c r="F563" s="22"/>
      <c r="G563" s="22"/>
      <c r="H563" s="22"/>
      <c r="I563" s="22"/>
      <c r="J563" s="22"/>
      <c r="K563" s="31"/>
      <c r="L563" s="22"/>
      <c r="M563" s="31"/>
      <c r="N563" s="22"/>
      <c r="O563" s="7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1"/>
      <c r="B564" s="52"/>
      <c r="C564" s="22"/>
      <c r="D564" s="31"/>
      <c r="E564" s="22"/>
      <c r="F564" s="22"/>
      <c r="G564" s="22"/>
      <c r="H564" s="22"/>
      <c r="I564" s="22"/>
      <c r="J564" s="22"/>
      <c r="K564" s="31"/>
      <c r="L564" s="22"/>
      <c r="M564" s="31"/>
      <c r="N564" s="22"/>
      <c r="O564" s="7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1"/>
      <c r="B565" s="52"/>
      <c r="C565" s="22"/>
      <c r="D565" s="31"/>
      <c r="E565" s="22"/>
      <c r="F565" s="22"/>
      <c r="G565" s="22"/>
      <c r="H565" s="22"/>
      <c r="I565" s="22"/>
      <c r="J565" s="22"/>
      <c r="K565" s="31"/>
      <c r="L565" s="22"/>
      <c r="M565" s="31"/>
      <c r="N565" s="22"/>
      <c r="O565" s="7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1"/>
      <c r="B566" s="52"/>
      <c r="C566" s="22"/>
      <c r="D566" s="31"/>
      <c r="E566" s="22"/>
      <c r="F566" s="22"/>
      <c r="G566" s="22"/>
      <c r="H566" s="22"/>
      <c r="I566" s="22"/>
      <c r="J566" s="22"/>
      <c r="K566" s="31"/>
      <c r="L566" s="22"/>
      <c r="M566" s="31"/>
      <c r="N566" s="22"/>
      <c r="O566" s="7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1"/>
      <c r="B567" s="52"/>
      <c r="C567" s="22"/>
      <c r="D567" s="31"/>
      <c r="E567" s="22"/>
      <c r="F567" s="22"/>
      <c r="G567" s="22"/>
      <c r="H567" s="22"/>
      <c r="I567" s="22"/>
      <c r="J567" s="22"/>
      <c r="K567" s="31"/>
      <c r="L567" s="22"/>
      <c r="M567" s="31"/>
      <c r="N567" s="22"/>
      <c r="O567" s="7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1"/>
      <c r="B568" s="52"/>
      <c r="C568" s="22"/>
      <c r="D568" s="31"/>
      <c r="E568" s="22"/>
      <c r="F568" s="22"/>
      <c r="G568" s="22"/>
      <c r="H568" s="22"/>
      <c r="I568" s="22"/>
      <c r="J568" s="22"/>
      <c r="K568" s="31"/>
      <c r="L568" s="22"/>
      <c r="M568" s="31"/>
      <c r="N568" s="22"/>
      <c r="O568" s="7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1"/>
      <c r="B569" s="52"/>
      <c r="C569" s="22"/>
      <c r="D569" s="31"/>
      <c r="E569" s="22"/>
      <c r="F569" s="22"/>
      <c r="G569" s="22"/>
      <c r="H569" s="22"/>
      <c r="I569" s="22"/>
      <c r="J569" s="22"/>
      <c r="K569" s="31"/>
      <c r="L569" s="22"/>
      <c r="M569" s="31"/>
      <c r="N569" s="22"/>
      <c r="O569" s="7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1"/>
      <c r="B570" s="52"/>
      <c r="C570" s="22"/>
      <c r="D570" s="31"/>
      <c r="E570" s="22"/>
      <c r="F570" s="22"/>
      <c r="G570" s="22"/>
      <c r="H570" s="22"/>
      <c r="I570" s="22"/>
      <c r="J570" s="22"/>
      <c r="K570" s="31"/>
      <c r="L570" s="22"/>
      <c r="M570" s="31"/>
      <c r="N570" s="22"/>
      <c r="O570" s="7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1"/>
      <c r="B571" s="52"/>
      <c r="C571" s="22"/>
      <c r="D571" s="31"/>
      <c r="E571" s="22"/>
      <c r="F571" s="22"/>
      <c r="G571" s="22"/>
      <c r="H571" s="22"/>
      <c r="I571" s="22"/>
      <c r="J571" s="22"/>
      <c r="K571" s="31"/>
      <c r="L571" s="22"/>
      <c r="M571" s="31"/>
      <c r="N571" s="22"/>
      <c r="O571" s="7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1"/>
      <c r="B572" s="52"/>
      <c r="C572" s="22"/>
      <c r="D572" s="31"/>
      <c r="E572" s="22"/>
      <c r="F572" s="22"/>
      <c r="G572" s="22"/>
      <c r="H572" s="22"/>
      <c r="I572" s="22"/>
      <c r="J572" s="22"/>
      <c r="K572" s="31"/>
      <c r="L572" s="22"/>
      <c r="M572" s="31"/>
      <c r="N572" s="22"/>
      <c r="O572" s="7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1"/>
      <c r="B573" s="52"/>
      <c r="C573" s="22"/>
      <c r="D573" s="31"/>
      <c r="E573" s="22"/>
      <c r="F573" s="22"/>
      <c r="G573" s="22"/>
      <c r="H573" s="22"/>
      <c r="I573" s="22"/>
      <c r="J573" s="22"/>
      <c r="K573" s="31"/>
      <c r="L573" s="22"/>
      <c r="M573" s="31"/>
      <c r="N573" s="22"/>
      <c r="O573" s="7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1"/>
      <c r="B574" s="52"/>
      <c r="C574" s="22"/>
      <c r="D574" s="31"/>
      <c r="E574" s="22"/>
      <c r="F574" s="22"/>
      <c r="G574" s="22"/>
      <c r="H574" s="22"/>
      <c r="I574" s="22"/>
      <c r="J574" s="22"/>
      <c r="K574" s="31"/>
      <c r="L574" s="22"/>
      <c r="M574" s="31"/>
      <c r="N574" s="22"/>
      <c r="O574" s="7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1"/>
      <c r="B575" s="52"/>
      <c r="C575" s="22"/>
      <c r="D575" s="31"/>
      <c r="E575" s="22"/>
      <c r="F575" s="22"/>
      <c r="G575" s="22"/>
      <c r="H575" s="22"/>
      <c r="I575" s="22"/>
      <c r="J575" s="22"/>
      <c r="K575" s="31"/>
      <c r="L575" s="22"/>
      <c r="M575" s="31"/>
      <c r="N575" s="22"/>
      <c r="O575" s="7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1"/>
      <c r="B576" s="52"/>
      <c r="C576" s="22"/>
      <c r="D576" s="31"/>
      <c r="E576" s="22"/>
      <c r="F576" s="22"/>
      <c r="G576" s="22"/>
      <c r="H576" s="22"/>
      <c r="I576" s="22"/>
      <c r="J576" s="22"/>
      <c r="K576" s="31"/>
      <c r="L576" s="22"/>
      <c r="M576" s="31"/>
      <c r="N576" s="22"/>
      <c r="O576" s="7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1"/>
      <c r="B577" s="52"/>
      <c r="C577" s="22"/>
      <c r="D577" s="31"/>
      <c r="E577" s="22"/>
      <c r="F577" s="22"/>
      <c r="G577" s="22"/>
      <c r="H577" s="22"/>
      <c r="I577" s="22"/>
      <c r="J577" s="22"/>
      <c r="K577" s="31"/>
      <c r="L577" s="22"/>
      <c r="M577" s="31"/>
      <c r="N577" s="22"/>
      <c r="O577" s="7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1"/>
      <c r="B578" s="52"/>
      <c r="C578" s="22"/>
      <c r="D578" s="31"/>
      <c r="E578" s="22"/>
      <c r="F578" s="22"/>
      <c r="G578" s="22"/>
      <c r="H578" s="22"/>
      <c r="I578" s="22"/>
      <c r="J578" s="22"/>
      <c r="K578" s="31"/>
      <c r="L578" s="22"/>
      <c r="M578" s="31"/>
      <c r="N578" s="22"/>
      <c r="O578" s="7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1"/>
      <c r="B579" s="52"/>
      <c r="C579" s="22"/>
      <c r="D579" s="31"/>
      <c r="E579" s="22"/>
      <c r="F579" s="22"/>
      <c r="G579" s="22"/>
      <c r="H579" s="22"/>
      <c r="I579" s="22"/>
      <c r="J579" s="22"/>
      <c r="K579" s="31"/>
      <c r="L579" s="22"/>
      <c r="M579" s="31"/>
      <c r="N579" s="22"/>
      <c r="O579" s="7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1"/>
      <c r="B580" s="52"/>
      <c r="C580" s="22"/>
      <c r="D580" s="31"/>
      <c r="E580" s="22"/>
      <c r="F580" s="22"/>
      <c r="G580" s="22"/>
      <c r="H580" s="22"/>
      <c r="I580" s="22"/>
      <c r="J580" s="22"/>
      <c r="K580" s="31"/>
      <c r="L580" s="22"/>
      <c r="M580" s="31"/>
      <c r="N580" s="22"/>
      <c r="O580" s="7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1"/>
      <c r="B581" s="52"/>
      <c r="C581" s="22"/>
      <c r="D581" s="31"/>
      <c r="E581" s="22"/>
      <c r="F581" s="22"/>
      <c r="G581" s="22"/>
      <c r="H581" s="22"/>
      <c r="I581" s="22"/>
      <c r="J581" s="22"/>
      <c r="K581" s="31"/>
      <c r="L581" s="22"/>
      <c r="M581" s="31"/>
      <c r="N581" s="22"/>
      <c r="O581" s="7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1"/>
      <c r="B582" s="52"/>
      <c r="C582" s="22"/>
      <c r="D582" s="31"/>
      <c r="E582" s="22"/>
      <c r="F582" s="22"/>
      <c r="G582" s="22"/>
      <c r="H582" s="22"/>
      <c r="I582" s="22"/>
      <c r="J582" s="22"/>
      <c r="K582" s="31"/>
      <c r="L582" s="22"/>
      <c r="M582" s="31"/>
      <c r="N582" s="22"/>
      <c r="O582" s="7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1"/>
      <c r="B583" s="52"/>
      <c r="C583" s="22"/>
      <c r="D583" s="31"/>
      <c r="E583" s="22"/>
      <c r="F583" s="22"/>
      <c r="G583" s="22"/>
      <c r="H583" s="22"/>
      <c r="I583" s="22"/>
      <c r="J583" s="22"/>
      <c r="K583" s="31"/>
      <c r="L583" s="22"/>
      <c r="M583" s="31"/>
      <c r="N583" s="22"/>
      <c r="O583" s="7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1"/>
      <c r="B584" s="52"/>
      <c r="C584" s="22"/>
      <c r="D584" s="31"/>
      <c r="E584" s="22"/>
      <c r="F584" s="22"/>
      <c r="G584" s="22"/>
      <c r="H584" s="22"/>
      <c r="I584" s="22"/>
      <c r="J584" s="22"/>
      <c r="K584" s="31"/>
      <c r="L584" s="22"/>
      <c r="M584" s="31"/>
      <c r="N584" s="22"/>
      <c r="O584" s="7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1"/>
      <c r="B585" s="52"/>
      <c r="C585" s="22"/>
      <c r="D585" s="31"/>
      <c r="E585" s="22"/>
      <c r="F585" s="22"/>
      <c r="G585" s="22"/>
      <c r="H585" s="22"/>
      <c r="I585" s="22"/>
      <c r="J585" s="22"/>
      <c r="K585" s="31"/>
      <c r="L585" s="22"/>
      <c r="M585" s="31"/>
      <c r="N585" s="22"/>
      <c r="O585" s="7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1"/>
      <c r="B586" s="52"/>
      <c r="C586" s="22"/>
      <c r="D586" s="31"/>
      <c r="E586" s="22"/>
      <c r="F586" s="22"/>
      <c r="G586" s="22"/>
      <c r="H586" s="22"/>
      <c r="I586" s="22"/>
      <c r="J586" s="22"/>
      <c r="K586" s="31"/>
      <c r="L586" s="22"/>
      <c r="M586" s="31"/>
      <c r="N586" s="22"/>
      <c r="O586" s="7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1"/>
      <c r="B587" s="52"/>
      <c r="C587" s="22"/>
      <c r="D587" s="31"/>
      <c r="E587" s="22"/>
      <c r="F587" s="22"/>
      <c r="G587" s="22"/>
      <c r="H587" s="22"/>
      <c r="I587" s="22"/>
      <c r="J587" s="22"/>
      <c r="K587" s="31"/>
      <c r="L587" s="22"/>
      <c r="M587" s="31"/>
      <c r="N587" s="22"/>
      <c r="O587" s="7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1"/>
      <c r="B588" s="52"/>
      <c r="C588" s="22"/>
      <c r="D588" s="31"/>
      <c r="E588" s="22"/>
      <c r="F588" s="22"/>
      <c r="G588" s="22"/>
      <c r="H588" s="22"/>
      <c r="I588" s="22"/>
      <c r="J588" s="22"/>
      <c r="K588" s="31"/>
      <c r="L588" s="22"/>
      <c r="M588" s="31"/>
      <c r="N588" s="22"/>
      <c r="O588" s="7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1"/>
      <c r="B589" s="52"/>
      <c r="C589" s="22"/>
      <c r="D589" s="31"/>
      <c r="E589" s="22"/>
      <c r="F589" s="22"/>
      <c r="G589" s="22"/>
      <c r="H589" s="22"/>
      <c r="I589" s="22"/>
      <c r="J589" s="22"/>
      <c r="K589" s="31"/>
      <c r="L589" s="22"/>
      <c r="M589" s="31"/>
      <c r="N589" s="22"/>
      <c r="O589" s="7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1"/>
      <c r="B590" s="52"/>
      <c r="C590" s="22"/>
      <c r="D590" s="31"/>
      <c r="E590" s="22"/>
      <c r="F590" s="22"/>
      <c r="G590" s="22"/>
      <c r="H590" s="22"/>
      <c r="I590" s="22"/>
      <c r="J590" s="22"/>
      <c r="K590" s="31"/>
      <c r="L590" s="22"/>
      <c r="M590" s="31"/>
      <c r="N590" s="22"/>
      <c r="O590" s="7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1"/>
      <c r="B591" s="52"/>
      <c r="C591" s="22"/>
      <c r="D591" s="31"/>
      <c r="E591" s="22"/>
      <c r="F591" s="22"/>
      <c r="G591" s="22"/>
      <c r="H591" s="22"/>
      <c r="I591" s="22"/>
      <c r="J591" s="22"/>
      <c r="K591" s="31"/>
      <c r="L591" s="22"/>
      <c r="M591" s="31"/>
      <c r="N591" s="22"/>
      <c r="O591" s="7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1"/>
      <c r="B592" s="52"/>
      <c r="C592" s="22"/>
      <c r="D592" s="31"/>
      <c r="E592" s="22"/>
      <c r="F592" s="22"/>
      <c r="G592" s="22"/>
      <c r="H592" s="22"/>
      <c r="I592" s="22"/>
      <c r="J592" s="22"/>
      <c r="K592" s="31"/>
      <c r="L592" s="22"/>
      <c r="M592" s="31"/>
      <c r="N592" s="22"/>
      <c r="O592" s="7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1"/>
      <c r="B593" s="52"/>
      <c r="C593" s="22"/>
      <c r="D593" s="31"/>
      <c r="E593" s="22"/>
      <c r="F593" s="22"/>
      <c r="G593" s="22"/>
      <c r="H593" s="22"/>
      <c r="I593" s="22"/>
      <c r="J593" s="22"/>
      <c r="K593" s="31"/>
      <c r="L593" s="22"/>
      <c r="M593" s="31"/>
      <c r="N593" s="22"/>
      <c r="O593" s="7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1"/>
      <c r="B594" s="52"/>
      <c r="C594" s="22"/>
      <c r="D594" s="31"/>
      <c r="E594" s="22"/>
      <c r="F594" s="22"/>
      <c r="G594" s="22"/>
      <c r="H594" s="22"/>
      <c r="I594" s="22"/>
      <c r="J594" s="22"/>
      <c r="K594" s="31"/>
      <c r="L594" s="22"/>
      <c r="M594" s="31"/>
      <c r="N594" s="22"/>
      <c r="O594" s="7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1"/>
      <c r="B595" s="52"/>
      <c r="C595" s="22"/>
      <c r="D595" s="31"/>
      <c r="E595" s="22"/>
      <c r="F595" s="22"/>
      <c r="G595" s="22"/>
      <c r="H595" s="22"/>
      <c r="I595" s="22"/>
      <c r="J595" s="22"/>
      <c r="K595" s="31"/>
      <c r="L595" s="22"/>
      <c r="M595" s="31"/>
      <c r="N595" s="22"/>
      <c r="O595" s="7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1"/>
      <c r="B596" s="52"/>
      <c r="C596" s="22"/>
      <c r="D596" s="31"/>
      <c r="E596" s="22"/>
      <c r="F596" s="22"/>
      <c r="G596" s="22"/>
      <c r="H596" s="22"/>
      <c r="I596" s="22"/>
      <c r="J596" s="22"/>
      <c r="K596" s="31"/>
      <c r="L596" s="22"/>
      <c r="M596" s="31"/>
      <c r="N596" s="22"/>
      <c r="O596" s="7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1"/>
      <c r="B597" s="52"/>
      <c r="C597" s="22"/>
      <c r="D597" s="31"/>
      <c r="E597" s="22"/>
      <c r="F597" s="22"/>
      <c r="G597" s="22"/>
      <c r="H597" s="22"/>
      <c r="I597" s="22"/>
      <c r="J597" s="22"/>
      <c r="K597" s="31"/>
      <c r="L597" s="22"/>
      <c r="M597" s="31"/>
      <c r="N597" s="22"/>
      <c r="O597" s="7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1"/>
      <c r="B598" s="52"/>
      <c r="C598" s="22"/>
      <c r="D598" s="31"/>
      <c r="E598" s="22"/>
      <c r="F598" s="22"/>
      <c r="G598" s="22"/>
      <c r="H598" s="22"/>
      <c r="I598" s="22"/>
      <c r="J598" s="22"/>
      <c r="K598" s="31"/>
      <c r="L598" s="22"/>
      <c r="M598" s="31"/>
      <c r="N598" s="22"/>
      <c r="O598" s="7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1"/>
      <c r="B599" s="52"/>
      <c r="C599" s="22"/>
      <c r="D599" s="31"/>
      <c r="E599" s="22"/>
      <c r="F599" s="22"/>
      <c r="G599" s="22"/>
      <c r="H599" s="22"/>
      <c r="I599" s="22"/>
      <c r="J599" s="22"/>
      <c r="K599" s="31"/>
      <c r="L599" s="22"/>
      <c r="M599" s="31"/>
      <c r="N599" s="22"/>
      <c r="O599" s="7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1"/>
      <c r="B600" s="52"/>
      <c r="C600" s="22"/>
      <c r="D600" s="31"/>
      <c r="E600" s="22"/>
      <c r="F600" s="22"/>
      <c r="G600" s="22"/>
      <c r="H600" s="22"/>
      <c r="I600" s="22"/>
      <c r="J600" s="22"/>
      <c r="K600" s="31"/>
      <c r="L600" s="22"/>
      <c r="M600" s="31"/>
      <c r="N600" s="22"/>
      <c r="O600" s="7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1"/>
      <c r="B601" s="52"/>
      <c r="C601" s="22"/>
      <c r="D601" s="31"/>
      <c r="E601" s="22"/>
      <c r="F601" s="22"/>
      <c r="G601" s="22"/>
      <c r="H601" s="22"/>
      <c r="I601" s="22"/>
      <c r="J601" s="22"/>
      <c r="K601" s="31"/>
      <c r="L601" s="22"/>
      <c r="M601" s="31"/>
      <c r="N601" s="22"/>
      <c r="O601" s="7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1"/>
      <c r="B602" s="52"/>
      <c r="C602" s="22"/>
      <c r="D602" s="31"/>
      <c r="E602" s="22"/>
      <c r="F602" s="22"/>
      <c r="G602" s="22"/>
      <c r="H602" s="22"/>
      <c r="I602" s="22"/>
      <c r="J602" s="22"/>
      <c r="K602" s="31"/>
      <c r="L602" s="22"/>
      <c r="M602" s="31"/>
      <c r="N602" s="22"/>
      <c r="O602" s="7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1"/>
      <c r="B603" s="52"/>
      <c r="C603" s="22"/>
      <c r="D603" s="31"/>
      <c r="E603" s="22"/>
      <c r="F603" s="22"/>
      <c r="G603" s="22"/>
      <c r="H603" s="22"/>
      <c r="I603" s="22"/>
      <c r="J603" s="22"/>
      <c r="K603" s="31"/>
      <c r="L603" s="22"/>
      <c r="M603" s="31"/>
      <c r="N603" s="22"/>
      <c r="O603" s="7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1"/>
      <c r="B604" s="52"/>
      <c r="C604" s="22"/>
      <c r="D604" s="31"/>
      <c r="E604" s="22"/>
      <c r="F604" s="22"/>
      <c r="G604" s="22"/>
      <c r="H604" s="22"/>
      <c r="I604" s="22"/>
      <c r="J604" s="22"/>
      <c r="K604" s="31"/>
      <c r="L604" s="22"/>
      <c r="M604" s="31"/>
      <c r="N604" s="22"/>
      <c r="O604" s="7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1"/>
      <c r="B605" s="52"/>
      <c r="C605" s="22"/>
      <c r="D605" s="31"/>
      <c r="E605" s="22"/>
      <c r="F605" s="22"/>
      <c r="G605" s="22"/>
      <c r="H605" s="22"/>
      <c r="I605" s="22"/>
      <c r="J605" s="22"/>
      <c r="K605" s="31"/>
      <c r="L605" s="22"/>
      <c r="M605" s="31"/>
      <c r="N605" s="22"/>
      <c r="O605" s="7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1"/>
      <c r="B606" s="52"/>
      <c r="C606" s="22"/>
      <c r="D606" s="31"/>
      <c r="E606" s="22"/>
      <c r="F606" s="22"/>
      <c r="G606" s="22"/>
      <c r="H606" s="22"/>
      <c r="I606" s="22"/>
      <c r="J606" s="22"/>
      <c r="K606" s="31"/>
      <c r="L606" s="22"/>
      <c r="M606" s="31"/>
      <c r="N606" s="22"/>
      <c r="O606" s="7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1"/>
      <c r="B607" s="52"/>
      <c r="C607" s="22"/>
      <c r="D607" s="31"/>
      <c r="E607" s="22"/>
      <c r="F607" s="22"/>
      <c r="G607" s="22"/>
      <c r="H607" s="22"/>
      <c r="I607" s="22"/>
      <c r="J607" s="22"/>
      <c r="K607" s="31"/>
      <c r="L607" s="22"/>
      <c r="M607" s="31"/>
      <c r="N607" s="22"/>
      <c r="O607" s="7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1"/>
      <c r="B608" s="52"/>
      <c r="C608" s="22"/>
      <c r="D608" s="31"/>
      <c r="E608" s="22"/>
      <c r="F608" s="22"/>
      <c r="G608" s="22"/>
      <c r="H608" s="22"/>
      <c r="I608" s="22"/>
      <c r="J608" s="22"/>
      <c r="K608" s="31"/>
      <c r="L608" s="22"/>
      <c r="M608" s="31"/>
      <c r="N608" s="22"/>
      <c r="O608" s="7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1"/>
      <c r="B609" s="52"/>
      <c r="C609" s="22"/>
      <c r="D609" s="31"/>
      <c r="E609" s="22"/>
      <c r="F609" s="22"/>
      <c r="G609" s="22"/>
      <c r="H609" s="22"/>
      <c r="I609" s="22"/>
      <c r="J609" s="22"/>
      <c r="K609" s="31"/>
      <c r="L609" s="22"/>
      <c r="M609" s="31"/>
      <c r="N609" s="22"/>
      <c r="O609" s="7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1"/>
      <c r="B610" s="52"/>
      <c r="C610" s="22"/>
      <c r="D610" s="31"/>
      <c r="E610" s="22"/>
      <c r="F610" s="22"/>
      <c r="G610" s="22"/>
      <c r="H610" s="22"/>
      <c r="I610" s="22"/>
      <c r="J610" s="22"/>
      <c r="K610" s="31"/>
      <c r="L610" s="22"/>
      <c r="M610" s="31"/>
      <c r="N610" s="22"/>
      <c r="O610" s="7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1"/>
      <c r="B611" s="52"/>
      <c r="C611" s="22"/>
      <c r="D611" s="31"/>
      <c r="E611" s="22"/>
      <c r="F611" s="22"/>
      <c r="G611" s="22"/>
      <c r="H611" s="22"/>
      <c r="I611" s="22"/>
      <c r="J611" s="22"/>
      <c r="K611" s="31"/>
      <c r="L611" s="22"/>
      <c r="M611" s="31"/>
      <c r="N611" s="22"/>
      <c r="O611" s="7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1"/>
      <c r="B612" s="52"/>
      <c r="C612" s="22"/>
      <c r="D612" s="31"/>
      <c r="E612" s="22"/>
      <c r="F612" s="22"/>
      <c r="G612" s="22"/>
      <c r="H612" s="22"/>
      <c r="I612" s="22"/>
      <c r="J612" s="22"/>
      <c r="K612" s="31"/>
      <c r="L612" s="22"/>
      <c r="M612" s="31"/>
      <c r="N612" s="22"/>
      <c r="O612" s="7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1"/>
      <c r="B613" s="52"/>
      <c r="C613" s="22"/>
      <c r="D613" s="31"/>
      <c r="E613" s="22"/>
      <c r="F613" s="22"/>
      <c r="G613" s="22"/>
      <c r="H613" s="22"/>
      <c r="I613" s="22"/>
      <c r="J613" s="22"/>
      <c r="K613" s="31"/>
      <c r="L613" s="22"/>
      <c r="M613" s="31"/>
      <c r="N613" s="22"/>
      <c r="O613" s="7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1"/>
      <c r="B614" s="52"/>
      <c r="C614" s="22"/>
      <c r="D614" s="31"/>
      <c r="E614" s="22"/>
      <c r="F614" s="22"/>
      <c r="G614" s="22"/>
      <c r="H614" s="22"/>
      <c r="I614" s="22"/>
      <c r="J614" s="22"/>
      <c r="K614" s="31"/>
      <c r="L614" s="22"/>
      <c r="M614" s="31"/>
      <c r="N614" s="22"/>
      <c r="O614" s="7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1"/>
      <c r="B615" s="52"/>
      <c r="C615" s="22"/>
      <c r="D615" s="31"/>
      <c r="E615" s="22"/>
      <c r="F615" s="22"/>
      <c r="G615" s="22"/>
      <c r="H615" s="22"/>
      <c r="I615" s="22"/>
      <c r="J615" s="22"/>
      <c r="K615" s="31"/>
      <c r="L615" s="22"/>
      <c r="M615" s="31"/>
      <c r="N615" s="22"/>
      <c r="O615" s="7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1"/>
      <c r="B616" s="52"/>
      <c r="C616" s="22"/>
      <c r="D616" s="31"/>
      <c r="E616" s="22"/>
      <c r="F616" s="22"/>
      <c r="G616" s="22"/>
      <c r="H616" s="22"/>
      <c r="I616" s="22"/>
      <c r="J616" s="22"/>
      <c r="K616" s="31"/>
      <c r="L616" s="22"/>
      <c r="M616" s="31"/>
      <c r="N616" s="22"/>
      <c r="O616" s="7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1"/>
      <c r="B617" s="52"/>
      <c r="C617" s="22"/>
      <c r="D617" s="31"/>
      <c r="E617" s="22"/>
      <c r="F617" s="22"/>
      <c r="G617" s="22"/>
      <c r="H617" s="22"/>
      <c r="I617" s="22"/>
      <c r="J617" s="22"/>
      <c r="K617" s="31"/>
      <c r="L617" s="22"/>
      <c r="M617" s="31"/>
      <c r="N617" s="22"/>
      <c r="O617" s="7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1"/>
      <c r="B618" s="52"/>
      <c r="C618" s="22"/>
      <c r="D618" s="31"/>
      <c r="E618" s="22"/>
      <c r="F618" s="22"/>
      <c r="G618" s="22"/>
      <c r="H618" s="22"/>
      <c r="I618" s="22"/>
      <c r="J618" s="22"/>
      <c r="K618" s="31"/>
      <c r="L618" s="22"/>
      <c r="M618" s="31"/>
      <c r="N618" s="22"/>
      <c r="O618" s="7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1"/>
      <c r="B619" s="52"/>
      <c r="C619" s="22"/>
      <c r="D619" s="31"/>
      <c r="E619" s="22"/>
      <c r="F619" s="22"/>
      <c r="G619" s="22"/>
      <c r="H619" s="22"/>
      <c r="I619" s="22"/>
      <c r="J619" s="22"/>
      <c r="K619" s="31"/>
      <c r="L619" s="22"/>
      <c r="M619" s="31"/>
      <c r="N619" s="22"/>
      <c r="O619" s="7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1"/>
      <c r="B620" s="52"/>
      <c r="C620" s="22"/>
      <c r="D620" s="31"/>
      <c r="E620" s="22"/>
      <c r="F620" s="22"/>
      <c r="G620" s="22"/>
      <c r="H620" s="22"/>
      <c r="I620" s="22"/>
      <c r="J620" s="22"/>
      <c r="K620" s="31"/>
      <c r="L620" s="22"/>
      <c r="M620" s="31"/>
      <c r="N620" s="22"/>
      <c r="O620" s="7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1"/>
      <c r="B621" s="52"/>
      <c r="C621" s="22"/>
      <c r="D621" s="31"/>
      <c r="E621" s="22"/>
      <c r="F621" s="22"/>
      <c r="G621" s="22"/>
      <c r="H621" s="22"/>
      <c r="I621" s="22"/>
      <c r="J621" s="22"/>
      <c r="K621" s="31"/>
      <c r="L621" s="22"/>
      <c r="M621" s="31"/>
      <c r="N621" s="22"/>
      <c r="O621" s="7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1"/>
      <c r="B622" s="52"/>
      <c r="C622" s="22"/>
      <c r="D622" s="31"/>
      <c r="E622" s="22"/>
      <c r="F622" s="22"/>
      <c r="G622" s="22"/>
      <c r="H622" s="22"/>
      <c r="I622" s="22"/>
      <c r="J622" s="22"/>
      <c r="K622" s="31"/>
      <c r="L622" s="22"/>
      <c r="M622" s="31"/>
      <c r="N622" s="22"/>
      <c r="O622" s="7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1"/>
      <c r="B623" s="52"/>
      <c r="C623" s="22"/>
      <c r="D623" s="31"/>
      <c r="E623" s="22"/>
      <c r="F623" s="22"/>
      <c r="G623" s="22"/>
      <c r="H623" s="22"/>
      <c r="I623" s="22"/>
      <c r="J623" s="22"/>
      <c r="K623" s="31"/>
      <c r="L623" s="22"/>
      <c r="M623" s="31"/>
      <c r="N623" s="22"/>
      <c r="O623" s="7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1"/>
      <c r="B624" s="52"/>
      <c r="C624" s="22"/>
      <c r="D624" s="31"/>
      <c r="E624" s="22"/>
      <c r="F624" s="22"/>
      <c r="G624" s="22"/>
      <c r="H624" s="22"/>
      <c r="I624" s="22"/>
      <c r="J624" s="22"/>
      <c r="K624" s="31"/>
      <c r="L624" s="22"/>
      <c r="M624" s="31"/>
      <c r="N624" s="22"/>
      <c r="O624" s="7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1"/>
      <c r="B625" s="52"/>
      <c r="C625" s="22"/>
      <c r="D625" s="31"/>
      <c r="E625" s="22"/>
      <c r="F625" s="22"/>
      <c r="G625" s="22"/>
      <c r="H625" s="22"/>
      <c r="I625" s="22"/>
      <c r="J625" s="22"/>
      <c r="K625" s="31"/>
      <c r="L625" s="22"/>
      <c r="M625" s="31"/>
      <c r="N625" s="22"/>
      <c r="O625" s="7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1"/>
      <c r="B626" s="52"/>
      <c r="C626" s="22"/>
      <c r="D626" s="31"/>
      <c r="E626" s="22"/>
      <c r="F626" s="22"/>
      <c r="G626" s="22"/>
      <c r="H626" s="22"/>
      <c r="I626" s="22"/>
      <c r="J626" s="22"/>
      <c r="K626" s="31"/>
      <c r="L626" s="22"/>
      <c r="M626" s="31"/>
      <c r="N626" s="22"/>
      <c r="O626" s="7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1"/>
      <c r="B627" s="52"/>
      <c r="C627" s="22"/>
      <c r="D627" s="31"/>
      <c r="E627" s="22"/>
      <c r="F627" s="22"/>
      <c r="G627" s="22"/>
      <c r="H627" s="22"/>
      <c r="I627" s="22"/>
      <c r="J627" s="22"/>
      <c r="K627" s="31"/>
      <c r="L627" s="22"/>
      <c r="M627" s="31"/>
      <c r="N627" s="22"/>
      <c r="O627" s="7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1"/>
      <c r="B628" s="52"/>
      <c r="C628" s="22"/>
      <c r="D628" s="31"/>
      <c r="E628" s="22"/>
      <c r="F628" s="22"/>
      <c r="G628" s="22"/>
      <c r="H628" s="22"/>
      <c r="I628" s="22"/>
      <c r="J628" s="22"/>
      <c r="K628" s="31"/>
      <c r="L628" s="22"/>
      <c r="M628" s="31"/>
      <c r="N628" s="22"/>
      <c r="O628" s="7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1"/>
      <c r="B629" s="52"/>
      <c r="C629" s="22"/>
      <c r="D629" s="31"/>
      <c r="E629" s="22"/>
      <c r="F629" s="22"/>
      <c r="G629" s="22"/>
      <c r="H629" s="22"/>
      <c r="I629" s="22"/>
      <c r="J629" s="22"/>
      <c r="K629" s="31"/>
      <c r="L629" s="22"/>
      <c r="M629" s="31"/>
      <c r="N629" s="22"/>
      <c r="O629" s="7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1"/>
      <c r="B630" s="52"/>
      <c r="C630" s="22"/>
      <c r="D630" s="31"/>
      <c r="E630" s="22"/>
      <c r="F630" s="22"/>
      <c r="G630" s="22"/>
      <c r="H630" s="22"/>
      <c r="I630" s="22"/>
      <c r="J630" s="22"/>
      <c r="K630" s="31"/>
      <c r="L630" s="22"/>
      <c r="M630" s="31"/>
      <c r="N630" s="22"/>
      <c r="O630" s="7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1"/>
      <c r="B631" s="52"/>
      <c r="C631" s="22"/>
      <c r="D631" s="31"/>
      <c r="E631" s="22"/>
      <c r="F631" s="22"/>
      <c r="G631" s="22"/>
      <c r="H631" s="22"/>
      <c r="I631" s="22"/>
      <c r="J631" s="22"/>
      <c r="K631" s="31"/>
      <c r="L631" s="22"/>
      <c r="M631" s="31"/>
      <c r="N631" s="22"/>
      <c r="O631" s="7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1"/>
      <c r="B632" s="52"/>
      <c r="C632" s="22"/>
      <c r="D632" s="31"/>
      <c r="E632" s="22"/>
      <c r="F632" s="22"/>
      <c r="G632" s="22"/>
      <c r="H632" s="22"/>
      <c r="I632" s="22"/>
      <c r="J632" s="22"/>
      <c r="K632" s="31"/>
      <c r="L632" s="22"/>
      <c r="M632" s="31"/>
      <c r="N632" s="22"/>
      <c r="O632" s="7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1"/>
      <c r="B633" s="52"/>
      <c r="C633" s="22"/>
      <c r="D633" s="31"/>
      <c r="E633" s="22"/>
      <c r="F633" s="22"/>
      <c r="G633" s="22"/>
      <c r="H633" s="22"/>
      <c r="I633" s="22"/>
      <c r="J633" s="22"/>
      <c r="K633" s="31"/>
      <c r="L633" s="22"/>
      <c r="M633" s="31"/>
      <c r="N633" s="22"/>
      <c r="O633" s="7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1"/>
      <c r="B634" s="52"/>
      <c r="C634" s="22"/>
      <c r="D634" s="31"/>
      <c r="E634" s="22"/>
      <c r="F634" s="22"/>
      <c r="G634" s="22"/>
      <c r="H634" s="22"/>
      <c r="I634" s="22"/>
      <c r="J634" s="22"/>
      <c r="K634" s="31"/>
      <c r="L634" s="22"/>
      <c r="M634" s="31"/>
      <c r="N634" s="22"/>
      <c r="O634" s="7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1"/>
      <c r="B635" s="52"/>
      <c r="C635" s="22"/>
      <c r="D635" s="31"/>
      <c r="E635" s="22"/>
      <c r="F635" s="22"/>
      <c r="G635" s="22"/>
      <c r="H635" s="22"/>
      <c r="I635" s="22"/>
      <c r="J635" s="22"/>
      <c r="K635" s="31"/>
      <c r="L635" s="22"/>
      <c r="M635" s="31"/>
      <c r="N635" s="22"/>
      <c r="O635" s="7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1"/>
      <c r="B636" s="52"/>
      <c r="C636" s="22"/>
      <c r="D636" s="31"/>
      <c r="E636" s="22"/>
      <c r="F636" s="22"/>
      <c r="G636" s="22"/>
      <c r="H636" s="22"/>
      <c r="I636" s="22"/>
      <c r="J636" s="22"/>
      <c r="K636" s="31"/>
      <c r="L636" s="22"/>
      <c r="M636" s="31"/>
      <c r="N636" s="22"/>
      <c r="O636" s="7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1"/>
      <c r="B637" s="52"/>
      <c r="C637" s="22"/>
      <c r="D637" s="31"/>
      <c r="E637" s="22"/>
      <c r="F637" s="22"/>
      <c r="G637" s="22"/>
      <c r="H637" s="22"/>
      <c r="I637" s="22"/>
      <c r="J637" s="22"/>
      <c r="K637" s="31"/>
      <c r="L637" s="22"/>
      <c r="M637" s="31"/>
      <c r="N637" s="22"/>
      <c r="O637" s="7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1"/>
      <c r="B638" s="52"/>
      <c r="C638" s="22"/>
      <c r="D638" s="31"/>
      <c r="E638" s="22"/>
      <c r="F638" s="22"/>
      <c r="G638" s="22"/>
      <c r="H638" s="22"/>
      <c r="I638" s="22"/>
      <c r="J638" s="22"/>
      <c r="K638" s="31"/>
      <c r="L638" s="22"/>
      <c r="M638" s="31"/>
      <c r="N638" s="22"/>
      <c r="O638" s="7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1"/>
      <c r="B639" s="52"/>
      <c r="C639" s="22"/>
      <c r="D639" s="31"/>
      <c r="E639" s="22"/>
      <c r="F639" s="22"/>
      <c r="G639" s="22"/>
      <c r="H639" s="22"/>
      <c r="I639" s="22"/>
      <c r="J639" s="22"/>
      <c r="K639" s="31"/>
      <c r="L639" s="22"/>
      <c r="M639" s="31"/>
      <c r="N639" s="22"/>
      <c r="O639" s="7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1"/>
      <c r="B640" s="52"/>
      <c r="C640" s="22"/>
      <c r="D640" s="31"/>
      <c r="E640" s="22"/>
      <c r="F640" s="22"/>
      <c r="G640" s="22"/>
      <c r="H640" s="22"/>
      <c r="I640" s="22"/>
      <c r="J640" s="22"/>
      <c r="K640" s="31"/>
      <c r="L640" s="22"/>
      <c r="M640" s="31"/>
      <c r="N640" s="22"/>
      <c r="O640" s="7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1"/>
      <c r="B641" s="52"/>
      <c r="C641" s="22"/>
      <c r="D641" s="31"/>
      <c r="E641" s="22"/>
      <c r="F641" s="22"/>
      <c r="G641" s="22"/>
      <c r="H641" s="22"/>
      <c r="I641" s="22"/>
      <c r="J641" s="22"/>
      <c r="K641" s="31"/>
      <c r="L641" s="22"/>
      <c r="M641" s="31"/>
      <c r="N641" s="22"/>
      <c r="O641" s="7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1"/>
      <c r="B642" s="52"/>
      <c r="C642" s="22"/>
      <c r="D642" s="31"/>
      <c r="E642" s="22"/>
      <c r="F642" s="22"/>
      <c r="G642" s="22"/>
      <c r="H642" s="22"/>
      <c r="I642" s="22"/>
      <c r="J642" s="22"/>
      <c r="K642" s="31"/>
      <c r="L642" s="22"/>
      <c r="M642" s="31"/>
      <c r="N642" s="22"/>
      <c r="O642" s="7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1"/>
      <c r="B643" s="52"/>
      <c r="C643" s="22"/>
      <c r="D643" s="31"/>
      <c r="E643" s="22"/>
      <c r="F643" s="22"/>
      <c r="G643" s="22"/>
      <c r="H643" s="22"/>
      <c r="I643" s="22"/>
      <c r="J643" s="22"/>
      <c r="K643" s="31"/>
      <c r="L643" s="22"/>
      <c r="M643" s="31"/>
      <c r="N643" s="22"/>
      <c r="O643" s="7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1"/>
      <c r="B644" s="52"/>
      <c r="C644" s="22"/>
      <c r="D644" s="31"/>
      <c r="E644" s="22"/>
      <c r="F644" s="22"/>
      <c r="G644" s="22"/>
      <c r="H644" s="22"/>
      <c r="I644" s="22"/>
      <c r="J644" s="22"/>
      <c r="K644" s="31"/>
      <c r="L644" s="22"/>
      <c r="M644" s="31"/>
      <c r="N644" s="22"/>
      <c r="O644" s="7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1"/>
      <c r="B645" s="52"/>
      <c r="C645" s="22"/>
      <c r="D645" s="31"/>
      <c r="E645" s="22"/>
      <c r="F645" s="22"/>
      <c r="G645" s="22"/>
      <c r="H645" s="22"/>
      <c r="I645" s="22"/>
      <c r="J645" s="22"/>
      <c r="K645" s="31"/>
      <c r="L645" s="22"/>
      <c r="M645" s="31"/>
      <c r="N645" s="22"/>
      <c r="O645" s="7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1"/>
      <c r="B646" s="52"/>
      <c r="C646" s="22"/>
      <c r="D646" s="31"/>
      <c r="E646" s="22"/>
      <c r="F646" s="22"/>
      <c r="G646" s="22"/>
      <c r="H646" s="22"/>
      <c r="I646" s="22"/>
      <c r="J646" s="22"/>
      <c r="K646" s="31"/>
      <c r="L646" s="22"/>
      <c r="M646" s="31"/>
      <c r="N646" s="22"/>
      <c r="O646" s="7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1"/>
      <c r="B647" s="52"/>
      <c r="C647" s="22"/>
      <c r="D647" s="31"/>
      <c r="E647" s="22"/>
      <c r="F647" s="22"/>
      <c r="G647" s="22"/>
      <c r="H647" s="22"/>
      <c r="I647" s="22"/>
      <c r="J647" s="22"/>
      <c r="K647" s="31"/>
      <c r="L647" s="22"/>
      <c r="M647" s="31"/>
      <c r="N647" s="22"/>
      <c r="O647" s="7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1"/>
      <c r="B648" s="52"/>
      <c r="C648" s="22"/>
      <c r="D648" s="31"/>
      <c r="E648" s="22"/>
      <c r="F648" s="22"/>
      <c r="G648" s="22"/>
      <c r="H648" s="22"/>
      <c r="I648" s="22"/>
      <c r="J648" s="22"/>
      <c r="K648" s="31"/>
      <c r="L648" s="22"/>
      <c r="M648" s="31"/>
      <c r="N648" s="22"/>
      <c r="O648" s="7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1"/>
      <c r="B649" s="52"/>
      <c r="C649" s="22"/>
      <c r="D649" s="31"/>
      <c r="E649" s="22"/>
      <c r="F649" s="22"/>
      <c r="G649" s="22"/>
      <c r="H649" s="22"/>
      <c r="I649" s="22"/>
      <c r="J649" s="22"/>
      <c r="K649" s="31"/>
      <c r="L649" s="22"/>
      <c r="M649" s="31"/>
      <c r="N649" s="22"/>
      <c r="O649" s="7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1"/>
      <c r="B650" s="52"/>
      <c r="C650" s="22"/>
      <c r="D650" s="31"/>
      <c r="E650" s="22"/>
      <c r="F650" s="22"/>
      <c r="G650" s="22"/>
      <c r="H650" s="22"/>
      <c r="I650" s="22"/>
      <c r="J650" s="22"/>
      <c r="K650" s="31"/>
      <c r="L650" s="22"/>
      <c r="M650" s="31"/>
      <c r="N650" s="22"/>
      <c r="O650" s="7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1"/>
      <c r="B651" s="52"/>
      <c r="C651" s="22"/>
      <c r="D651" s="31"/>
      <c r="E651" s="22"/>
      <c r="F651" s="22"/>
      <c r="G651" s="22"/>
      <c r="H651" s="22"/>
      <c r="I651" s="22"/>
      <c r="J651" s="22"/>
      <c r="K651" s="31"/>
      <c r="L651" s="22"/>
      <c r="M651" s="31"/>
      <c r="N651" s="22"/>
      <c r="O651" s="7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1"/>
      <c r="B652" s="52"/>
      <c r="C652" s="22"/>
      <c r="D652" s="31"/>
      <c r="E652" s="22"/>
      <c r="F652" s="22"/>
      <c r="G652" s="22"/>
      <c r="H652" s="22"/>
      <c r="I652" s="22"/>
      <c r="J652" s="22"/>
      <c r="K652" s="31"/>
      <c r="L652" s="22"/>
      <c r="M652" s="31"/>
      <c r="N652" s="22"/>
      <c r="O652" s="7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1"/>
      <c r="B653" s="52"/>
      <c r="C653" s="22"/>
      <c r="D653" s="31"/>
      <c r="E653" s="22"/>
      <c r="F653" s="22"/>
      <c r="G653" s="22"/>
      <c r="H653" s="22"/>
      <c r="I653" s="22"/>
      <c r="J653" s="22"/>
      <c r="K653" s="31"/>
      <c r="L653" s="22"/>
      <c r="M653" s="31"/>
      <c r="N653" s="22"/>
      <c r="O653" s="7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1"/>
      <c r="B654" s="52"/>
      <c r="C654" s="22"/>
      <c r="D654" s="31"/>
      <c r="E654" s="22"/>
      <c r="F654" s="22"/>
      <c r="G654" s="22"/>
      <c r="H654" s="22"/>
      <c r="I654" s="22"/>
      <c r="J654" s="22"/>
      <c r="K654" s="31"/>
      <c r="L654" s="22"/>
      <c r="M654" s="31"/>
      <c r="N654" s="22"/>
      <c r="O654" s="7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1"/>
      <c r="B655" s="52"/>
      <c r="C655" s="22"/>
      <c r="D655" s="31"/>
      <c r="E655" s="22"/>
      <c r="F655" s="22"/>
      <c r="G655" s="22"/>
      <c r="H655" s="22"/>
      <c r="I655" s="22"/>
      <c r="J655" s="22"/>
      <c r="K655" s="31"/>
      <c r="L655" s="22"/>
      <c r="M655" s="31"/>
      <c r="N655" s="22"/>
      <c r="O655" s="7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1"/>
      <c r="B656" s="52"/>
      <c r="C656" s="22"/>
      <c r="D656" s="31"/>
      <c r="E656" s="22"/>
      <c r="F656" s="22"/>
      <c r="G656" s="22"/>
      <c r="H656" s="22"/>
      <c r="I656" s="22"/>
      <c r="J656" s="22"/>
      <c r="K656" s="31"/>
      <c r="L656" s="22"/>
      <c r="M656" s="31"/>
      <c r="N656" s="22"/>
      <c r="O656" s="7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1"/>
      <c r="B657" s="52"/>
      <c r="C657" s="22"/>
      <c r="D657" s="31"/>
      <c r="E657" s="22"/>
      <c r="F657" s="22"/>
      <c r="G657" s="22"/>
      <c r="H657" s="22"/>
      <c r="I657" s="22"/>
      <c r="J657" s="22"/>
      <c r="K657" s="31"/>
      <c r="L657" s="22"/>
      <c r="M657" s="31"/>
      <c r="N657" s="22"/>
      <c r="O657" s="7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1"/>
      <c r="B658" s="52"/>
      <c r="C658" s="22"/>
      <c r="D658" s="31"/>
      <c r="E658" s="22"/>
      <c r="F658" s="22"/>
      <c r="G658" s="22"/>
      <c r="H658" s="22"/>
      <c r="I658" s="22"/>
      <c r="J658" s="22"/>
      <c r="K658" s="31"/>
      <c r="L658" s="22"/>
      <c r="M658" s="31"/>
      <c r="N658" s="22"/>
      <c r="O658" s="7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1"/>
      <c r="B659" s="52"/>
      <c r="C659" s="22"/>
      <c r="D659" s="31"/>
      <c r="E659" s="22"/>
      <c r="F659" s="22"/>
      <c r="G659" s="22"/>
      <c r="H659" s="22"/>
      <c r="I659" s="22"/>
      <c r="J659" s="22"/>
      <c r="K659" s="31"/>
      <c r="L659" s="22"/>
      <c r="M659" s="31"/>
      <c r="N659" s="22"/>
      <c r="O659" s="7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1"/>
      <c r="B660" s="52"/>
      <c r="C660" s="22"/>
      <c r="D660" s="31"/>
      <c r="E660" s="22"/>
      <c r="F660" s="22"/>
      <c r="G660" s="22"/>
      <c r="H660" s="22"/>
      <c r="I660" s="22"/>
      <c r="J660" s="22"/>
      <c r="K660" s="31"/>
      <c r="L660" s="22"/>
      <c r="M660" s="31"/>
      <c r="N660" s="22"/>
      <c r="O660" s="7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1"/>
      <c r="B661" s="52"/>
      <c r="C661" s="22"/>
      <c r="D661" s="31"/>
      <c r="E661" s="22"/>
      <c r="F661" s="22"/>
      <c r="G661" s="22"/>
      <c r="H661" s="22"/>
      <c r="I661" s="22"/>
      <c r="J661" s="22"/>
      <c r="K661" s="31"/>
      <c r="L661" s="22"/>
      <c r="M661" s="31"/>
      <c r="N661" s="22"/>
      <c r="O661" s="7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1"/>
      <c r="B662" s="52"/>
      <c r="C662" s="22"/>
      <c r="D662" s="31"/>
      <c r="E662" s="22"/>
      <c r="F662" s="22"/>
      <c r="G662" s="22"/>
      <c r="H662" s="22"/>
      <c r="I662" s="22"/>
      <c r="J662" s="22"/>
      <c r="K662" s="31"/>
      <c r="L662" s="22"/>
      <c r="M662" s="31"/>
      <c r="N662" s="22"/>
      <c r="O662" s="7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1"/>
      <c r="B663" s="52"/>
      <c r="C663" s="22"/>
      <c r="D663" s="31"/>
      <c r="E663" s="22"/>
      <c r="F663" s="22"/>
      <c r="G663" s="22"/>
      <c r="H663" s="22"/>
      <c r="I663" s="22"/>
      <c r="J663" s="22"/>
      <c r="K663" s="31"/>
      <c r="L663" s="22"/>
      <c r="M663" s="31"/>
      <c r="N663" s="22"/>
      <c r="O663" s="7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1"/>
      <c r="B664" s="52"/>
      <c r="C664" s="22"/>
      <c r="D664" s="31"/>
      <c r="E664" s="22"/>
      <c r="F664" s="22"/>
      <c r="G664" s="22"/>
      <c r="H664" s="22"/>
      <c r="I664" s="22"/>
      <c r="J664" s="22"/>
      <c r="K664" s="31"/>
      <c r="L664" s="22"/>
      <c r="M664" s="31"/>
      <c r="N664" s="22"/>
      <c r="O664" s="7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1"/>
      <c r="B665" s="52"/>
      <c r="C665" s="22"/>
      <c r="D665" s="31"/>
      <c r="E665" s="22"/>
      <c r="F665" s="22"/>
      <c r="G665" s="22"/>
      <c r="H665" s="22"/>
      <c r="I665" s="22"/>
      <c r="J665" s="22"/>
      <c r="K665" s="31"/>
      <c r="L665" s="22"/>
      <c r="M665" s="31"/>
      <c r="N665" s="22"/>
      <c r="O665" s="7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1"/>
      <c r="B666" s="52"/>
      <c r="C666" s="22"/>
      <c r="D666" s="31"/>
      <c r="E666" s="22"/>
      <c r="F666" s="22"/>
      <c r="G666" s="22"/>
      <c r="H666" s="22"/>
      <c r="I666" s="22"/>
      <c r="J666" s="22"/>
      <c r="K666" s="31"/>
      <c r="L666" s="22"/>
      <c r="M666" s="31"/>
      <c r="N666" s="22"/>
      <c r="O666" s="7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1"/>
      <c r="B667" s="52"/>
      <c r="C667" s="22"/>
      <c r="D667" s="31"/>
      <c r="E667" s="22"/>
      <c r="F667" s="22"/>
      <c r="G667" s="22"/>
      <c r="H667" s="22"/>
      <c r="I667" s="22"/>
      <c r="J667" s="22"/>
      <c r="K667" s="31"/>
      <c r="L667" s="22"/>
      <c r="M667" s="31"/>
      <c r="N667" s="22"/>
      <c r="O667" s="7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1"/>
      <c r="B668" s="52"/>
      <c r="C668" s="22"/>
      <c r="D668" s="31"/>
      <c r="E668" s="22"/>
      <c r="F668" s="22"/>
      <c r="G668" s="22"/>
      <c r="H668" s="22"/>
      <c r="I668" s="22"/>
      <c r="J668" s="22"/>
      <c r="K668" s="31"/>
      <c r="L668" s="22"/>
      <c r="M668" s="31"/>
      <c r="N668" s="22"/>
      <c r="O668" s="7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1"/>
      <c r="B669" s="52"/>
      <c r="C669" s="22"/>
      <c r="D669" s="31"/>
      <c r="E669" s="22"/>
      <c r="F669" s="22"/>
      <c r="G669" s="22"/>
      <c r="H669" s="22"/>
      <c r="I669" s="22"/>
      <c r="J669" s="22"/>
      <c r="K669" s="31"/>
      <c r="L669" s="22"/>
      <c r="M669" s="31"/>
      <c r="N669" s="22"/>
      <c r="O669" s="7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1"/>
      <c r="B670" s="52"/>
      <c r="C670" s="22"/>
      <c r="D670" s="31"/>
      <c r="E670" s="22"/>
      <c r="F670" s="22"/>
      <c r="G670" s="22"/>
      <c r="H670" s="22"/>
      <c r="I670" s="22"/>
      <c r="J670" s="22"/>
      <c r="K670" s="31"/>
      <c r="L670" s="22"/>
      <c r="M670" s="31"/>
      <c r="N670" s="22"/>
      <c r="O670" s="7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1"/>
      <c r="B671" s="52"/>
      <c r="C671" s="22"/>
      <c r="D671" s="31"/>
      <c r="E671" s="22"/>
      <c r="F671" s="22"/>
      <c r="G671" s="22"/>
      <c r="H671" s="22"/>
      <c r="I671" s="22"/>
      <c r="J671" s="22"/>
      <c r="K671" s="31"/>
      <c r="L671" s="22"/>
      <c r="M671" s="31"/>
      <c r="N671" s="22"/>
      <c r="O671" s="7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1"/>
      <c r="B672" s="52"/>
      <c r="C672" s="22"/>
      <c r="D672" s="31"/>
      <c r="E672" s="22"/>
      <c r="F672" s="22"/>
      <c r="G672" s="22"/>
      <c r="H672" s="22"/>
      <c r="I672" s="22"/>
      <c r="J672" s="22"/>
      <c r="K672" s="31"/>
      <c r="L672" s="22"/>
      <c r="M672" s="31"/>
      <c r="N672" s="22"/>
      <c r="O672" s="7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1"/>
      <c r="B673" s="52"/>
      <c r="C673" s="22"/>
      <c r="D673" s="31"/>
      <c r="E673" s="22"/>
      <c r="F673" s="22"/>
      <c r="G673" s="22"/>
      <c r="H673" s="22"/>
      <c r="I673" s="22"/>
      <c r="J673" s="22"/>
      <c r="K673" s="31"/>
      <c r="L673" s="22"/>
      <c r="M673" s="31"/>
      <c r="N673" s="22"/>
      <c r="O673" s="7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1"/>
      <c r="B674" s="52"/>
      <c r="C674" s="22"/>
      <c r="D674" s="31"/>
      <c r="E674" s="22"/>
      <c r="F674" s="22"/>
      <c r="G674" s="22"/>
      <c r="H674" s="22"/>
      <c r="I674" s="22"/>
      <c r="J674" s="22"/>
      <c r="K674" s="31"/>
      <c r="L674" s="22"/>
      <c r="M674" s="31"/>
      <c r="N674" s="22"/>
      <c r="O674" s="7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1"/>
      <c r="B675" s="52"/>
      <c r="C675" s="22"/>
      <c r="D675" s="31"/>
      <c r="E675" s="22"/>
      <c r="F675" s="22"/>
      <c r="G675" s="22"/>
      <c r="H675" s="22"/>
      <c r="I675" s="22"/>
      <c r="J675" s="22"/>
      <c r="K675" s="31"/>
      <c r="L675" s="22"/>
      <c r="M675" s="31"/>
      <c r="N675" s="22"/>
      <c r="O675" s="7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1"/>
      <c r="B676" s="52"/>
      <c r="C676" s="22"/>
      <c r="D676" s="31"/>
      <c r="E676" s="22"/>
      <c r="F676" s="22"/>
      <c r="G676" s="22"/>
      <c r="H676" s="22"/>
      <c r="I676" s="22"/>
      <c r="J676" s="22"/>
      <c r="K676" s="31"/>
      <c r="L676" s="22"/>
      <c r="M676" s="31"/>
      <c r="N676" s="22"/>
      <c r="O676" s="7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1"/>
      <c r="B677" s="52"/>
      <c r="C677" s="22"/>
      <c r="D677" s="31"/>
      <c r="E677" s="22"/>
      <c r="F677" s="22"/>
      <c r="G677" s="22"/>
      <c r="H677" s="22"/>
      <c r="I677" s="22"/>
      <c r="J677" s="22"/>
      <c r="K677" s="31"/>
      <c r="L677" s="22"/>
      <c r="M677" s="31"/>
      <c r="N677" s="22"/>
      <c r="O677" s="7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1"/>
      <c r="B678" s="52"/>
      <c r="C678" s="22"/>
      <c r="D678" s="31"/>
      <c r="E678" s="22"/>
      <c r="F678" s="22"/>
      <c r="G678" s="22"/>
      <c r="H678" s="22"/>
      <c r="I678" s="22"/>
      <c r="J678" s="22"/>
      <c r="K678" s="31"/>
      <c r="L678" s="22"/>
      <c r="M678" s="31"/>
      <c r="N678" s="22"/>
      <c r="O678" s="7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1"/>
      <c r="B679" s="52"/>
      <c r="C679" s="22"/>
      <c r="D679" s="31"/>
      <c r="E679" s="22"/>
      <c r="F679" s="22"/>
      <c r="G679" s="22"/>
      <c r="H679" s="22"/>
      <c r="I679" s="22"/>
      <c r="J679" s="22"/>
      <c r="K679" s="31"/>
      <c r="L679" s="22"/>
      <c r="M679" s="31"/>
      <c r="N679" s="22"/>
      <c r="O679" s="7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1"/>
      <c r="B680" s="52"/>
      <c r="C680" s="22"/>
      <c r="D680" s="31"/>
      <c r="E680" s="22"/>
      <c r="F680" s="22"/>
      <c r="G680" s="22"/>
      <c r="H680" s="22"/>
      <c r="I680" s="22"/>
      <c r="J680" s="22"/>
      <c r="K680" s="31"/>
      <c r="L680" s="22"/>
      <c r="M680" s="31"/>
      <c r="N680" s="22"/>
      <c r="O680" s="7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1"/>
      <c r="B681" s="52"/>
      <c r="C681" s="22"/>
      <c r="D681" s="31"/>
      <c r="E681" s="22"/>
      <c r="F681" s="22"/>
      <c r="G681" s="22"/>
      <c r="H681" s="22"/>
      <c r="I681" s="22"/>
      <c r="J681" s="22"/>
      <c r="K681" s="31"/>
      <c r="L681" s="22"/>
      <c r="M681" s="31"/>
      <c r="N681" s="22"/>
      <c r="O681" s="7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1"/>
      <c r="B682" s="52"/>
      <c r="C682" s="22"/>
      <c r="D682" s="31"/>
      <c r="E682" s="22"/>
      <c r="F682" s="22"/>
      <c r="G682" s="22"/>
      <c r="H682" s="22"/>
      <c r="I682" s="22"/>
      <c r="J682" s="22"/>
      <c r="K682" s="31"/>
      <c r="L682" s="22"/>
      <c r="M682" s="31"/>
      <c r="N682" s="22"/>
      <c r="O682" s="7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1"/>
      <c r="B683" s="52"/>
      <c r="C683" s="22"/>
      <c r="D683" s="31"/>
      <c r="E683" s="22"/>
      <c r="F683" s="22"/>
      <c r="G683" s="22"/>
      <c r="H683" s="22"/>
      <c r="I683" s="22"/>
      <c r="J683" s="22"/>
      <c r="K683" s="31"/>
      <c r="L683" s="22"/>
      <c r="M683" s="31"/>
      <c r="N683" s="22"/>
      <c r="O683" s="7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1"/>
      <c r="B684" s="52"/>
      <c r="C684" s="22"/>
      <c r="D684" s="31"/>
      <c r="E684" s="22"/>
      <c r="F684" s="22"/>
      <c r="G684" s="22"/>
      <c r="H684" s="22"/>
      <c r="I684" s="22"/>
      <c r="J684" s="22"/>
      <c r="K684" s="31"/>
      <c r="L684" s="22"/>
      <c r="M684" s="31"/>
      <c r="N684" s="22"/>
      <c r="O684" s="7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1"/>
      <c r="B685" s="52"/>
      <c r="C685" s="22"/>
      <c r="D685" s="31"/>
      <c r="E685" s="22"/>
      <c r="F685" s="22"/>
      <c r="G685" s="22"/>
      <c r="H685" s="22"/>
      <c r="I685" s="22"/>
      <c r="J685" s="22"/>
      <c r="K685" s="31"/>
      <c r="L685" s="22"/>
      <c r="M685" s="31"/>
      <c r="N685" s="22"/>
      <c r="O685" s="7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1"/>
      <c r="B686" s="52"/>
      <c r="C686" s="22"/>
      <c r="D686" s="31"/>
      <c r="E686" s="22"/>
      <c r="F686" s="22"/>
      <c r="G686" s="22"/>
      <c r="H686" s="22"/>
      <c r="I686" s="22"/>
      <c r="J686" s="22"/>
      <c r="K686" s="31"/>
      <c r="L686" s="22"/>
      <c r="M686" s="31"/>
      <c r="N686" s="22"/>
      <c r="O686" s="7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1"/>
      <c r="B687" s="52"/>
      <c r="C687" s="22"/>
      <c r="D687" s="31"/>
      <c r="E687" s="22"/>
      <c r="F687" s="22"/>
      <c r="G687" s="22"/>
      <c r="H687" s="22"/>
      <c r="I687" s="22"/>
      <c r="J687" s="22"/>
      <c r="K687" s="31"/>
      <c r="L687" s="22"/>
      <c r="M687" s="31"/>
      <c r="N687" s="22"/>
      <c r="O687" s="7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1"/>
      <c r="B688" s="52"/>
      <c r="C688" s="22"/>
      <c r="D688" s="31"/>
      <c r="E688" s="22"/>
      <c r="F688" s="22"/>
      <c r="G688" s="22"/>
      <c r="H688" s="22"/>
      <c r="I688" s="22"/>
      <c r="J688" s="22"/>
      <c r="K688" s="31"/>
      <c r="L688" s="22"/>
      <c r="M688" s="31"/>
      <c r="N688" s="22"/>
      <c r="O688" s="7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1"/>
      <c r="B689" s="52"/>
      <c r="C689" s="22"/>
      <c r="D689" s="31"/>
      <c r="E689" s="22"/>
      <c r="F689" s="22"/>
      <c r="G689" s="22"/>
      <c r="H689" s="22"/>
      <c r="I689" s="22"/>
      <c r="J689" s="22"/>
      <c r="K689" s="31"/>
      <c r="L689" s="22"/>
      <c r="M689" s="31"/>
      <c r="N689" s="22"/>
      <c r="O689" s="7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1"/>
      <c r="B690" s="52"/>
      <c r="C690" s="22"/>
      <c r="D690" s="31"/>
      <c r="E690" s="22"/>
      <c r="F690" s="22"/>
      <c r="G690" s="22"/>
      <c r="H690" s="22"/>
      <c r="I690" s="22"/>
      <c r="J690" s="22"/>
      <c r="K690" s="31"/>
      <c r="L690" s="22"/>
      <c r="M690" s="31"/>
      <c r="N690" s="22"/>
      <c r="O690" s="7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1"/>
      <c r="B691" s="52"/>
      <c r="C691" s="22"/>
      <c r="D691" s="31"/>
      <c r="E691" s="22"/>
      <c r="F691" s="22"/>
      <c r="G691" s="22"/>
      <c r="H691" s="22"/>
      <c r="I691" s="22"/>
      <c r="J691" s="22"/>
      <c r="K691" s="31"/>
      <c r="L691" s="22"/>
      <c r="M691" s="31"/>
      <c r="N691" s="22"/>
      <c r="O691" s="7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1"/>
      <c r="B692" s="52"/>
      <c r="C692" s="22"/>
      <c r="D692" s="31"/>
      <c r="E692" s="22"/>
      <c r="F692" s="22"/>
      <c r="G692" s="22"/>
      <c r="H692" s="22"/>
      <c r="I692" s="22"/>
      <c r="J692" s="22"/>
      <c r="K692" s="31"/>
      <c r="L692" s="22"/>
      <c r="M692" s="31"/>
      <c r="N692" s="22"/>
      <c r="O692" s="7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1"/>
      <c r="B693" s="52"/>
      <c r="C693" s="22"/>
      <c r="D693" s="31"/>
      <c r="E693" s="22"/>
      <c r="F693" s="22"/>
      <c r="G693" s="22"/>
      <c r="H693" s="22"/>
      <c r="I693" s="22"/>
      <c r="J693" s="22"/>
      <c r="K693" s="31"/>
      <c r="L693" s="22"/>
      <c r="M693" s="31"/>
      <c r="N693" s="22"/>
      <c r="O693" s="7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1"/>
      <c r="B694" s="52"/>
      <c r="C694" s="22"/>
      <c r="D694" s="31"/>
      <c r="E694" s="22"/>
      <c r="F694" s="22"/>
      <c r="G694" s="22"/>
      <c r="H694" s="22"/>
      <c r="I694" s="22"/>
      <c r="J694" s="22"/>
      <c r="K694" s="31"/>
      <c r="L694" s="22"/>
      <c r="M694" s="31"/>
      <c r="N694" s="22"/>
      <c r="O694" s="7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1"/>
      <c r="B695" s="52"/>
      <c r="C695" s="22"/>
      <c r="D695" s="31"/>
      <c r="E695" s="22"/>
      <c r="F695" s="22"/>
      <c r="G695" s="22"/>
      <c r="H695" s="22"/>
      <c r="I695" s="22"/>
      <c r="J695" s="22"/>
      <c r="K695" s="31"/>
      <c r="L695" s="22"/>
      <c r="M695" s="31"/>
      <c r="N695" s="22"/>
      <c r="O695" s="7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1"/>
      <c r="B696" s="52"/>
      <c r="C696" s="22"/>
      <c r="D696" s="31"/>
      <c r="E696" s="22"/>
      <c r="F696" s="22"/>
      <c r="G696" s="22"/>
      <c r="H696" s="22"/>
      <c r="I696" s="22"/>
      <c r="J696" s="22"/>
      <c r="K696" s="31"/>
      <c r="L696" s="22"/>
      <c r="M696" s="31"/>
      <c r="N696" s="22"/>
      <c r="O696" s="7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1"/>
      <c r="B697" s="52"/>
      <c r="C697" s="22"/>
      <c r="D697" s="31"/>
      <c r="E697" s="22"/>
      <c r="F697" s="22"/>
      <c r="G697" s="22"/>
      <c r="H697" s="22"/>
      <c r="I697" s="22"/>
      <c r="J697" s="22"/>
      <c r="K697" s="31"/>
      <c r="L697" s="22"/>
      <c r="M697" s="31"/>
      <c r="N697" s="22"/>
      <c r="O697" s="7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1"/>
      <c r="B698" s="52"/>
      <c r="C698" s="22"/>
      <c r="D698" s="31"/>
      <c r="E698" s="22"/>
      <c r="F698" s="22"/>
      <c r="G698" s="22"/>
      <c r="H698" s="22"/>
      <c r="I698" s="22"/>
      <c r="J698" s="22"/>
      <c r="K698" s="31"/>
      <c r="L698" s="22"/>
      <c r="M698" s="31"/>
      <c r="N698" s="22"/>
      <c r="O698" s="7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1"/>
      <c r="B699" s="52"/>
      <c r="C699" s="22"/>
      <c r="D699" s="31"/>
      <c r="E699" s="22"/>
      <c r="F699" s="22"/>
      <c r="G699" s="22"/>
      <c r="H699" s="22"/>
      <c r="I699" s="22"/>
      <c r="J699" s="22"/>
      <c r="K699" s="31"/>
      <c r="L699" s="22"/>
      <c r="M699" s="31"/>
      <c r="N699" s="22"/>
      <c r="O699" s="7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1"/>
      <c r="B700" s="52"/>
      <c r="C700" s="22"/>
      <c r="D700" s="31"/>
      <c r="E700" s="22"/>
      <c r="F700" s="22"/>
      <c r="G700" s="22"/>
      <c r="H700" s="22"/>
      <c r="I700" s="22"/>
      <c r="J700" s="22"/>
      <c r="K700" s="31"/>
      <c r="L700" s="22"/>
      <c r="M700" s="31"/>
      <c r="N700" s="22"/>
      <c r="O700" s="7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1"/>
      <c r="B701" s="52"/>
      <c r="C701" s="22"/>
      <c r="D701" s="31"/>
      <c r="E701" s="22"/>
      <c r="F701" s="22"/>
      <c r="G701" s="22"/>
      <c r="H701" s="22"/>
      <c r="I701" s="22"/>
      <c r="J701" s="22"/>
      <c r="K701" s="31"/>
      <c r="L701" s="22"/>
      <c r="M701" s="31"/>
      <c r="N701" s="22"/>
      <c r="O701" s="7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1"/>
      <c r="B702" s="52"/>
      <c r="C702" s="22"/>
      <c r="D702" s="31"/>
      <c r="E702" s="22"/>
      <c r="F702" s="22"/>
      <c r="G702" s="22"/>
      <c r="H702" s="22"/>
      <c r="I702" s="22"/>
      <c r="J702" s="22"/>
      <c r="K702" s="31"/>
      <c r="L702" s="22"/>
      <c r="M702" s="31"/>
      <c r="N702" s="22"/>
      <c r="O702" s="7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1"/>
      <c r="B703" s="52"/>
      <c r="C703" s="22"/>
      <c r="D703" s="31"/>
      <c r="E703" s="22"/>
      <c r="F703" s="22"/>
      <c r="G703" s="22"/>
      <c r="H703" s="22"/>
      <c r="I703" s="22"/>
      <c r="J703" s="22"/>
      <c r="K703" s="31"/>
      <c r="L703" s="22"/>
      <c r="M703" s="31"/>
      <c r="N703" s="22"/>
      <c r="O703" s="7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1"/>
      <c r="B704" s="52"/>
      <c r="C704" s="22"/>
      <c r="D704" s="31"/>
      <c r="E704" s="22"/>
      <c r="F704" s="22"/>
      <c r="G704" s="22"/>
      <c r="H704" s="22"/>
      <c r="I704" s="22"/>
      <c r="J704" s="22"/>
      <c r="K704" s="31"/>
      <c r="L704" s="22"/>
      <c r="M704" s="31"/>
      <c r="N704" s="22"/>
      <c r="O704" s="7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1"/>
      <c r="B705" s="52"/>
      <c r="C705" s="22"/>
      <c r="D705" s="31"/>
      <c r="E705" s="22"/>
      <c r="F705" s="22"/>
      <c r="G705" s="22"/>
      <c r="H705" s="22"/>
      <c r="I705" s="22"/>
      <c r="J705" s="22"/>
      <c r="K705" s="31"/>
      <c r="L705" s="22"/>
      <c r="M705" s="31"/>
      <c r="N705" s="22"/>
      <c r="O705" s="7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1"/>
      <c r="B706" s="52"/>
      <c r="C706" s="22"/>
      <c r="D706" s="31"/>
      <c r="E706" s="22"/>
      <c r="F706" s="22"/>
      <c r="G706" s="22"/>
      <c r="H706" s="22"/>
      <c r="I706" s="22"/>
      <c r="J706" s="22"/>
      <c r="K706" s="31"/>
      <c r="L706" s="22"/>
      <c r="M706" s="31"/>
      <c r="N706" s="22"/>
      <c r="O706" s="7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1"/>
      <c r="B707" s="52"/>
      <c r="C707" s="22"/>
      <c r="D707" s="31"/>
      <c r="E707" s="22"/>
      <c r="F707" s="22"/>
      <c r="G707" s="22"/>
      <c r="H707" s="22"/>
      <c r="I707" s="22"/>
      <c r="J707" s="22"/>
      <c r="K707" s="31"/>
      <c r="L707" s="22"/>
      <c r="M707" s="31"/>
      <c r="N707" s="22"/>
      <c r="O707" s="7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1"/>
      <c r="B708" s="52"/>
      <c r="C708" s="22"/>
      <c r="D708" s="31"/>
      <c r="E708" s="22"/>
      <c r="F708" s="22"/>
      <c r="G708" s="22"/>
      <c r="H708" s="22"/>
      <c r="I708" s="22"/>
      <c r="J708" s="22"/>
      <c r="K708" s="31"/>
      <c r="L708" s="22"/>
      <c r="M708" s="31"/>
      <c r="N708" s="22"/>
      <c r="O708" s="7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1"/>
      <c r="B709" s="52"/>
      <c r="C709" s="22"/>
      <c r="D709" s="31"/>
      <c r="E709" s="22"/>
      <c r="F709" s="22"/>
      <c r="G709" s="22"/>
      <c r="H709" s="22"/>
      <c r="I709" s="22"/>
      <c r="J709" s="22"/>
      <c r="K709" s="31"/>
      <c r="L709" s="22"/>
      <c r="M709" s="31"/>
      <c r="N709" s="22"/>
      <c r="O709" s="7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1"/>
      <c r="B710" s="52"/>
      <c r="C710" s="22"/>
      <c r="D710" s="31"/>
      <c r="E710" s="22"/>
      <c r="F710" s="22"/>
      <c r="G710" s="22"/>
      <c r="H710" s="22"/>
      <c r="I710" s="22"/>
      <c r="J710" s="22"/>
      <c r="K710" s="31"/>
      <c r="L710" s="22"/>
      <c r="M710" s="31"/>
      <c r="N710" s="22"/>
      <c r="O710" s="7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1"/>
      <c r="B711" s="52"/>
      <c r="C711" s="22"/>
      <c r="D711" s="31"/>
      <c r="E711" s="22"/>
      <c r="F711" s="22"/>
      <c r="G711" s="22"/>
      <c r="H711" s="22"/>
      <c r="I711" s="22"/>
      <c r="J711" s="22"/>
      <c r="K711" s="31"/>
      <c r="L711" s="22"/>
      <c r="M711" s="31"/>
      <c r="N711" s="22"/>
      <c r="O711" s="7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1"/>
      <c r="B712" s="52"/>
      <c r="C712" s="22"/>
      <c r="D712" s="31"/>
      <c r="E712" s="22"/>
      <c r="F712" s="22"/>
      <c r="G712" s="22"/>
      <c r="H712" s="22"/>
      <c r="I712" s="22"/>
      <c r="J712" s="22"/>
      <c r="K712" s="31"/>
      <c r="L712" s="22"/>
      <c r="M712" s="31"/>
      <c r="N712" s="22"/>
      <c r="O712" s="7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1"/>
      <c r="B713" s="52"/>
      <c r="C713" s="22"/>
      <c r="D713" s="31"/>
      <c r="E713" s="22"/>
      <c r="F713" s="22"/>
      <c r="G713" s="22"/>
      <c r="H713" s="22"/>
      <c r="I713" s="22"/>
      <c r="J713" s="22"/>
      <c r="K713" s="31"/>
      <c r="L713" s="22"/>
      <c r="M713" s="31"/>
      <c r="N713" s="22"/>
      <c r="O713" s="7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1"/>
      <c r="B714" s="52"/>
      <c r="C714" s="22"/>
      <c r="D714" s="31"/>
      <c r="E714" s="22"/>
      <c r="F714" s="22"/>
      <c r="G714" s="22"/>
      <c r="H714" s="22"/>
      <c r="I714" s="22"/>
      <c r="J714" s="22"/>
      <c r="K714" s="31"/>
      <c r="L714" s="22"/>
      <c r="M714" s="31"/>
      <c r="N714" s="22"/>
      <c r="O714" s="7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1"/>
      <c r="B715" s="52"/>
      <c r="C715" s="22"/>
      <c r="D715" s="31"/>
      <c r="E715" s="22"/>
      <c r="F715" s="22"/>
      <c r="G715" s="22"/>
      <c r="H715" s="22"/>
      <c r="I715" s="22"/>
      <c r="J715" s="22"/>
      <c r="K715" s="31"/>
      <c r="L715" s="22"/>
      <c r="M715" s="31"/>
      <c r="N715" s="22"/>
      <c r="O715" s="7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1"/>
      <c r="B716" s="52"/>
      <c r="C716" s="22"/>
      <c r="D716" s="31"/>
      <c r="E716" s="22"/>
      <c r="F716" s="22"/>
      <c r="G716" s="22"/>
      <c r="H716" s="22"/>
      <c r="I716" s="22"/>
      <c r="J716" s="22"/>
      <c r="K716" s="31"/>
      <c r="L716" s="22"/>
      <c r="M716" s="31"/>
      <c r="N716" s="22"/>
      <c r="O716" s="7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1"/>
      <c r="B717" s="52"/>
      <c r="C717" s="22"/>
      <c r="D717" s="31"/>
      <c r="E717" s="22"/>
      <c r="F717" s="22"/>
      <c r="G717" s="22"/>
      <c r="H717" s="22"/>
      <c r="I717" s="22"/>
      <c r="J717" s="22"/>
      <c r="K717" s="31"/>
      <c r="L717" s="22"/>
      <c r="M717" s="31"/>
      <c r="N717" s="22"/>
      <c r="O717" s="7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1"/>
      <c r="B718" s="52"/>
      <c r="C718" s="22"/>
      <c r="D718" s="31"/>
      <c r="E718" s="22"/>
      <c r="F718" s="22"/>
      <c r="G718" s="22"/>
      <c r="H718" s="22"/>
      <c r="I718" s="22"/>
      <c r="J718" s="22"/>
      <c r="K718" s="31"/>
      <c r="L718" s="22"/>
      <c r="M718" s="31"/>
      <c r="N718" s="22"/>
      <c r="O718" s="7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1"/>
      <c r="B719" s="52"/>
      <c r="C719" s="22"/>
      <c r="D719" s="31"/>
      <c r="E719" s="22"/>
      <c r="F719" s="22"/>
      <c r="G719" s="22"/>
      <c r="H719" s="22"/>
      <c r="I719" s="22"/>
      <c r="J719" s="22"/>
      <c r="K719" s="31"/>
      <c r="L719" s="22"/>
      <c r="M719" s="31"/>
      <c r="N719" s="22"/>
      <c r="O719" s="7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1"/>
      <c r="B720" s="52"/>
      <c r="C720" s="22"/>
      <c r="D720" s="31"/>
      <c r="E720" s="22"/>
      <c r="F720" s="22"/>
      <c r="G720" s="22"/>
      <c r="H720" s="22"/>
      <c r="I720" s="22"/>
      <c r="J720" s="22"/>
      <c r="K720" s="31"/>
      <c r="L720" s="22"/>
      <c r="M720" s="31"/>
      <c r="N720" s="22"/>
      <c r="O720" s="7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1"/>
      <c r="B721" s="52"/>
      <c r="C721" s="22"/>
      <c r="D721" s="31"/>
      <c r="E721" s="22"/>
      <c r="F721" s="22"/>
      <c r="G721" s="22"/>
      <c r="H721" s="22"/>
      <c r="I721" s="22"/>
      <c r="J721" s="22"/>
      <c r="K721" s="31"/>
      <c r="L721" s="22"/>
      <c r="M721" s="31"/>
      <c r="N721" s="22"/>
      <c r="O721" s="7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1"/>
      <c r="B722" s="52"/>
      <c r="C722" s="22"/>
      <c r="D722" s="31"/>
      <c r="E722" s="22"/>
      <c r="F722" s="22"/>
      <c r="G722" s="22"/>
      <c r="H722" s="22"/>
      <c r="I722" s="22"/>
      <c r="J722" s="22"/>
      <c r="K722" s="31"/>
      <c r="L722" s="22"/>
      <c r="M722" s="31"/>
      <c r="N722" s="22"/>
      <c r="O722" s="7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1"/>
      <c r="B723" s="52"/>
      <c r="C723" s="22"/>
      <c r="D723" s="31"/>
      <c r="E723" s="22"/>
      <c r="F723" s="22"/>
      <c r="G723" s="22"/>
      <c r="H723" s="22"/>
      <c r="I723" s="22"/>
      <c r="J723" s="22"/>
      <c r="K723" s="31"/>
      <c r="L723" s="22"/>
      <c r="M723" s="31"/>
      <c r="N723" s="22"/>
      <c r="O723" s="7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1"/>
      <c r="B724" s="52"/>
      <c r="C724" s="22"/>
      <c r="D724" s="31"/>
      <c r="E724" s="22"/>
      <c r="F724" s="22"/>
      <c r="G724" s="22"/>
      <c r="H724" s="22"/>
      <c r="I724" s="22"/>
      <c r="J724" s="22"/>
      <c r="K724" s="31"/>
      <c r="L724" s="22"/>
      <c r="M724" s="31"/>
      <c r="N724" s="22"/>
      <c r="O724" s="7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1"/>
      <c r="B725" s="52"/>
      <c r="C725" s="22"/>
      <c r="D725" s="31"/>
      <c r="E725" s="22"/>
      <c r="F725" s="22"/>
      <c r="G725" s="22"/>
      <c r="H725" s="22"/>
      <c r="I725" s="22"/>
      <c r="J725" s="22"/>
      <c r="K725" s="31"/>
      <c r="L725" s="22"/>
      <c r="M725" s="31"/>
      <c r="N725" s="22"/>
      <c r="O725" s="7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1"/>
      <c r="B726" s="52"/>
      <c r="C726" s="22"/>
      <c r="D726" s="31"/>
      <c r="E726" s="22"/>
      <c r="F726" s="22"/>
      <c r="G726" s="22"/>
      <c r="H726" s="22"/>
      <c r="I726" s="22"/>
      <c r="J726" s="22"/>
      <c r="K726" s="31"/>
      <c r="L726" s="22"/>
      <c r="M726" s="31"/>
      <c r="N726" s="22"/>
      <c r="O726" s="7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1"/>
      <c r="B727" s="52"/>
      <c r="C727" s="22"/>
      <c r="D727" s="31"/>
      <c r="E727" s="22"/>
      <c r="F727" s="22"/>
      <c r="G727" s="22"/>
      <c r="H727" s="22"/>
      <c r="I727" s="22"/>
      <c r="J727" s="22"/>
      <c r="K727" s="31"/>
      <c r="L727" s="22"/>
      <c r="M727" s="31"/>
      <c r="N727" s="22"/>
      <c r="O727" s="7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1"/>
      <c r="B728" s="52"/>
      <c r="C728" s="22"/>
      <c r="D728" s="31"/>
      <c r="E728" s="22"/>
      <c r="F728" s="22"/>
      <c r="G728" s="22"/>
      <c r="H728" s="22"/>
      <c r="I728" s="22"/>
      <c r="J728" s="22"/>
      <c r="K728" s="31"/>
      <c r="L728" s="22"/>
      <c r="M728" s="31"/>
      <c r="N728" s="22"/>
      <c r="O728" s="7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1"/>
      <c r="B729" s="52"/>
      <c r="C729" s="22"/>
      <c r="D729" s="31"/>
      <c r="E729" s="22"/>
      <c r="F729" s="22"/>
      <c r="G729" s="22"/>
      <c r="H729" s="22"/>
      <c r="I729" s="22"/>
      <c r="J729" s="22"/>
      <c r="K729" s="31"/>
      <c r="L729" s="22"/>
      <c r="M729" s="31"/>
      <c r="N729" s="22"/>
      <c r="O729" s="7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1"/>
      <c r="B730" s="52"/>
      <c r="C730" s="22"/>
      <c r="D730" s="31"/>
      <c r="E730" s="22"/>
      <c r="F730" s="22"/>
      <c r="G730" s="22"/>
      <c r="H730" s="22"/>
      <c r="I730" s="22"/>
      <c r="J730" s="22"/>
      <c r="K730" s="31"/>
      <c r="L730" s="22"/>
      <c r="M730" s="31"/>
      <c r="N730" s="22"/>
      <c r="O730" s="7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1"/>
      <c r="B731" s="52"/>
      <c r="C731" s="22"/>
      <c r="D731" s="31"/>
      <c r="E731" s="22"/>
      <c r="F731" s="22"/>
      <c r="G731" s="22"/>
      <c r="H731" s="22"/>
      <c r="I731" s="22"/>
      <c r="J731" s="22"/>
      <c r="K731" s="31"/>
      <c r="L731" s="22"/>
      <c r="M731" s="31"/>
      <c r="N731" s="22"/>
      <c r="O731" s="7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1"/>
      <c r="B732" s="52"/>
      <c r="C732" s="22"/>
      <c r="D732" s="31"/>
      <c r="E732" s="22"/>
      <c r="F732" s="22"/>
      <c r="G732" s="22"/>
      <c r="H732" s="22"/>
      <c r="I732" s="22"/>
      <c r="J732" s="22"/>
      <c r="K732" s="31"/>
      <c r="L732" s="22"/>
      <c r="M732" s="31"/>
      <c r="N732" s="22"/>
      <c r="O732" s="7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1"/>
      <c r="B733" s="52"/>
      <c r="C733" s="22"/>
      <c r="D733" s="31"/>
      <c r="E733" s="22"/>
      <c r="F733" s="22"/>
      <c r="G733" s="22"/>
      <c r="H733" s="22"/>
      <c r="I733" s="22"/>
      <c r="J733" s="22"/>
      <c r="K733" s="31"/>
      <c r="L733" s="22"/>
      <c r="M733" s="31"/>
      <c r="N733" s="22"/>
      <c r="O733" s="7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1"/>
      <c r="B734" s="52"/>
      <c r="C734" s="22"/>
      <c r="D734" s="31"/>
      <c r="E734" s="22"/>
      <c r="F734" s="22"/>
      <c r="G734" s="22"/>
      <c r="H734" s="22"/>
      <c r="I734" s="22"/>
      <c r="J734" s="22"/>
      <c r="K734" s="31"/>
      <c r="L734" s="22"/>
      <c r="M734" s="31"/>
      <c r="N734" s="22"/>
      <c r="O734" s="7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1"/>
      <c r="B735" s="52"/>
      <c r="C735" s="22"/>
      <c r="D735" s="31"/>
      <c r="E735" s="22"/>
      <c r="F735" s="22"/>
      <c r="G735" s="22"/>
      <c r="H735" s="22"/>
      <c r="I735" s="22"/>
      <c r="J735" s="22"/>
      <c r="K735" s="31"/>
      <c r="L735" s="22"/>
      <c r="M735" s="31"/>
      <c r="N735" s="22"/>
      <c r="O735" s="7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1"/>
      <c r="B736" s="52"/>
      <c r="C736" s="22"/>
      <c r="D736" s="31"/>
      <c r="E736" s="22"/>
      <c r="F736" s="22"/>
      <c r="G736" s="22"/>
      <c r="H736" s="22"/>
      <c r="I736" s="22"/>
      <c r="J736" s="22"/>
      <c r="K736" s="31"/>
      <c r="L736" s="22"/>
      <c r="M736" s="31"/>
      <c r="N736" s="22"/>
      <c r="O736" s="7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1"/>
      <c r="B737" s="52"/>
      <c r="C737" s="22"/>
      <c r="D737" s="31"/>
      <c r="E737" s="22"/>
      <c r="F737" s="22"/>
      <c r="G737" s="22"/>
      <c r="H737" s="22"/>
      <c r="I737" s="22"/>
      <c r="J737" s="22"/>
      <c r="K737" s="31"/>
      <c r="L737" s="22"/>
      <c r="M737" s="31"/>
      <c r="N737" s="22"/>
      <c r="O737" s="7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1"/>
      <c r="B738" s="52"/>
      <c r="C738" s="22"/>
      <c r="D738" s="31"/>
      <c r="E738" s="22"/>
      <c r="F738" s="22"/>
      <c r="G738" s="22"/>
      <c r="H738" s="22"/>
      <c r="I738" s="22"/>
      <c r="J738" s="22"/>
      <c r="K738" s="31"/>
      <c r="L738" s="22"/>
      <c r="M738" s="31"/>
      <c r="N738" s="22"/>
      <c r="O738" s="7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1"/>
      <c r="B739" s="52"/>
      <c r="C739" s="22"/>
      <c r="D739" s="31"/>
      <c r="E739" s="22"/>
      <c r="F739" s="22"/>
      <c r="G739" s="22"/>
      <c r="H739" s="22"/>
      <c r="I739" s="22"/>
      <c r="J739" s="22"/>
      <c r="K739" s="31"/>
      <c r="L739" s="22"/>
      <c r="M739" s="31"/>
      <c r="N739" s="22"/>
      <c r="O739" s="7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1"/>
      <c r="B740" s="52"/>
      <c r="C740" s="22"/>
      <c r="D740" s="31"/>
      <c r="E740" s="22"/>
      <c r="F740" s="22"/>
      <c r="G740" s="22"/>
      <c r="H740" s="22"/>
      <c r="I740" s="22"/>
      <c r="J740" s="22"/>
      <c r="K740" s="31"/>
      <c r="L740" s="22"/>
      <c r="M740" s="31"/>
      <c r="N740" s="22"/>
      <c r="O740" s="7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1"/>
      <c r="B741" s="52"/>
      <c r="C741" s="22"/>
      <c r="D741" s="31"/>
      <c r="E741" s="22"/>
      <c r="F741" s="22"/>
      <c r="G741" s="22"/>
      <c r="H741" s="22"/>
      <c r="I741" s="22"/>
      <c r="J741" s="22"/>
      <c r="K741" s="31"/>
      <c r="L741" s="22"/>
      <c r="M741" s="31"/>
      <c r="N741" s="22"/>
      <c r="O741" s="7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1"/>
      <c r="B742" s="52"/>
      <c r="C742" s="22"/>
      <c r="D742" s="31"/>
      <c r="E742" s="22"/>
      <c r="F742" s="22"/>
      <c r="G742" s="22"/>
      <c r="H742" s="22"/>
      <c r="I742" s="22"/>
      <c r="J742" s="22"/>
      <c r="K742" s="31"/>
      <c r="L742" s="22"/>
      <c r="M742" s="31"/>
      <c r="N742" s="22"/>
      <c r="O742" s="7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1"/>
      <c r="B743" s="52"/>
      <c r="C743" s="22"/>
      <c r="D743" s="31"/>
      <c r="E743" s="22"/>
      <c r="F743" s="22"/>
      <c r="G743" s="22"/>
      <c r="H743" s="22"/>
      <c r="I743" s="22"/>
      <c r="J743" s="22"/>
      <c r="K743" s="31"/>
      <c r="L743" s="22"/>
      <c r="M743" s="31"/>
      <c r="N743" s="22"/>
      <c r="O743" s="7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1"/>
      <c r="B744" s="52"/>
      <c r="C744" s="22"/>
      <c r="D744" s="31"/>
      <c r="E744" s="22"/>
      <c r="F744" s="22"/>
      <c r="G744" s="22"/>
      <c r="H744" s="22"/>
      <c r="I744" s="22"/>
      <c r="J744" s="22"/>
      <c r="K744" s="31"/>
      <c r="L744" s="22"/>
      <c r="M744" s="31"/>
      <c r="N744" s="22"/>
      <c r="O744" s="7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1"/>
      <c r="B745" s="52"/>
      <c r="C745" s="22"/>
      <c r="D745" s="31"/>
      <c r="E745" s="22"/>
      <c r="F745" s="22"/>
      <c r="G745" s="22"/>
      <c r="H745" s="22"/>
      <c r="I745" s="22"/>
      <c r="J745" s="22"/>
      <c r="K745" s="31"/>
      <c r="L745" s="22"/>
      <c r="M745" s="31"/>
      <c r="N745" s="22"/>
      <c r="O745" s="7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1"/>
      <c r="B746" s="52"/>
      <c r="C746" s="22"/>
      <c r="D746" s="31"/>
      <c r="E746" s="22"/>
      <c r="F746" s="22"/>
      <c r="G746" s="22"/>
      <c r="H746" s="22"/>
      <c r="I746" s="22"/>
      <c r="J746" s="22"/>
      <c r="K746" s="31"/>
      <c r="L746" s="22"/>
      <c r="M746" s="31"/>
      <c r="N746" s="22"/>
      <c r="O746" s="7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1"/>
      <c r="B747" s="52"/>
      <c r="C747" s="22"/>
      <c r="D747" s="31"/>
      <c r="E747" s="22"/>
      <c r="F747" s="22"/>
      <c r="G747" s="22"/>
      <c r="H747" s="22"/>
      <c r="I747" s="22"/>
      <c r="J747" s="22"/>
      <c r="K747" s="31"/>
      <c r="L747" s="22"/>
      <c r="M747" s="31"/>
      <c r="N747" s="22"/>
      <c r="O747" s="7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1"/>
      <c r="B748" s="52"/>
      <c r="C748" s="22"/>
      <c r="D748" s="31"/>
      <c r="E748" s="22"/>
      <c r="F748" s="22"/>
      <c r="G748" s="22"/>
      <c r="H748" s="22"/>
      <c r="I748" s="22"/>
      <c r="J748" s="22"/>
      <c r="K748" s="31"/>
      <c r="L748" s="22"/>
      <c r="M748" s="31"/>
      <c r="N748" s="22"/>
      <c r="O748" s="7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1"/>
      <c r="B749" s="52"/>
      <c r="C749" s="22"/>
      <c r="D749" s="31"/>
      <c r="E749" s="22"/>
      <c r="F749" s="22"/>
      <c r="G749" s="22"/>
      <c r="H749" s="22"/>
      <c r="I749" s="22"/>
      <c r="J749" s="22"/>
      <c r="K749" s="31"/>
      <c r="L749" s="22"/>
      <c r="M749" s="31"/>
      <c r="N749" s="22"/>
      <c r="O749" s="7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1"/>
      <c r="B750" s="52"/>
      <c r="C750" s="22"/>
      <c r="D750" s="31"/>
      <c r="E750" s="22"/>
      <c r="F750" s="22"/>
      <c r="G750" s="22"/>
      <c r="H750" s="22"/>
      <c r="I750" s="22"/>
      <c r="J750" s="22"/>
      <c r="K750" s="31"/>
      <c r="L750" s="22"/>
      <c r="M750" s="31"/>
      <c r="N750" s="22"/>
      <c r="O750" s="7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1"/>
      <c r="B751" s="52"/>
      <c r="C751" s="22"/>
      <c r="D751" s="31"/>
      <c r="E751" s="22"/>
      <c r="F751" s="22"/>
      <c r="G751" s="22"/>
      <c r="H751" s="22"/>
      <c r="I751" s="22"/>
      <c r="J751" s="22"/>
      <c r="K751" s="31"/>
      <c r="L751" s="22"/>
      <c r="M751" s="31"/>
      <c r="N751" s="22"/>
      <c r="O751" s="7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1"/>
      <c r="B752" s="52"/>
      <c r="C752" s="22"/>
      <c r="D752" s="31"/>
      <c r="E752" s="22"/>
      <c r="F752" s="22"/>
      <c r="G752" s="22"/>
      <c r="H752" s="22"/>
      <c r="I752" s="22"/>
      <c r="J752" s="22"/>
      <c r="K752" s="31"/>
      <c r="L752" s="22"/>
      <c r="M752" s="31"/>
      <c r="N752" s="22"/>
      <c r="O752" s="7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1"/>
      <c r="B753" s="52"/>
      <c r="C753" s="22"/>
      <c r="D753" s="31"/>
      <c r="E753" s="22"/>
      <c r="F753" s="22"/>
      <c r="G753" s="22"/>
      <c r="H753" s="22"/>
      <c r="I753" s="22"/>
      <c r="J753" s="22"/>
      <c r="K753" s="31"/>
      <c r="L753" s="22"/>
      <c r="M753" s="31"/>
      <c r="N753" s="22"/>
      <c r="O753" s="7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1"/>
      <c r="B754" s="52"/>
      <c r="C754" s="22"/>
      <c r="D754" s="31"/>
      <c r="E754" s="22"/>
      <c r="F754" s="22"/>
      <c r="G754" s="22"/>
      <c r="H754" s="22"/>
      <c r="I754" s="22"/>
      <c r="J754" s="22"/>
      <c r="K754" s="31"/>
      <c r="L754" s="22"/>
      <c r="M754" s="31"/>
      <c r="N754" s="22"/>
      <c r="O754" s="7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1"/>
      <c r="B755" s="52"/>
      <c r="C755" s="22"/>
      <c r="D755" s="31"/>
      <c r="E755" s="22"/>
      <c r="F755" s="22"/>
      <c r="G755" s="22"/>
      <c r="H755" s="22"/>
      <c r="I755" s="22"/>
      <c r="J755" s="22"/>
      <c r="K755" s="31"/>
      <c r="L755" s="22"/>
      <c r="M755" s="31"/>
      <c r="N755" s="22"/>
      <c r="O755" s="7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1"/>
      <c r="B756" s="52"/>
      <c r="C756" s="22"/>
      <c r="D756" s="31"/>
      <c r="E756" s="22"/>
      <c r="F756" s="22"/>
      <c r="G756" s="22"/>
      <c r="H756" s="22"/>
      <c r="I756" s="22"/>
      <c r="J756" s="22"/>
      <c r="K756" s="31"/>
      <c r="L756" s="22"/>
      <c r="M756" s="31"/>
      <c r="N756" s="22"/>
      <c r="O756" s="7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1"/>
      <c r="B757" s="52"/>
      <c r="C757" s="22"/>
      <c r="D757" s="31"/>
      <c r="E757" s="22"/>
      <c r="F757" s="22"/>
      <c r="G757" s="22"/>
      <c r="H757" s="22"/>
      <c r="I757" s="22"/>
      <c r="J757" s="22"/>
      <c r="K757" s="31"/>
      <c r="L757" s="22"/>
      <c r="M757" s="31"/>
      <c r="N757" s="22"/>
      <c r="O757" s="7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1"/>
      <c r="B758" s="52"/>
      <c r="C758" s="22"/>
      <c r="D758" s="31"/>
      <c r="E758" s="22"/>
      <c r="F758" s="22"/>
      <c r="G758" s="22"/>
      <c r="H758" s="22"/>
      <c r="I758" s="22"/>
      <c r="J758" s="22"/>
      <c r="K758" s="31"/>
      <c r="L758" s="22"/>
      <c r="M758" s="31"/>
      <c r="N758" s="22"/>
      <c r="O758" s="7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1"/>
      <c r="B759" s="52"/>
      <c r="C759" s="22"/>
      <c r="D759" s="31"/>
      <c r="E759" s="22"/>
      <c r="F759" s="22"/>
      <c r="G759" s="22"/>
      <c r="H759" s="22"/>
      <c r="I759" s="22"/>
      <c r="J759" s="22"/>
      <c r="K759" s="31"/>
      <c r="L759" s="22"/>
      <c r="M759" s="31"/>
      <c r="N759" s="22"/>
      <c r="O759" s="7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1"/>
      <c r="B760" s="52"/>
      <c r="C760" s="22"/>
      <c r="D760" s="31"/>
      <c r="E760" s="22"/>
      <c r="F760" s="22"/>
      <c r="G760" s="22"/>
      <c r="H760" s="22"/>
      <c r="I760" s="22"/>
      <c r="J760" s="22"/>
      <c r="K760" s="31"/>
      <c r="L760" s="22"/>
      <c r="M760" s="31"/>
      <c r="N760" s="22"/>
      <c r="O760" s="7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1"/>
      <c r="B761" s="52"/>
      <c r="C761" s="22"/>
      <c r="D761" s="31"/>
      <c r="E761" s="22"/>
      <c r="F761" s="22"/>
      <c r="G761" s="22"/>
      <c r="H761" s="22"/>
      <c r="I761" s="22"/>
      <c r="J761" s="22"/>
      <c r="K761" s="31"/>
      <c r="L761" s="22"/>
      <c r="M761" s="31"/>
      <c r="N761" s="22"/>
      <c r="O761" s="7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1"/>
      <c r="B762" s="52"/>
      <c r="C762" s="22"/>
      <c r="D762" s="31"/>
      <c r="E762" s="22"/>
      <c r="F762" s="22"/>
      <c r="G762" s="22"/>
      <c r="H762" s="22"/>
      <c r="I762" s="22"/>
      <c r="J762" s="22"/>
      <c r="K762" s="31"/>
      <c r="L762" s="22"/>
      <c r="M762" s="31"/>
      <c r="N762" s="22"/>
      <c r="O762" s="7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1"/>
      <c r="B763" s="52"/>
      <c r="C763" s="22"/>
      <c r="D763" s="31"/>
      <c r="E763" s="22"/>
      <c r="F763" s="22"/>
      <c r="G763" s="22"/>
      <c r="H763" s="22"/>
      <c r="I763" s="22"/>
      <c r="J763" s="22"/>
      <c r="K763" s="31"/>
      <c r="L763" s="22"/>
      <c r="M763" s="31"/>
      <c r="N763" s="22"/>
      <c r="O763" s="7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1"/>
      <c r="B764" s="52"/>
      <c r="C764" s="22"/>
      <c r="D764" s="31"/>
      <c r="E764" s="22"/>
      <c r="F764" s="22"/>
      <c r="G764" s="22"/>
      <c r="H764" s="22"/>
      <c r="I764" s="22"/>
      <c r="J764" s="22"/>
      <c r="K764" s="31"/>
      <c r="L764" s="22"/>
      <c r="M764" s="31"/>
      <c r="N764" s="22"/>
      <c r="O764" s="7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1"/>
      <c r="B765" s="52"/>
      <c r="C765" s="22"/>
      <c r="D765" s="31"/>
      <c r="E765" s="22"/>
      <c r="F765" s="22"/>
      <c r="G765" s="22"/>
      <c r="H765" s="22"/>
      <c r="I765" s="22"/>
      <c r="J765" s="22"/>
      <c r="K765" s="31"/>
      <c r="L765" s="22"/>
      <c r="M765" s="31"/>
      <c r="N765" s="22"/>
      <c r="O765" s="7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1"/>
      <c r="B766" s="52"/>
      <c r="C766" s="22"/>
      <c r="D766" s="31"/>
      <c r="E766" s="22"/>
      <c r="F766" s="22"/>
      <c r="G766" s="22"/>
      <c r="H766" s="22"/>
      <c r="I766" s="22"/>
      <c r="J766" s="22"/>
      <c r="K766" s="31"/>
      <c r="L766" s="22"/>
      <c r="M766" s="31"/>
      <c r="N766" s="22"/>
      <c r="O766" s="7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1"/>
      <c r="B767" s="52"/>
      <c r="C767" s="22"/>
      <c r="D767" s="31"/>
      <c r="E767" s="22"/>
      <c r="F767" s="22"/>
      <c r="G767" s="22"/>
      <c r="H767" s="22"/>
      <c r="I767" s="22"/>
      <c r="J767" s="22"/>
      <c r="K767" s="31"/>
      <c r="L767" s="22"/>
      <c r="M767" s="31"/>
      <c r="N767" s="22"/>
      <c r="O767" s="7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1"/>
      <c r="B768" s="52"/>
      <c r="C768" s="22"/>
      <c r="D768" s="31"/>
      <c r="E768" s="22"/>
      <c r="F768" s="22"/>
      <c r="G768" s="22"/>
      <c r="H768" s="22"/>
      <c r="I768" s="22"/>
      <c r="J768" s="22"/>
      <c r="K768" s="31"/>
      <c r="L768" s="22"/>
      <c r="M768" s="31"/>
      <c r="N768" s="22"/>
      <c r="O768" s="7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1"/>
      <c r="B769" s="52"/>
      <c r="C769" s="22"/>
      <c r="D769" s="31"/>
      <c r="E769" s="22"/>
      <c r="F769" s="22"/>
      <c r="G769" s="22"/>
      <c r="H769" s="22"/>
      <c r="I769" s="22"/>
      <c r="J769" s="22"/>
      <c r="K769" s="31"/>
      <c r="L769" s="22"/>
      <c r="M769" s="31"/>
      <c r="N769" s="22"/>
      <c r="O769" s="7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1"/>
      <c r="B770" s="52"/>
      <c r="C770" s="22"/>
      <c r="D770" s="31"/>
      <c r="E770" s="22"/>
      <c r="F770" s="22"/>
      <c r="G770" s="22"/>
      <c r="H770" s="22"/>
      <c r="I770" s="22"/>
      <c r="J770" s="22"/>
      <c r="K770" s="31"/>
      <c r="L770" s="22"/>
      <c r="M770" s="31"/>
      <c r="N770" s="22"/>
      <c r="O770" s="7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1"/>
      <c r="B771" s="52"/>
      <c r="C771" s="22"/>
      <c r="D771" s="31"/>
      <c r="E771" s="22"/>
      <c r="F771" s="22"/>
      <c r="G771" s="22"/>
      <c r="H771" s="22"/>
      <c r="I771" s="22"/>
      <c r="J771" s="22"/>
      <c r="K771" s="31"/>
      <c r="L771" s="22"/>
      <c r="M771" s="31"/>
      <c r="N771" s="22"/>
      <c r="O771" s="7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1"/>
      <c r="B772" s="52"/>
      <c r="C772" s="22"/>
      <c r="D772" s="31"/>
      <c r="E772" s="22"/>
      <c r="F772" s="22"/>
      <c r="G772" s="22"/>
      <c r="H772" s="22"/>
      <c r="I772" s="22"/>
      <c r="J772" s="22"/>
      <c r="K772" s="31"/>
      <c r="L772" s="22"/>
      <c r="M772" s="31"/>
      <c r="N772" s="22"/>
      <c r="O772" s="7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1"/>
      <c r="B773" s="52"/>
      <c r="C773" s="22"/>
      <c r="D773" s="31"/>
      <c r="E773" s="22"/>
      <c r="F773" s="22"/>
      <c r="G773" s="22"/>
      <c r="H773" s="22"/>
      <c r="I773" s="22"/>
      <c r="J773" s="22"/>
      <c r="K773" s="31"/>
      <c r="L773" s="22"/>
      <c r="M773" s="31"/>
      <c r="N773" s="22"/>
      <c r="O773" s="7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1"/>
      <c r="B774" s="52"/>
      <c r="C774" s="22"/>
      <c r="D774" s="31"/>
      <c r="E774" s="22"/>
      <c r="F774" s="22"/>
      <c r="G774" s="22"/>
      <c r="H774" s="22"/>
      <c r="I774" s="22"/>
      <c r="J774" s="22"/>
      <c r="K774" s="31"/>
      <c r="L774" s="22"/>
      <c r="M774" s="31"/>
      <c r="N774" s="22"/>
      <c r="O774" s="7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1"/>
      <c r="B775" s="52"/>
      <c r="C775" s="22"/>
      <c r="D775" s="31"/>
      <c r="E775" s="22"/>
      <c r="F775" s="22"/>
      <c r="G775" s="22"/>
      <c r="H775" s="22"/>
      <c r="I775" s="22"/>
      <c r="J775" s="22"/>
      <c r="K775" s="31"/>
      <c r="L775" s="22"/>
      <c r="M775" s="31"/>
      <c r="N775" s="22"/>
      <c r="O775" s="7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1"/>
      <c r="B776" s="52"/>
      <c r="C776" s="22"/>
      <c r="D776" s="31"/>
      <c r="E776" s="22"/>
      <c r="F776" s="22"/>
      <c r="G776" s="22"/>
      <c r="H776" s="22"/>
      <c r="I776" s="22"/>
      <c r="J776" s="22"/>
      <c r="K776" s="31"/>
      <c r="L776" s="22"/>
      <c r="M776" s="31"/>
      <c r="N776" s="22"/>
      <c r="O776" s="7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1"/>
      <c r="B777" s="52"/>
      <c r="C777" s="22"/>
      <c r="D777" s="31"/>
      <c r="E777" s="22"/>
      <c r="F777" s="22"/>
      <c r="G777" s="22"/>
      <c r="H777" s="22"/>
      <c r="I777" s="22"/>
      <c r="J777" s="22"/>
      <c r="K777" s="31"/>
      <c r="L777" s="22"/>
      <c r="M777" s="31"/>
      <c r="N777" s="22"/>
      <c r="O777" s="7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1"/>
      <c r="B778" s="52"/>
      <c r="C778" s="22"/>
      <c r="D778" s="31"/>
      <c r="E778" s="22"/>
      <c r="F778" s="22"/>
      <c r="G778" s="22"/>
      <c r="H778" s="22"/>
      <c r="I778" s="22"/>
      <c r="J778" s="22"/>
      <c r="K778" s="31"/>
      <c r="L778" s="22"/>
      <c r="M778" s="31"/>
      <c r="N778" s="22"/>
      <c r="O778" s="7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1"/>
      <c r="B779" s="52"/>
      <c r="C779" s="22"/>
      <c r="D779" s="31"/>
      <c r="E779" s="22"/>
      <c r="F779" s="22"/>
      <c r="G779" s="22"/>
      <c r="H779" s="22"/>
      <c r="I779" s="22"/>
      <c r="J779" s="22"/>
      <c r="K779" s="31"/>
      <c r="L779" s="22"/>
      <c r="M779" s="31"/>
      <c r="N779" s="22"/>
      <c r="O779" s="7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1"/>
      <c r="B780" s="52"/>
      <c r="C780" s="22"/>
      <c r="D780" s="31"/>
      <c r="E780" s="22"/>
      <c r="F780" s="22"/>
      <c r="G780" s="22"/>
      <c r="H780" s="22"/>
      <c r="I780" s="22"/>
      <c r="J780" s="22"/>
      <c r="K780" s="31"/>
      <c r="L780" s="22"/>
      <c r="M780" s="31"/>
      <c r="N780" s="22"/>
      <c r="O780" s="7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1"/>
      <c r="B781" s="52"/>
      <c r="C781" s="22"/>
      <c r="D781" s="31"/>
      <c r="E781" s="22"/>
      <c r="F781" s="22"/>
      <c r="G781" s="22"/>
      <c r="H781" s="22"/>
      <c r="I781" s="22"/>
      <c r="J781" s="22"/>
      <c r="K781" s="31"/>
      <c r="L781" s="22"/>
      <c r="M781" s="31"/>
      <c r="N781" s="22"/>
      <c r="O781" s="7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1"/>
      <c r="B782" s="52"/>
      <c r="C782" s="22"/>
      <c r="D782" s="31"/>
      <c r="E782" s="22"/>
      <c r="F782" s="22"/>
      <c r="G782" s="22"/>
      <c r="H782" s="22"/>
      <c r="I782" s="22"/>
      <c r="J782" s="22"/>
      <c r="K782" s="31"/>
      <c r="L782" s="22"/>
      <c r="M782" s="31"/>
      <c r="N782" s="22"/>
      <c r="O782" s="7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1"/>
      <c r="B783" s="52"/>
      <c r="C783" s="22"/>
      <c r="D783" s="31"/>
      <c r="E783" s="22"/>
      <c r="F783" s="22"/>
      <c r="G783" s="22"/>
      <c r="H783" s="22"/>
      <c r="I783" s="22"/>
      <c r="J783" s="22"/>
      <c r="K783" s="31"/>
      <c r="L783" s="22"/>
      <c r="M783" s="31"/>
      <c r="N783" s="22"/>
      <c r="O783" s="7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1"/>
      <c r="B784" s="52"/>
      <c r="C784" s="22"/>
      <c r="D784" s="31"/>
      <c r="E784" s="22"/>
      <c r="F784" s="22"/>
      <c r="G784" s="22"/>
      <c r="H784" s="22"/>
      <c r="I784" s="22"/>
      <c r="J784" s="22"/>
      <c r="K784" s="31"/>
      <c r="L784" s="22"/>
      <c r="M784" s="31"/>
      <c r="N784" s="22"/>
      <c r="O784" s="7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1"/>
      <c r="B785" s="52"/>
      <c r="C785" s="22"/>
      <c r="D785" s="31"/>
      <c r="E785" s="22"/>
      <c r="F785" s="22"/>
      <c r="G785" s="22"/>
      <c r="H785" s="22"/>
      <c r="I785" s="22"/>
      <c r="J785" s="22"/>
      <c r="K785" s="31"/>
      <c r="L785" s="22"/>
      <c r="M785" s="31"/>
      <c r="N785" s="22"/>
      <c r="O785" s="7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1"/>
      <c r="B786" s="52"/>
      <c r="C786" s="22"/>
      <c r="D786" s="31"/>
      <c r="E786" s="22"/>
      <c r="F786" s="22"/>
      <c r="G786" s="22"/>
      <c r="H786" s="22"/>
      <c r="I786" s="22"/>
      <c r="J786" s="22"/>
      <c r="K786" s="31"/>
      <c r="L786" s="22"/>
      <c r="M786" s="31"/>
      <c r="N786" s="22"/>
      <c r="O786" s="7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1"/>
      <c r="B787" s="52"/>
      <c r="C787" s="22"/>
      <c r="D787" s="31"/>
      <c r="E787" s="22"/>
      <c r="F787" s="22"/>
      <c r="G787" s="22"/>
      <c r="H787" s="22"/>
      <c r="I787" s="22"/>
      <c r="J787" s="22"/>
      <c r="K787" s="31"/>
      <c r="L787" s="22"/>
      <c r="M787" s="31"/>
      <c r="N787" s="22"/>
      <c r="O787" s="7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1"/>
      <c r="B788" s="52"/>
      <c r="C788" s="22"/>
      <c r="D788" s="31"/>
      <c r="E788" s="22"/>
      <c r="F788" s="22"/>
      <c r="G788" s="22"/>
      <c r="H788" s="22"/>
      <c r="I788" s="22"/>
      <c r="J788" s="22"/>
      <c r="K788" s="31"/>
      <c r="L788" s="22"/>
      <c r="M788" s="31"/>
      <c r="N788" s="22"/>
      <c r="O788" s="7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1"/>
      <c r="B789" s="52"/>
      <c r="C789" s="22"/>
      <c r="D789" s="31"/>
      <c r="E789" s="22"/>
      <c r="F789" s="22"/>
      <c r="G789" s="22"/>
      <c r="H789" s="22"/>
      <c r="I789" s="22"/>
      <c r="J789" s="22"/>
      <c r="K789" s="31"/>
      <c r="L789" s="22"/>
      <c r="M789" s="31"/>
      <c r="N789" s="22"/>
      <c r="O789" s="7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1"/>
      <c r="B790" s="52"/>
      <c r="C790" s="22"/>
      <c r="D790" s="31"/>
      <c r="E790" s="22"/>
      <c r="F790" s="22"/>
      <c r="G790" s="22"/>
      <c r="H790" s="22"/>
      <c r="I790" s="22"/>
      <c r="J790" s="22"/>
      <c r="K790" s="31"/>
      <c r="L790" s="22"/>
      <c r="M790" s="31"/>
      <c r="N790" s="22"/>
      <c r="O790" s="7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1"/>
      <c r="B791" s="52"/>
      <c r="C791" s="22"/>
      <c r="D791" s="31"/>
      <c r="E791" s="22"/>
      <c r="F791" s="22"/>
      <c r="G791" s="22"/>
      <c r="H791" s="22"/>
      <c r="I791" s="22"/>
      <c r="J791" s="22"/>
      <c r="K791" s="31"/>
      <c r="L791" s="22"/>
      <c r="M791" s="31"/>
      <c r="N791" s="22"/>
      <c r="O791" s="7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1"/>
      <c r="B792" s="52"/>
      <c r="C792" s="22"/>
      <c r="D792" s="31"/>
      <c r="E792" s="22"/>
      <c r="F792" s="22"/>
      <c r="G792" s="22"/>
      <c r="H792" s="22"/>
      <c r="I792" s="22"/>
      <c r="J792" s="22"/>
      <c r="K792" s="31"/>
      <c r="L792" s="22"/>
      <c r="M792" s="31"/>
      <c r="N792" s="22"/>
      <c r="O792" s="7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1"/>
      <c r="B793" s="52"/>
      <c r="C793" s="22"/>
      <c r="D793" s="31"/>
      <c r="E793" s="22"/>
      <c r="F793" s="22"/>
      <c r="G793" s="22"/>
      <c r="H793" s="22"/>
      <c r="I793" s="22"/>
      <c r="J793" s="22"/>
      <c r="K793" s="31"/>
      <c r="L793" s="22"/>
      <c r="M793" s="31"/>
      <c r="N793" s="22"/>
      <c r="O793" s="7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1"/>
      <c r="B794" s="52"/>
      <c r="C794" s="22"/>
      <c r="D794" s="31"/>
      <c r="E794" s="22"/>
      <c r="F794" s="22"/>
      <c r="G794" s="22"/>
      <c r="H794" s="22"/>
      <c r="I794" s="22"/>
      <c r="J794" s="22"/>
      <c r="K794" s="31"/>
      <c r="L794" s="22"/>
      <c r="M794" s="31"/>
      <c r="N794" s="22"/>
      <c r="O794" s="7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1"/>
      <c r="B795" s="52"/>
      <c r="C795" s="22"/>
      <c r="D795" s="31"/>
      <c r="E795" s="22"/>
      <c r="F795" s="22"/>
      <c r="G795" s="22"/>
      <c r="H795" s="22"/>
      <c r="I795" s="22"/>
      <c r="J795" s="22"/>
      <c r="K795" s="31"/>
      <c r="L795" s="22"/>
      <c r="M795" s="31"/>
      <c r="N795" s="22"/>
      <c r="O795" s="7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1"/>
      <c r="B796" s="52"/>
      <c r="C796" s="22"/>
      <c r="D796" s="31"/>
      <c r="E796" s="22"/>
      <c r="F796" s="22"/>
      <c r="G796" s="22"/>
      <c r="H796" s="22"/>
      <c r="I796" s="22"/>
      <c r="J796" s="22"/>
      <c r="K796" s="31"/>
      <c r="L796" s="22"/>
      <c r="M796" s="31"/>
      <c r="N796" s="22"/>
      <c r="O796" s="7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1"/>
      <c r="B797" s="52"/>
      <c r="C797" s="22"/>
      <c r="D797" s="31"/>
      <c r="E797" s="22"/>
      <c r="F797" s="22"/>
      <c r="G797" s="22"/>
      <c r="H797" s="22"/>
      <c r="I797" s="22"/>
      <c r="J797" s="22"/>
      <c r="K797" s="31"/>
      <c r="L797" s="22"/>
      <c r="M797" s="31"/>
      <c r="N797" s="22"/>
      <c r="O797" s="7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1"/>
      <c r="B798" s="52"/>
      <c r="C798" s="22"/>
      <c r="D798" s="31"/>
      <c r="E798" s="22"/>
      <c r="F798" s="22"/>
      <c r="G798" s="22"/>
      <c r="H798" s="22"/>
      <c r="I798" s="22"/>
      <c r="J798" s="22"/>
      <c r="K798" s="31"/>
      <c r="L798" s="22"/>
      <c r="M798" s="31"/>
      <c r="N798" s="22"/>
      <c r="O798" s="7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1"/>
      <c r="B799" s="52"/>
      <c r="C799" s="22"/>
      <c r="D799" s="31"/>
      <c r="E799" s="22"/>
      <c r="F799" s="22"/>
      <c r="G799" s="22"/>
      <c r="H799" s="22"/>
      <c r="I799" s="22"/>
      <c r="J799" s="22"/>
      <c r="K799" s="31"/>
      <c r="L799" s="22"/>
      <c r="M799" s="31"/>
      <c r="N799" s="22"/>
      <c r="O799" s="7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1"/>
      <c r="B800" s="52"/>
      <c r="C800" s="22"/>
      <c r="D800" s="31"/>
      <c r="E800" s="22"/>
      <c r="F800" s="22"/>
      <c r="G800" s="22"/>
      <c r="H800" s="22"/>
      <c r="I800" s="22"/>
      <c r="J800" s="22"/>
      <c r="K800" s="31"/>
      <c r="L800" s="22"/>
      <c r="M800" s="31"/>
      <c r="N800" s="22"/>
      <c r="O800" s="7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1"/>
      <c r="B801" s="52"/>
      <c r="C801" s="22"/>
      <c r="D801" s="31"/>
      <c r="E801" s="22"/>
      <c r="F801" s="22"/>
      <c r="G801" s="22"/>
      <c r="H801" s="22"/>
      <c r="I801" s="22"/>
      <c r="J801" s="22"/>
      <c r="K801" s="31"/>
      <c r="L801" s="22"/>
      <c r="M801" s="31"/>
      <c r="N801" s="22"/>
      <c r="O801" s="7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1"/>
      <c r="B802" s="52"/>
      <c r="C802" s="22"/>
      <c r="D802" s="31"/>
      <c r="E802" s="22"/>
      <c r="F802" s="22"/>
      <c r="G802" s="22"/>
      <c r="H802" s="22"/>
      <c r="I802" s="22"/>
      <c r="J802" s="22"/>
      <c r="K802" s="31"/>
      <c r="L802" s="22"/>
      <c r="M802" s="31"/>
      <c r="N802" s="22"/>
      <c r="O802" s="7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1"/>
      <c r="B803" s="52"/>
      <c r="C803" s="22"/>
      <c r="D803" s="31"/>
      <c r="E803" s="22"/>
      <c r="F803" s="22"/>
      <c r="G803" s="22"/>
      <c r="H803" s="22"/>
      <c r="I803" s="22"/>
      <c r="J803" s="22"/>
      <c r="K803" s="31"/>
      <c r="L803" s="22"/>
      <c r="M803" s="31"/>
      <c r="N803" s="22"/>
      <c r="O803" s="7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1"/>
      <c r="B804" s="52"/>
      <c r="C804" s="22"/>
      <c r="D804" s="31"/>
      <c r="E804" s="22"/>
      <c r="F804" s="22"/>
      <c r="G804" s="22"/>
      <c r="H804" s="22"/>
      <c r="I804" s="22"/>
      <c r="J804" s="22"/>
      <c r="K804" s="31"/>
      <c r="L804" s="22"/>
      <c r="M804" s="31"/>
      <c r="N804" s="22"/>
      <c r="O804" s="7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1"/>
      <c r="B805" s="52"/>
      <c r="C805" s="22"/>
      <c r="D805" s="31"/>
      <c r="E805" s="22"/>
      <c r="F805" s="22"/>
      <c r="G805" s="22"/>
      <c r="H805" s="22"/>
      <c r="I805" s="22"/>
      <c r="J805" s="22"/>
      <c r="K805" s="31"/>
      <c r="L805" s="22"/>
      <c r="M805" s="31"/>
      <c r="N805" s="22"/>
      <c r="O805" s="7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1"/>
      <c r="B806" s="52"/>
      <c r="C806" s="22"/>
      <c r="D806" s="31"/>
      <c r="E806" s="22"/>
      <c r="F806" s="22"/>
      <c r="G806" s="22"/>
      <c r="H806" s="22"/>
      <c r="I806" s="22"/>
      <c r="J806" s="22"/>
      <c r="K806" s="31"/>
      <c r="L806" s="22"/>
      <c r="M806" s="31"/>
      <c r="N806" s="22"/>
      <c r="O806" s="7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1"/>
      <c r="B807" s="52"/>
      <c r="C807" s="22"/>
      <c r="D807" s="31"/>
      <c r="E807" s="22"/>
      <c r="F807" s="22"/>
      <c r="G807" s="22"/>
      <c r="H807" s="22"/>
      <c r="I807" s="22"/>
      <c r="J807" s="22"/>
      <c r="K807" s="31"/>
      <c r="L807" s="22"/>
      <c r="M807" s="31"/>
      <c r="N807" s="22"/>
      <c r="O807" s="7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1"/>
      <c r="B808" s="52"/>
      <c r="C808" s="22"/>
      <c r="D808" s="31"/>
      <c r="E808" s="22"/>
      <c r="F808" s="22"/>
      <c r="G808" s="22"/>
      <c r="H808" s="22"/>
      <c r="I808" s="22"/>
      <c r="J808" s="22"/>
      <c r="K808" s="31"/>
      <c r="L808" s="22"/>
      <c r="M808" s="31"/>
      <c r="N808" s="22"/>
      <c r="O808" s="7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1"/>
      <c r="B809" s="52"/>
      <c r="C809" s="22"/>
      <c r="D809" s="31"/>
      <c r="E809" s="22"/>
      <c r="F809" s="22"/>
      <c r="G809" s="22"/>
      <c r="H809" s="22"/>
      <c r="I809" s="22"/>
      <c r="J809" s="22"/>
      <c r="K809" s="31"/>
      <c r="L809" s="22"/>
      <c r="M809" s="31"/>
      <c r="N809" s="22"/>
      <c r="O809" s="7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1"/>
      <c r="B810" s="52"/>
      <c r="C810" s="22"/>
      <c r="D810" s="31"/>
      <c r="E810" s="22"/>
      <c r="F810" s="22"/>
      <c r="G810" s="22"/>
      <c r="H810" s="22"/>
      <c r="I810" s="22"/>
      <c r="J810" s="22"/>
      <c r="K810" s="31"/>
      <c r="L810" s="22"/>
      <c r="M810" s="31"/>
      <c r="N810" s="22"/>
      <c r="O810" s="7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1"/>
      <c r="B811" s="52"/>
      <c r="C811" s="22"/>
      <c r="D811" s="31"/>
      <c r="E811" s="22"/>
      <c r="F811" s="22"/>
      <c r="G811" s="22"/>
      <c r="H811" s="22"/>
      <c r="I811" s="22"/>
      <c r="J811" s="22"/>
      <c r="K811" s="31"/>
      <c r="L811" s="22"/>
      <c r="M811" s="31"/>
      <c r="N811" s="22"/>
      <c r="O811" s="7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1"/>
      <c r="B812" s="52"/>
      <c r="C812" s="22"/>
      <c r="D812" s="31"/>
      <c r="E812" s="22"/>
      <c r="F812" s="22"/>
      <c r="G812" s="22"/>
      <c r="H812" s="22"/>
      <c r="I812" s="22"/>
      <c r="J812" s="22"/>
      <c r="K812" s="31"/>
      <c r="L812" s="22"/>
      <c r="M812" s="31"/>
      <c r="N812" s="22"/>
      <c r="O812" s="7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1"/>
      <c r="B813" s="52"/>
      <c r="C813" s="22"/>
      <c r="D813" s="31"/>
      <c r="E813" s="22"/>
      <c r="F813" s="22"/>
      <c r="G813" s="22"/>
      <c r="H813" s="22"/>
      <c r="I813" s="22"/>
      <c r="J813" s="22"/>
      <c r="K813" s="31"/>
      <c r="L813" s="22"/>
      <c r="M813" s="31"/>
      <c r="N813" s="22"/>
      <c r="O813" s="7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1"/>
      <c r="B814" s="52"/>
      <c r="C814" s="22"/>
      <c r="D814" s="31"/>
      <c r="E814" s="22"/>
      <c r="F814" s="22"/>
      <c r="G814" s="22"/>
      <c r="H814" s="22"/>
      <c r="I814" s="22"/>
      <c r="J814" s="22"/>
      <c r="K814" s="31"/>
      <c r="L814" s="22"/>
      <c r="M814" s="31"/>
      <c r="N814" s="22"/>
      <c r="O814" s="7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1"/>
      <c r="B815" s="52"/>
      <c r="C815" s="22"/>
      <c r="D815" s="31"/>
      <c r="E815" s="22"/>
      <c r="F815" s="22"/>
      <c r="G815" s="22"/>
      <c r="H815" s="22"/>
      <c r="I815" s="22"/>
      <c r="J815" s="22"/>
      <c r="K815" s="31"/>
      <c r="L815" s="22"/>
      <c r="M815" s="31"/>
      <c r="N815" s="22"/>
      <c r="O815" s="7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1"/>
      <c r="B816" s="52"/>
      <c r="C816" s="22"/>
      <c r="D816" s="31"/>
      <c r="E816" s="22"/>
      <c r="F816" s="22"/>
      <c r="G816" s="22"/>
      <c r="H816" s="22"/>
      <c r="I816" s="22"/>
      <c r="J816" s="22"/>
      <c r="K816" s="31"/>
      <c r="L816" s="22"/>
      <c r="M816" s="31"/>
      <c r="N816" s="22"/>
      <c r="O816" s="7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1"/>
      <c r="B817" s="52"/>
      <c r="C817" s="22"/>
      <c r="D817" s="31"/>
      <c r="E817" s="22"/>
      <c r="F817" s="22"/>
      <c r="G817" s="22"/>
      <c r="H817" s="22"/>
      <c r="I817" s="22"/>
      <c r="J817" s="22"/>
      <c r="K817" s="31"/>
      <c r="L817" s="22"/>
      <c r="M817" s="31"/>
      <c r="N817" s="22"/>
      <c r="O817" s="7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1"/>
      <c r="B818" s="52"/>
      <c r="C818" s="22"/>
      <c r="D818" s="31"/>
      <c r="E818" s="22"/>
      <c r="F818" s="22"/>
      <c r="G818" s="22"/>
      <c r="H818" s="22"/>
      <c r="I818" s="22"/>
      <c r="J818" s="22"/>
      <c r="K818" s="31"/>
      <c r="L818" s="22"/>
      <c r="M818" s="31"/>
      <c r="N818" s="22"/>
      <c r="O818" s="7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1"/>
      <c r="B819" s="52"/>
      <c r="C819" s="22"/>
      <c r="D819" s="31"/>
      <c r="E819" s="22"/>
      <c r="F819" s="22"/>
      <c r="G819" s="22"/>
      <c r="H819" s="22"/>
      <c r="I819" s="22"/>
      <c r="J819" s="22"/>
      <c r="K819" s="31"/>
      <c r="L819" s="22"/>
      <c r="M819" s="31"/>
      <c r="N819" s="22"/>
      <c r="O819" s="7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1"/>
      <c r="B820" s="52"/>
      <c r="C820" s="22"/>
      <c r="D820" s="31"/>
      <c r="E820" s="22"/>
      <c r="F820" s="22"/>
      <c r="G820" s="22"/>
      <c r="H820" s="22"/>
      <c r="I820" s="22"/>
      <c r="J820" s="22"/>
      <c r="K820" s="31"/>
      <c r="L820" s="22"/>
      <c r="M820" s="31"/>
      <c r="N820" s="22"/>
      <c r="O820" s="7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1"/>
      <c r="B821" s="52"/>
      <c r="C821" s="22"/>
      <c r="D821" s="31"/>
      <c r="E821" s="22"/>
      <c r="F821" s="22"/>
      <c r="G821" s="22"/>
      <c r="H821" s="22"/>
      <c r="I821" s="22"/>
      <c r="J821" s="22"/>
      <c r="K821" s="31"/>
      <c r="L821" s="22"/>
      <c r="M821" s="31"/>
      <c r="N821" s="22"/>
      <c r="O821" s="7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1"/>
      <c r="B822" s="52"/>
      <c r="C822" s="22"/>
      <c r="D822" s="31"/>
      <c r="E822" s="22"/>
      <c r="F822" s="22"/>
      <c r="G822" s="22"/>
      <c r="H822" s="22"/>
      <c r="I822" s="22"/>
      <c r="J822" s="22"/>
      <c r="K822" s="31"/>
      <c r="L822" s="22"/>
      <c r="M822" s="31"/>
      <c r="N822" s="22"/>
      <c r="O822" s="7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1"/>
      <c r="B823" s="52"/>
      <c r="C823" s="22"/>
      <c r="D823" s="31"/>
      <c r="E823" s="22"/>
      <c r="F823" s="22"/>
      <c r="G823" s="22"/>
      <c r="H823" s="22"/>
      <c r="I823" s="22"/>
      <c r="J823" s="22"/>
      <c r="K823" s="31"/>
      <c r="L823" s="22"/>
      <c r="M823" s="31"/>
      <c r="N823" s="22"/>
      <c r="O823" s="7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1"/>
      <c r="B824" s="52"/>
      <c r="C824" s="22"/>
      <c r="D824" s="31"/>
      <c r="E824" s="22"/>
      <c r="F824" s="22"/>
      <c r="G824" s="22"/>
      <c r="H824" s="22"/>
      <c r="I824" s="22"/>
      <c r="J824" s="22"/>
      <c r="K824" s="31"/>
      <c r="L824" s="22"/>
      <c r="M824" s="31"/>
      <c r="N824" s="22"/>
      <c r="O824" s="7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1"/>
      <c r="B825" s="52"/>
      <c r="C825" s="22"/>
      <c r="D825" s="31"/>
      <c r="E825" s="22"/>
      <c r="F825" s="22"/>
      <c r="G825" s="22"/>
      <c r="H825" s="22"/>
      <c r="I825" s="22"/>
      <c r="J825" s="22"/>
      <c r="K825" s="31"/>
      <c r="L825" s="22"/>
      <c r="M825" s="31"/>
      <c r="N825" s="22"/>
      <c r="O825" s="7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1"/>
      <c r="B826" s="52"/>
      <c r="C826" s="22"/>
      <c r="D826" s="31"/>
      <c r="E826" s="22"/>
      <c r="F826" s="22"/>
      <c r="G826" s="22"/>
      <c r="H826" s="22"/>
      <c r="I826" s="22"/>
      <c r="J826" s="22"/>
      <c r="K826" s="31"/>
      <c r="L826" s="22"/>
      <c r="M826" s="31"/>
      <c r="N826" s="22"/>
      <c r="O826" s="7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1"/>
      <c r="B827" s="52"/>
      <c r="C827" s="22"/>
      <c r="D827" s="31"/>
      <c r="E827" s="22"/>
      <c r="F827" s="22"/>
      <c r="G827" s="22"/>
      <c r="H827" s="22"/>
      <c r="I827" s="22"/>
      <c r="J827" s="22"/>
      <c r="K827" s="31"/>
      <c r="L827" s="22"/>
      <c r="M827" s="31"/>
      <c r="N827" s="22"/>
      <c r="O827" s="7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1"/>
      <c r="B828" s="52"/>
      <c r="C828" s="22"/>
      <c r="D828" s="31"/>
      <c r="E828" s="22"/>
      <c r="F828" s="22"/>
      <c r="G828" s="22"/>
      <c r="H828" s="22"/>
      <c r="I828" s="22"/>
      <c r="J828" s="22"/>
      <c r="K828" s="31"/>
      <c r="L828" s="22"/>
      <c r="M828" s="31"/>
      <c r="N828" s="22"/>
      <c r="O828" s="7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1"/>
      <c r="B829" s="52"/>
      <c r="C829" s="22"/>
      <c r="D829" s="31"/>
      <c r="E829" s="22"/>
      <c r="F829" s="22"/>
      <c r="G829" s="22"/>
      <c r="H829" s="22"/>
      <c r="I829" s="22"/>
      <c r="J829" s="22"/>
      <c r="K829" s="31"/>
      <c r="L829" s="22"/>
      <c r="M829" s="31"/>
      <c r="N829" s="22"/>
      <c r="O829" s="7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1"/>
      <c r="B830" s="52"/>
      <c r="C830" s="22"/>
      <c r="D830" s="31"/>
      <c r="E830" s="22"/>
      <c r="F830" s="22"/>
      <c r="G830" s="22"/>
      <c r="H830" s="22"/>
      <c r="I830" s="22"/>
      <c r="J830" s="22"/>
      <c r="K830" s="31"/>
      <c r="L830" s="22"/>
      <c r="M830" s="31"/>
      <c r="N830" s="22"/>
      <c r="O830" s="7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1"/>
      <c r="B831" s="52"/>
      <c r="C831" s="22"/>
      <c r="D831" s="31"/>
      <c r="E831" s="22"/>
      <c r="F831" s="22"/>
      <c r="G831" s="22"/>
      <c r="H831" s="22"/>
      <c r="I831" s="22"/>
      <c r="J831" s="22"/>
      <c r="K831" s="31"/>
      <c r="L831" s="22"/>
      <c r="M831" s="31"/>
      <c r="N831" s="22"/>
      <c r="O831" s="7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1"/>
      <c r="B832" s="52"/>
      <c r="C832" s="22"/>
      <c r="D832" s="31"/>
      <c r="E832" s="22"/>
      <c r="F832" s="22"/>
      <c r="G832" s="22"/>
      <c r="H832" s="22"/>
      <c r="I832" s="22"/>
      <c r="J832" s="22"/>
      <c r="K832" s="31"/>
      <c r="L832" s="22"/>
      <c r="M832" s="31"/>
      <c r="N832" s="22"/>
      <c r="O832" s="7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1"/>
      <c r="B833" s="52"/>
      <c r="C833" s="22"/>
      <c r="D833" s="31"/>
      <c r="E833" s="22"/>
      <c r="F833" s="22"/>
      <c r="G833" s="22"/>
      <c r="H833" s="22"/>
      <c r="I833" s="22"/>
      <c r="J833" s="22"/>
      <c r="K833" s="31"/>
      <c r="L833" s="22"/>
      <c r="M833" s="31"/>
      <c r="N833" s="22"/>
      <c r="O833" s="7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1"/>
      <c r="B834" s="52"/>
      <c r="C834" s="22"/>
      <c r="D834" s="31"/>
      <c r="E834" s="22"/>
      <c r="F834" s="22"/>
      <c r="G834" s="22"/>
      <c r="H834" s="22"/>
      <c r="I834" s="22"/>
      <c r="J834" s="22"/>
      <c r="K834" s="31"/>
      <c r="L834" s="22"/>
      <c r="M834" s="31"/>
      <c r="N834" s="22"/>
      <c r="O834" s="7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1"/>
      <c r="B835" s="52"/>
      <c r="C835" s="22"/>
      <c r="D835" s="31"/>
      <c r="E835" s="22"/>
      <c r="F835" s="22"/>
      <c r="G835" s="22"/>
      <c r="H835" s="22"/>
      <c r="I835" s="22"/>
      <c r="J835" s="22"/>
      <c r="K835" s="31"/>
      <c r="L835" s="22"/>
      <c r="M835" s="31"/>
      <c r="N835" s="22"/>
      <c r="O835" s="7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1"/>
      <c r="B836" s="52"/>
      <c r="C836" s="22"/>
      <c r="D836" s="31"/>
      <c r="E836" s="22"/>
      <c r="F836" s="22"/>
      <c r="G836" s="22"/>
      <c r="H836" s="22"/>
      <c r="I836" s="22"/>
      <c r="J836" s="22"/>
      <c r="K836" s="31"/>
      <c r="L836" s="22"/>
      <c r="M836" s="31"/>
      <c r="N836" s="22"/>
      <c r="O836" s="7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1"/>
      <c r="B837" s="52"/>
      <c r="C837" s="22"/>
      <c r="D837" s="31"/>
      <c r="E837" s="22"/>
      <c r="F837" s="22"/>
      <c r="G837" s="22"/>
      <c r="H837" s="22"/>
      <c r="I837" s="22"/>
      <c r="J837" s="22"/>
      <c r="K837" s="31"/>
      <c r="L837" s="22"/>
      <c r="M837" s="31"/>
      <c r="N837" s="22"/>
      <c r="O837" s="7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1"/>
      <c r="B838" s="52"/>
      <c r="C838" s="22"/>
      <c r="D838" s="31"/>
      <c r="E838" s="22"/>
      <c r="F838" s="22"/>
      <c r="G838" s="22"/>
      <c r="H838" s="22"/>
      <c r="I838" s="22"/>
      <c r="J838" s="22"/>
      <c r="K838" s="31"/>
      <c r="L838" s="22"/>
      <c r="M838" s="31"/>
      <c r="N838" s="22"/>
      <c r="O838" s="7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1"/>
      <c r="B839" s="52"/>
      <c r="C839" s="22"/>
      <c r="D839" s="31"/>
      <c r="E839" s="22"/>
      <c r="F839" s="22"/>
      <c r="G839" s="22"/>
      <c r="H839" s="22"/>
      <c r="I839" s="22"/>
      <c r="J839" s="22"/>
      <c r="K839" s="31"/>
      <c r="L839" s="22"/>
      <c r="M839" s="31"/>
      <c r="N839" s="22"/>
      <c r="O839" s="7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1"/>
      <c r="B840" s="52"/>
      <c r="C840" s="22"/>
      <c r="D840" s="31"/>
      <c r="E840" s="22"/>
      <c r="F840" s="22"/>
      <c r="G840" s="22"/>
      <c r="H840" s="22"/>
      <c r="I840" s="22"/>
      <c r="J840" s="22"/>
      <c r="K840" s="31"/>
      <c r="L840" s="22"/>
      <c r="M840" s="31"/>
      <c r="N840" s="22"/>
      <c r="O840" s="7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1"/>
      <c r="B841" s="52"/>
      <c r="C841" s="22"/>
      <c r="D841" s="31"/>
      <c r="E841" s="22"/>
      <c r="F841" s="22"/>
      <c r="G841" s="22"/>
      <c r="H841" s="22"/>
      <c r="I841" s="22"/>
      <c r="J841" s="22"/>
      <c r="K841" s="31"/>
      <c r="L841" s="22"/>
      <c r="M841" s="31"/>
      <c r="N841" s="22"/>
      <c r="O841" s="7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1"/>
      <c r="B842" s="52"/>
      <c r="C842" s="22"/>
      <c r="D842" s="31"/>
      <c r="E842" s="22"/>
      <c r="F842" s="22"/>
      <c r="G842" s="22"/>
      <c r="H842" s="22"/>
      <c r="I842" s="22"/>
      <c r="J842" s="22"/>
      <c r="K842" s="31"/>
      <c r="L842" s="22"/>
      <c r="M842" s="31"/>
      <c r="N842" s="22"/>
      <c r="O842" s="7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1"/>
      <c r="B843" s="52"/>
      <c r="C843" s="22"/>
      <c r="D843" s="31"/>
      <c r="E843" s="22"/>
      <c r="F843" s="22"/>
      <c r="G843" s="22"/>
      <c r="H843" s="22"/>
      <c r="I843" s="22"/>
      <c r="J843" s="22"/>
      <c r="K843" s="31"/>
      <c r="L843" s="22"/>
      <c r="M843" s="31"/>
      <c r="N843" s="22"/>
      <c r="O843" s="7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1"/>
      <c r="B844" s="52"/>
      <c r="C844" s="22"/>
      <c r="D844" s="31"/>
      <c r="E844" s="22"/>
      <c r="F844" s="22"/>
      <c r="G844" s="22"/>
      <c r="H844" s="22"/>
      <c r="I844" s="22"/>
      <c r="J844" s="22"/>
      <c r="K844" s="31"/>
      <c r="L844" s="22"/>
      <c r="M844" s="31"/>
      <c r="N844" s="22"/>
      <c r="O844" s="7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1"/>
      <c r="B845" s="52"/>
      <c r="C845" s="22"/>
      <c r="D845" s="31"/>
      <c r="E845" s="22"/>
      <c r="F845" s="22"/>
      <c r="G845" s="22"/>
      <c r="H845" s="22"/>
      <c r="I845" s="22"/>
      <c r="J845" s="22"/>
      <c r="K845" s="31"/>
      <c r="L845" s="22"/>
      <c r="M845" s="31"/>
      <c r="N845" s="22"/>
      <c r="O845" s="7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1"/>
      <c r="B846" s="52"/>
      <c r="C846" s="22"/>
      <c r="D846" s="31"/>
      <c r="E846" s="22"/>
      <c r="F846" s="22"/>
      <c r="G846" s="22"/>
      <c r="H846" s="22"/>
      <c r="I846" s="22"/>
      <c r="J846" s="22"/>
      <c r="K846" s="31"/>
      <c r="L846" s="22"/>
      <c r="M846" s="31"/>
      <c r="N846" s="22"/>
      <c r="O846" s="7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1"/>
      <c r="B847" s="52"/>
      <c r="C847" s="22"/>
      <c r="D847" s="31"/>
      <c r="E847" s="22"/>
      <c r="F847" s="22"/>
      <c r="G847" s="22"/>
      <c r="H847" s="22"/>
      <c r="I847" s="22"/>
      <c r="J847" s="22"/>
      <c r="K847" s="31"/>
      <c r="L847" s="22"/>
      <c r="M847" s="31"/>
      <c r="N847" s="22"/>
      <c r="O847" s="7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1"/>
      <c r="B848" s="52"/>
      <c r="C848" s="22"/>
      <c r="D848" s="31"/>
      <c r="E848" s="22"/>
      <c r="F848" s="22"/>
      <c r="G848" s="22"/>
      <c r="H848" s="22"/>
      <c r="I848" s="22"/>
      <c r="J848" s="22"/>
      <c r="K848" s="31"/>
      <c r="L848" s="22"/>
      <c r="M848" s="31"/>
      <c r="N848" s="22"/>
      <c r="O848" s="7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1"/>
      <c r="B849" s="52"/>
      <c r="C849" s="22"/>
      <c r="D849" s="31"/>
      <c r="E849" s="22"/>
      <c r="F849" s="22"/>
      <c r="G849" s="22"/>
      <c r="H849" s="22"/>
      <c r="I849" s="22"/>
      <c r="J849" s="22"/>
      <c r="K849" s="31"/>
      <c r="L849" s="22"/>
      <c r="M849" s="31"/>
      <c r="N849" s="22"/>
      <c r="O849" s="7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1"/>
      <c r="B850" s="52"/>
      <c r="C850" s="22"/>
      <c r="D850" s="31"/>
      <c r="E850" s="22"/>
      <c r="F850" s="22"/>
      <c r="G850" s="22"/>
      <c r="H850" s="22"/>
      <c r="I850" s="22"/>
      <c r="J850" s="22"/>
      <c r="K850" s="31"/>
      <c r="L850" s="22"/>
      <c r="M850" s="31"/>
      <c r="N850" s="22"/>
      <c r="O850" s="7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1"/>
      <c r="B851" s="52"/>
      <c r="C851" s="22"/>
      <c r="D851" s="31"/>
      <c r="E851" s="22"/>
      <c r="F851" s="22"/>
      <c r="G851" s="22"/>
      <c r="H851" s="22"/>
      <c r="I851" s="22"/>
      <c r="J851" s="22"/>
      <c r="K851" s="31"/>
      <c r="L851" s="22"/>
      <c r="M851" s="31"/>
      <c r="N851" s="22"/>
      <c r="O851" s="7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1"/>
      <c r="B852" s="52"/>
      <c r="C852" s="22"/>
      <c r="D852" s="31"/>
      <c r="E852" s="22"/>
      <c r="F852" s="22"/>
      <c r="G852" s="22"/>
      <c r="H852" s="22"/>
      <c r="I852" s="22"/>
      <c r="J852" s="22"/>
      <c r="K852" s="31"/>
      <c r="L852" s="22"/>
      <c r="M852" s="31"/>
      <c r="N852" s="22"/>
      <c r="O852" s="7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1"/>
      <c r="B853" s="52"/>
      <c r="C853" s="22"/>
      <c r="D853" s="31"/>
      <c r="E853" s="22"/>
      <c r="F853" s="22"/>
      <c r="G853" s="22"/>
      <c r="H853" s="22"/>
      <c r="I853" s="22"/>
      <c r="J853" s="22"/>
      <c r="K853" s="31"/>
      <c r="L853" s="22"/>
      <c r="M853" s="31"/>
      <c r="N853" s="22"/>
      <c r="O853" s="7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1"/>
      <c r="B854" s="52"/>
      <c r="C854" s="22"/>
      <c r="D854" s="31"/>
      <c r="E854" s="22"/>
      <c r="F854" s="22"/>
      <c r="G854" s="22"/>
      <c r="H854" s="22"/>
      <c r="I854" s="22"/>
      <c r="J854" s="22"/>
      <c r="K854" s="31"/>
      <c r="L854" s="22"/>
      <c r="M854" s="31"/>
      <c r="N854" s="22"/>
      <c r="O854" s="7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1"/>
      <c r="B855" s="52"/>
      <c r="C855" s="22"/>
      <c r="D855" s="31"/>
      <c r="E855" s="22"/>
      <c r="F855" s="22"/>
      <c r="G855" s="22"/>
      <c r="H855" s="22"/>
      <c r="I855" s="22"/>
      <c r="J855" s="22"/>
      <c r="K855" s="31"/>
      <c r="L855" s="22"/>
      <c r="M855" s="31"/>
      <c r="N855" s="22"/>
      <c r="O855" s="7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1"/>
      <c r="B856" s="52"/>
      <c r="C856" s="22"/>
      <c r="D856" s="31"/>
      <c r="E856" s="22"/>
      <c r="F856" s="22"/>
      <c r="G856" s="22"/>
      <c r="H856" s="22"/>
      <c r="I856" s="22"/>
      <c r="J856" s="22"/>
      <c r="K856" s="31"/>
      <c r="L856" s="22"/>
      <c r="M856" s="31"/>
      <c r="N856" s="22"/>
      <c r="O856" s="7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1"/>
      <c r="B857" s="52"/>
      <c r="C857" s="22"/>
      <c r="D857" s="31"/>
      <c r="E857" s="22"/>
      <c r="F857" s="22"/>
      <c r="G857" s="22"/>
      <c r="H857" s="22"/>
      <c r="I857" s="22"/>
      <c r="J857" s="22"/>
      <c r="K857" s="31"/>
      <c r="L857" s="22"/>
      <c r="M857" s="31"/>
      <c r="N857" s="22"/>
      <c r="O857" s="7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1"/>
      <c r="B858" s="52"/>
      <c r="C858" s="22"/>
      <c r="D858" s="31"/>
      <c r="E858" s="22"/>
      <c r="F858" s="22"/>
      <c r="G858" s="22"/>
      <c r="H858" s="22"/>
      <c r="I858" s="22"/>
      <c r="J858" s="22"/>
      <c r="K858" s="31"/>
      <c r="L858" s="22"/>
      <c r="M858" s="31"/>
      <c r="N858" s="22"/>
      <c r="O858" s="7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1"/>
      <c r="B859" s="52"/>
      <c r="C859" s="22"/>
      <c r="D859" s="31"/>
      <c r="E859" s="22"/>
      <c r="F859" s="22"/>
      <c r="G859" s="22"/>
      <c r="H859" s="22"/>
      <c r="I859" s="22"/>
      <c r="J859" s="22"/>
      <c r="K859" s="31"/>
      <c r="L859" s="22"/>
      <c r="M859" s="31"/>
      <c r="N859" s="22"/>
      <c r="O859" s="7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1"/>
      <c r="B860" s="52"/>
      <c r="C860" s="22"/>
      <c r="D860" s="31"/>
      <c r="E860" s="22"/>
      <c r="F860" s="22"/>
      <c r="G860" s="22"/>
      <c r="H860" s="22"/>
      <c r="I860" s="22"/>
      <c r="J860" s="22"/>
      <c r="K860" s="31"/>
      <c r="L860" s="22"/>
      <c r="M860" s="31"/>
      <c r="N860" s="22"/>
      <c r="O860" s="7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1"/>
      <c r="B861" s="52"/>
      <c r="C861" s="22"/>
      <c r="D861" s="31"/>
      <c r="E861" s="22"/>
      <c r="F861" s="22"/>
      <c r="G861" s="22"/>
      <c r="H861" s="22"/>
      <c r="I861" s="22"/>
      <c r="J861" s="22"/>
      <c r="K861" s="31"/>
      <c r="L861" s="22"/>
      <c r="M861" s="31"/>
      <c r="N861" s="22"/>
      <c r="O861" s="7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1"/>
      <c r="B862" s="52"/>
      <c r="C862" s="22"/>
      <c r="D862" s="31"/>
      <c r="E862" s="22"/>
      <c r="F862" s="22"/>
      <c r="G862" s="22"/>
      <c r="H862" s="22"/>
      <c r="I862" s="22"/>
      <c r="J862" s="22"/>
      <c r="K862" s="31"/>
      <c r="L862" s="22"/>
      <c r="M862" s="31"/>
      <c r="N862" s="22"/>
      <c r="O862" s="7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1"/>
      <c r="B863" s="52"/>
      <c r="C863" s="22"/>
      <c r="D863" s="31"/>
      <c r="E863" s="22"/>
      <c r="F863" s="22"/>
      <c r="G863" s="22"/>
      <c r="H863" s="22"/>
      <c r="I863" s="22"/>
      <c r="J863" s="22"/>
      <c r="K863" s="31"/>
      <c r="L863" s="22"/>
      <c r="M863" s="31"/>
      <c r="N863" s="22"/>
      <c r="O863" s="7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1"/>
      <c r="B864" s="52"/>
      <c r="C864" s="22"/>
      <c r="D864" s="31"/>
      <c r="E864" s="22"/>
      <c r="F864" s="22"/>
      <c r="G864" s="22"/>
      <c r="H864" s="22"/>
      <c r="I864" s="22"/>
      <c r="J864" s="22"/>
      <c r="K864" s="31"/>
      <c r="L864" s="22"/>
      <c r="M864" s="31"/>
      <c r="N864" s="22"/>
      <c r="O864" s="7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1"/>
      <c r="B865" s="52"/>
      <c r="C865" s="22"/>
      <c r="D865" s="31"/>
      <c r="E865" s="22"/>
      <c r="F865" s="22"/>
      <c r="G865" s="22"/>
      <c r="H865" s="22"/>
      <c r="I865" s="22"/>
      <c r="J865" s="22"/>
      <c r="K865" s="31"/>
      <c r="L865" s="22"/>
      <c r="M865" s="31"/>
      <c r="N865" s="22"/>
      <c r="O865" s="7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1"/>
      <c r="B866" s="52"/>
      <c r="C866" s="22"/>
      <c r="D866" s="31"/>
      <c r="E866" s="22"/>
      <c r="F866" s="22"/>
      <c r="G866" s="22"/>
      <c r="H866" s="22"/>
      <c r="I866" s="22"/>
      <c r="J866" s="22"/>
      <c r="K866" s="31"/>
      <c r="L866" s="22"/>
      <c r="M866" s="31"/>
      <c r="N866" s="22"/>
      <c r="O866" s="7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1"/>
      <c r="B867" s="52"/>
      <c r="C867" s="22"/>
      <c r="D867" s="31"/>
      <c r="E867" s="22"/>
      <c r="F867" s="22"/>
      <c r="G867" s="22"/>
      <c r="H867" s="22"/>
      <c r="I867" s="22"/>
      <c r="J867" s="22"/>
      <c r="K867" s="31"/>
      <c r="L867" s="22"/>
      <c r="M867" s="31"/>
      <c r="N867" s="22"/>
      <c r="O867" s="7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1"/>
      <c r="B868" s="52"/>
      <c r="C868" s="22"/>
      <c r="D868" s="31"/>
      <c r="E868" s="22"/>
      <c r="F868" s="22"/>
      <c r="G868" s="22"/>
      <c r="H868" s="22"/>
      <c r="I868" s="22"/>
      <c r="J868" s="22"/>
      <c r="K868" s="31"/>
      <c r="L868" s="22"/>
      <c r="M868" s="31"/>
      <c r="N868" s="22"/>
      <c r="O868" s="7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1"/>
      <c r="B869" s="52"/>
      <c r="C869" s="22"/>
      <c r="D869" s="31"/>
      <c r="E869" s="22"/>
      <c r="F869" s="22"/>
      <c r="G869" s="22"/>
      <c r="H869" s="22"/>
      <c r="I869" s="22"/>
      <c r="J869" s="22"/>
      <c r="K869" s="31"/>
      <c r="L869" s="22"/>
      <c r="M869" s="31"/>
      <c r="N869" s="22"/>
      <c r="O869" s="7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1"/>
      <c r="B870" s="52"/>
      <c r="C870" s="22"/>
      <c r="D870" s="31"/>
      <c r="E870" s="22"/>
      <c r="F870" s="22"/>
      <c r="G870" s="22"/>
      <c r="H870" s="22"/>
      <c r="I870" s="22"/>
      <c r="J870" s="22"/>
      <c r="K870" s="31"/>
      <c r="L870" s="22"/>
      <c r="M870" s="31"/>
      <c r="N870" s="22"/>
      <c r="O870" s="7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1"/>
      <c r="B871" s="52"/>
      <c r="C871" s="22"/>
      <c r="D871" s="31"/>
      <c r="E871" s="22"/>
      <c r="F871" s="22"/>
      <c r="G871" s="22"/>
      <c r="H871" s="22"/>
      <c r="I871" s="22"/>
      <c r="J871" s="22"/>
      <c r="K871" s="31"/>
      <c r="L871" s="22"/>
      <c r="M871" s="31"/>
      <c r="N871" s="22"/>
      <c r="O871" s="7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1"/>
      <c r="B872" s="52"/>
      <c r="C872" s="22"/>
      <c r="D872" s="31"/>
      <c r="E872" s="22"/>
      <c r="F872" s="22"/>
      <c r="G872" s="22"/>
      <c r="H872" s="22"/>
      <c r="I872" s="22"/>
      <c r="J872" s="22"/>
      <c r="K872" s="31"/>
      <c r="L872" s="22"/>
      <c r="M872" s="31"/>
      <c r="N872" s="22"/>
      <c r="O872" s="7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1"/>
      <c r="B873" s="52"/>
      <c r="C873" s="22"/>
      <c r="D873" s="31"/>
      <c r="E873" s="22"/>
      <c r="F873" s="22"/>
      <c r="G873" s="22"/>
      <c r="H873" s="22"/>
      <c r="I873" s="22"/>
      <c r="J873" s="22"/>
      <c r="K873" s="31"/>
      <c r="L873" s="22"/>
      <c r="M873" s="31"/>
      <c r="N873" s="22"/>
      <c r="O873" s="7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1"/>
      <c r="B874" s="52"/>
      <c r="C874" s="22"/>
      <c r="D874" s="31"/>
      <c r="E874" s="22"/>
      <c r="F874" s="22"/>
      <c r="G874" s="22"/>
      <c r="H874" s="22"/>
      <c r="I874" s="22"/>
      <c r="J874" s="22"/>
      <c r="K874" s="31"/>
      <c r="L874" s="22"/>
      <c r="M874" s="31"/>
      <c r="N874" s="22"/>
      <c r="O874" s="7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1"/>
      <c r="B875" s="52"/>
      <c r="C875" s="22"/>
      <c r="D875" s="31"/>
      <c r="E875" s="22"/>
      <c r="F875" s="22"/>
      <c r="G875" s="22"/>
      <c r="H875" s="22"/>
      <c r="I875" s="22"/>
      <c r="J875" s="22"/>
      <c r="K875" s="31"/>
      <c r="L875" s="22"/>
      <c r="M875" s="31"/>
      <c r="N875" s="22"/>
      <c r="O875" s="7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1"/>
      <c r="B876" s="52"/>
      <c r="C876" s="22"/>
      <c r="D876" s="31"/>
      <c r="E876" s="22"/>
      <c r="F876" s="22"/>
      <c r="G876" s="22"/>
      <c r="H876" s="22"/>
      <c r="I876" s="22"/>
      <c r="J876" s="22"/>
      <c r="K876" s="31"/>
      <c r="L876" s="22"/>
      <c r="M876" s="31"/>
      <c r="N876" s="22"/>
      <c r="O876" s="7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1"/>
      <c r="B877" s="52"/>
      <c r="C877" s="22"/>
      <c r="D877" s="31"/>
      <c r="E877" s="22"/>
      <c r="F877" s="22"/>
      <c r="G877" s="22"/>
      <c r="H877" s="22"/>
      <c r="I877" s="22"/>
      <c r="J877" s="22"/>
      <c r="K877" s="31"/>
      <c r="L877" s="22"/>
      <c r="M877" s="31"/>
      <c r="N877" s="22"/>
      <c r="O877" s="7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1"/>
      <c r="B878" s="52"/>
      <c r="C878" s="22"/>
      <c r="D878" s="31"/>
      <c r="E878" s="22"/>
      <c r="F878" s="22"/>
      <c r="G878" s="22"/>
      <c r="H878" s="22"/>
      <c r="I878" s="22"/>
      <c r="J878" s="22"/>
      <c r="K878" s="31"/>
      <c r="L878" s="22"/>
      <c r="M878" s="31"/>
      <c r="N878" s="22"/>
      <c r="O878" s="7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1"/>
      <c r="B879" s="52"/>
      <c r="C879" s="22"/>
      <c r="D879" s="31"/>
      <c r="E879" s="22"/>
      <c r="F879" s="22"/>
      <c r="G879" s="22"/>
      <c r="H879" s="22"/>
      <c r="I879" s="22"/>
      <c r="J879" s="22"/>
      <c r="K879" s="31"/>
      <c r="L879" s="22"/>
      <c r="M879" s="31"/>
      <c r="N879" s="22"/>
      <c r="O879" s="7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1"/>
      <c r="B880" s="52"/>
      <c r="C880" s="22"/>
      <c r="D880" s="31"/>
      <c r="E880" s="22"/>
      <c r="F880" s="22"/>
      <c r="G880" s="22"/>
      <c r="H880" s="22"/>
      <c r="I880" s="22"/>
      <c r="J880" s="22"/>
      <c r="K880" s="31"/>
      <c r="L880" s="22"/>
      <c r="M880" s="31"/>
      <c r="N880" s="22"/>
      <c r="O880" s="7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1"/>
      <c r="B881" s="52"/>
      <c r="C881" s="22"/>
      <c r="D881" s="31"/>
      <c r="E881" s="22"/>
      <c r="F881" s="22"/>
      <c r="G881" s="22"/>
      <c r="H881" s="22"/>
      <c r="I881" s="22"/>
      <c r="J881" s="22"/>
      <c r="K881" s="31"/>
      <c r="L881" s="22"/>
      <c r="M881" s="31"/>
      <c r="N881" s="22"/>
      <c r="O881" s="7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1"/>
      <c r="B882" s="52"/>
      <c r="C882" s="22"/>
      <c r="D882" s="31"/>
      <c r="E882" s="22"/>
      <c r="F882" s="22"/>
      <c r="G882" s="22"/>
      <c r="H882" s="22"/>
      <c r="I882" s="22"/>
      <c r="J882" s="22"/>
      <c r="K882" s="31"/>
      <c r="L882" s="22"/>
      <c r="M882" s="31"/>
      <c r="N882" s="22"/>
      <c r="O882" s="7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1"/>
      <c r="B883" s="52"/>
      <c r="C883" s="22"/>
      <c r="D883" s="31"/>
      <c r="E883" s="22"/>
      <c r="F883" s="22"/>
      <c r="G883" s="22"/>
      <c r="H883" s="22"/>
      <c r="I883" s="22"/>
      <c r="J883" s="22"/>
      <c r="K883" s="31"/>
      <c r="L883" s="22"/>
      <c r="M883" s="31"/>
      <c r="N883" s="22"/>
      <c r="O883" s="7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1"/>
      <c r="B884" s="52"/>
      <c r="C884" s="22"/>
      <c r="D884" s="31"/>
      <c r="E884" s="22"/>
      <c r="F884" s="22"/>
      <c r="G884" s="22"/>
      <c r="H884" s="22"/>
      <c r="I884" s="22"/>
      <c r="J884" s="22"/>
      <c r="K884" s="31"/>
      <c r="L884" s="22"/>
      <c r="M884" s="31"/>
      <c r="N884" s="22"/>
      <c r="O884" s="7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1"/>
      <c r="B885" s="52"/>
      <c r="C885" s="22"/>
      <c r="D885" s="31"/>
      <c r="E885" s="22"/>
      <c r="F885" s="22"/>
      <c r="G885" s="22"/>
      <c r="H885" s="22"/>
      <c r="I885" s="22"/>
      <c r="J885" s="22"/>
      <c r="K885" s="31"/>
      <c r="L885" s="22"/>
      <c r="M885" s="31"/>
      <c r="N885" s="22"/>
      <c r="O885" s="7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1"/>
      <c r="B886" s="52"/>
      <c r="C886" s="22"/>
      <c r="D886" s="31"/>
      <c r="E886" s="22"/>
      <c r="F886" s="22"/>
      <c r="G886" s="22"/>
      <c r="H886" s="22"/>
      <c r="I886" s="22"/>
      <c r="J886" s="22"/>
      <c r="K886" s="31"/>
      <c r="L886" s="22"/>
      <c r="M886" s="31"/>
      <c r="N886" s="22"/>
      <c r="O886" s="7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1"/>
      <c r="B887" s="52"/>
      <c r="C887" s="22"/>
      <c r="D887" s="31"/>
      <c r="E887" s="22"/>
      <c r="F887" s="22"/>
      <c r="G887" s="22"/>
      <c r="H887" s="22"/>
      <c r="I887" s="22"/>
      <c r="J887" s="22"/>
      <c r="K887" s="31"/>
      <c r="L887" s="22"/>
      <c r="M887" s="31"/>
      <c r="N887" s="22"/>
      <c r="O887" s="7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1"/>
      <c r="B888" s="52"/>
      <c r="C888" s="22"/>
      <c r="D888" s="31"/>
      <c r="E888" s="22"/>
      <c r="F888" s="22"/>
      <c r="G888" s="22"/>
      <c r="H888" s="22"/>
      <c r="I888" s="22"/>
      <c r="J888" s="22"/>
      <c r="K888" s="31"/>
      <c r="L888" s="22"/>
      <c r="M888" s="31"/>
      <c r="N888" s="22"/>
      <c r="O888" s="7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1"/>
      <c r="B889" s="52"/>
      <c r="C889" s="22"/>
      <c r="D889" s="31"/>
      <c r="E889" s="22"/>
      <c r="F889" s="22"/>
      <c r="G889" s="22"/>
      <c r="H889" s="22"/>
      <c r="I889" s="22"/>
      <c r="J889" s="22"/>
      <c r="K889" s="31"/>
      <c r="L889" s="22"/>
      <c r="M889" s="31"/>
      <c r="N889" s="22"/>
      <c r="O889" s="7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1"/>
      <c r="B890" s="52"/>
      <c r="C890" s="22"/>
      <c r="D890" s="31"/>
      <c r="E890" s="22"/>
      <c r="F890" s="22"/>
      <c r="G890" s="22"/>
      <c r="H890" s="22"/>
      <c r="I890" s="22"/>
      <c r="J890" s="22"/>
      <c r="K890" s="31"/>
      <c r="L890" s="22"/>
      <c r="M890" s="31"/>
      <c r="N890" s="22"/>
      <c r="O890" s="7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1"/>
      <c r="B891" s="52"/>
      <c r="C891" s="22"/>
      <c r="D891" s="31"/>
      <c r="E891" s="22"/>
      <c r="F891" s="22"/>
      <c r="G891" s="22"/>
      <c r="H891" s="22"/>
      <c r="I891" s="22"/>
      <c r="J891" s="22"/>
      <c r="K891" s="31"/>
      <c r="L891" s="22"/>
      <c r="M891" s="31"/>
      <c r="N891" s="22"/>
      <c r="O891" s="7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1"/>
      <c r="B892" s="52"/>
      <c r="C892" s="22"/>
      <c r="D892" s="31"/>
      <c r="E892" s="22"/>
      <c r="F892" s="22"/>
      <c r="G892" s="22"/>
      <c r="H892" s="22"/>
      <c r="I892" s="22"/>
      <c r="J892" s="22"/>
      <c r="K892" s="31"/>
      <c r="L892" s="22"/>
      <c r="M892" s="31"/>
      <c r="N892" s="22"/>
      <c r="O892" s="7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1"/>
      <c r="B893" s="52"/>
      <c r="C893" s="22"/>
      <c r="D893" s="31"/>
      <c r="E893" s="22"/>
      <c r="F893" s="22"/>
      <c r="G893" s="22"/>
      <c r="H893" s="22"/>
      <c r="I893" s="22"/>
      <c r="J893" s="22"/>
      <c r="K893" s="31"/>
      <c r="L893" s="22"/>
      <c r="M893" s="31"/>
      <c r="N893" s="22"/>
      <c r="O893" s="7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1"/>
      <c r="B894" s="52"/>
      <c r="C894" s="22"/>
      <c r="D894" s="31"/>
      <c r="E894" s="22"/>
      <c r="F894" s="22"/>
      <c r="G894" s="22"/>
      <c r="H894" s="22"/>
      <c r="I894" s="22"/>
      <c r="J894" s="22"/>
      <c r="K894" s="31"/>
      <c r="L894" s="22"/>
      <c r="M894" s="31"/>
      <c r="N894" s="22"/>
      <c r="O894" s="7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1"/>
      <c r="B895" s="52"/>
      <c r="C895" s="22"/>
      <c r="D895" s="31"/>
      <c r="E895" s="22"/>
      <c r="F895" s="22"/>
      <c r="G895" s="22"/>
      <c r="H895" s="22"/>
      <c r="I895" s="22"/>
      <c r="J895" s="22"/>
      <c r="K895" s="31"/>
      <c r="L895" s="22"/>
      <c r="M895" s="31"/>
      <c r="N895" s="22"/>
      <c r="O895" s="7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1"/>
      <c r="B896" s="52"/>
      <c r="C896" s="22"/>
      <c r="D896" s="31"/>
      <c r="E896" s="22"/>
      <c r="F896" s="22"/>
      <c r="G896" s="22"/>
      <c r="H896" s="22"/>
      <c r="I896" s="22"/>
      <c r="J896" s="22"/>
      <c r="K896" s="31"/>
      <c r="L896" s="22"/>
      <c r="M896" s="31"/>
      <c r="N896" s="22"/>
      <c r="O896" s="7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1"/>
      <c r="B897" s="52"/>
      <c r="C897" s="22"/>
      <c r="D897" s="31"/>
      <c r="E897" s="22"/>
      <c r="F897" s="22"/>
      <c r="G897" s="22"/>
      <c r="H897" s="22"/>
      <c r="I897" s="22"/>
      <c r="J897" s="22"/>
      <c r="K897" s="31"/>
      <c r="L897" s="22"/>
      <c r="M897" s="31"/>
      <c r="N897" s="22"/>
      <c r="O897" s="7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1"/>
      <c r="B898" s="52"/>
      <c r="C898" s="22"/>
      <c r="D898" s="31"/>
      <c r="E898" s="22"/>
      <c r="F898" s="22"/>
      <c r="G898" s="22"/>
      <c r="H898" s="22"/>
      <c r="I898" s="22"/>
      <c r="J898" s="22"/>
      <c r="K898" s="31"/>
      <c r="L898" s="22"/>
      <c r="M898" s="31"/>
      <c r="N898" s="22"/>
      <c r="O898" s="7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1"/>
      <c r="B899" s="52"/>
      <c r="C899" s="22"/>
      <c r="D899" s="31"/>
      <c r="E899" s="22"/>
      <c r="F899" s="22"/>
      <c r="G899" s="22"/>
      <c r="H899" s="22"/>
      <c r="I899" s="22"/>
      <c r="J899" s="22"/>
      <c r="K899" s="31"/>
      <c r="L899" s="22"/>
      <c r="M899" s="31"/>
      <c r="N899" s="22"/>
      <c r="O899" s="7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1"/>
      <c r="B900" s="52"/>
      <c r="C900" s="22"/>
      <c r="D900" s="31"/>
      <c r="E900" s="22"/>
      <c r="F900" s="22"/>
      <c r="G900" s="22"/>
      <c r="H900" s="22"/>
      <c r="I900" s="22"/>
      <c r="J900" s="22"/>
      <c r="K900" s="31"/>
      <c r="L900" s="22"/>
      <c r="M900" s="31"/>
      <c r="N900" s="22"/>
      <c r="O900" s="7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1"/>
      <c r="B901" s="52"/>
      <c r="C901" s="22"/>
      <c r="D901" s="31"/>
      <c r="E901" s="22"/>
      <c r="F901" s="22"/>
      <c r="G901" s="22"/>
      <c r="H901" s="22"/>
      <c r="I901" s="22"/>
      <c r="J901" s="22"/>
      <c r="K901" s="31"/>
      <c r="L901" s="22"/>
      <c r="M901" s="31"/>
      <c r="N901" s="22"/>
      <c r="O901" s="7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1"/>
      <c r="B902" s="52"/>
      <c r="C902" s="22"/>
      <c r="D902" s="31"/>
      <c r="E902" s="22"/>
      <c r="F902" s="22"/>
      <c r="G902" s="22"/>
      <c r="H902" s="22"/>
      <c r="I902" s="22"/>
      <c r="J902" s="22"/>
      <c r="K902" s="31"/>
      <c r="L902" s="22"/>
      <c r="M902" s="31"/>
      <c r="N902" s="22"/>
      <c r="O902" s="7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1"/>
      <c r="B903" s="52"/>
      <c r="C903" s="22"/>
      <c r="D903" s="31"/>
      <c r="E903" s="22"/>
      <c r="F903" s="22"/>
      <c r="G903" s="22"/>
      <c r="H903" s="22"/>
      <c r="I903" s="22"/>
      <c r="J903" s="22"/>
      <c r="K903" s="31"/>
      <c r="L903" s="22"/>
      <c r="M903" s="31"/>
      <c r="N903" s="22"/>
      <c r="O903" s="7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1"/>
      <c r="B904" s="52"/>
      <c r="C904" s="22"/>
      <c r="D904" s="31"/>
      <c r="E904" s="22"/>
      <c r="F904" s="22"/>
      <c r="G904" s="22"/>
      <c r="H904" s="22"/>
      <c r="I904" s="22"/>
      <c r="J904" s="22"/>
      <c r="K904" s="31"/>
      <c r="L904" s="22"/>
      <c r="M904" s="31"/>
      <c r="N904" s="22"/>
      <c r="O904" s="7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1"/>
      <c r="B905" s="52"/>
      <c r="C905" s="22"/>
      <c r="D905" s="31"/>
      <c r="E905" s="22"/>
      <c r="F905" s="22"/>
      <c r="G905" s="22"/>
      <c r="H905" s="22"/>
      <c r="I905" s="22"/>
      <c r="J905" s="22"/>
      <c r="K905" s="31"/>
      <c r="L905" s="22"/>
      <c r="M905" s="31"/>
      <c r="N905" s="22"/>
      <c r="O905" s="7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1"/>
      <c r="B906" s="52"/>
      <c r="C906" s="22"/>
      <c r="D906" s="31"/>
      <c r="E906" s="22"/>
      <c r="F906" s="22"/>
      <c r="G906" s="22"/>
      <c r="H906" s="22"/>
      <c r="I906" s="22"/>
      <c r="J906" s="22"/>
      <c r="K906" s="31"/>
      <c r="L906" s="22"/>
      <c r="M906" s="31"/>
      <c r="N906" s="22"/>
      <c r="O906" s="7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1"/>
      <c r="B907" s="52"/>
      <c r="C907" s="22"/>
      <c r="D907" s="31"/>
      <c r="E907" s="22"/>
      <c r="F907" s="22"/>
      <c r="G907" s="22"/>
      <c r="H907" s="22"/>
      <c r="I907" s="22"/>
      <c r="J907" s="22"/>
      <c r="K907" s="31"/>
      <c r="L907" s="22"/>
      <c r="M907" s="31"/>
      <c r="N907" s="22"/>
      <c r="O907" s="7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1"/>
      <c r="B908" s="52"/>
      <c r="C908" s="22"/>
      <c r="D908" s="31"/>
      <c r="E908" s="22"/>
      <c r="F908" s="22"/>
      <c r="G908" s="22"/>
      <c r="H908" s="22"/>
      <c r="I908" s="22"/>
      <c r="J908" s="22"/>
      <c r="K908" s="31"/>
      <c r="L908" s="22"/>
      <c r="M908" s="31"/>
      <c r="N908" s="22"/>
      <c r="O908" s="7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1"/>
      <c r="B909" s="52"/>
      <c r="C909" s="22"/>
      <c r="D909" s="31"/>
      <c r="E909" s="22"/>
      <c r="F909" s="22"/>
      <c r="G909" s="22"/>
      <c r="H909" s="22"/>
      <c r="I909" s="22"/>
      <c r="J909" s="22"/>
      <c r="K909" s="31"/>
      <c r="L909" s="22"/>
      <c r="M909" s="31"/>
      <c r="N909" s="22"/>
      <c r="O909" s="7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1"/>
      <c r="B910" s="52"/>
      <c r="C910" s="22"/>
      <c r="D910" s="31"/>
      <c r="E910" s="22"/>
      <c r="F910" s="22"/>
      <c r="G910" s="22"/>
      <c r="H910" s="22"/>
      <c r="I910" s="22"/>
      <c r="J910" s="22"/>
      <c r="K910" s="31"/>
      <c r="L910" s="22"/>
      <c r="M910" s="31"/>
      <c r="N910" s="22"/>
      <c r="O910" s="7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1"/>
      <c r="B911" s="52"/>
      <c r="C911" s="22"/>
      <c r="D911" s="31"/>
      <c r="E911" s="22"/>
      <c r="F911" s="22"/>
      <c r="G911" s="22"/>
      <c r="H911" s="22"/>
      <c r="I911" s="22"/>
      <c r="J911" s="22"/>
      <c r="K911" s="31"/>
      <c r="L911" s="22"/>
      <c r="M911" s="31"/>
      <c r="N911" s="22"/>
      <c r="O911" s="7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1"/>
      <c r="B912" s="52"/>
      <c r="C912" s="22"/>
      <c r="D912" s="31"/>
      <c r="E912" s="22"/>
      <c r="F912" s="22"/>
      <c r="G912" s="22"/>
      <c r="H912" s="22"/>
      <c r="I912" s="22"/>
      <c r="J912" s="22"/>
      <c r="K912" s="31"/>
      <c r="L912" s="22"/>
      <c r="M912" s="31"/>
      <c r="N912" s="22"/>
      <c r="O912" s="7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1"/>
      <c r="B913" s="52"/>
      <c r="C913" s="22"/>
      <c r="D913" s="31"/>
      <c r="E913" s="22"/>
      <c r="F913" s="22"/>
      <c r="G913" s="22"/>
      <c r="H913" s="22"/>
      <c r="I913" s="22"/>
      <c r="J913" s="22"/>
      <c r="K913" s="31"/>
      <c r="L913" s="22"/>
      <c r="M913" s="31"/>
      <c r="N913" s="22"/>
      <c r="O913" s="7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1"/>
      <c r="B914" s="52"/>
      <c r="C914" s="22"/>
      <c r="D914" s="31"/>
      <c r="E914" s="22"/>
      <c r="F914" s="22"/>
      <c r="G914" s="22"/>
      <c r="H914" s="22"/>
      <c r="I914" s="22"/>
      <c r="J914" s="22"/>
      <c r="K914" s="31"/>
      <c r="L914" s="22"/>
      <c r="M914" s="31"/>
      <c r="N914" s="22"/>
      <c r="O914" s="7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1"/>
      <c r="B915" s="52"/>
      <c r="C915" s="22"/>
      <c r="D915" s="31"/>
      <c r="E915" s="22"/>
      <c r="F915" s="22"/>
      <c r="G915" s="22"/>
      <c r="H915" s="22"/>
      <c r="I915" s="22"/>
      <c r="J915" s="22"/>
      <c r="K915" s="31"/>
      <c r="L915" s="22"/>
      <c r="M915" s="31"/>
      <c r="N915" s="22"/>
      <c r="O915" s="7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1"/>
      <c r="B916" s="52"/>
      <c r="C916" s="22"/>
      <c r="D916" s="31"/>
      <c r="E916" s="22"/>
      <c r="F916" s="22"/>
      <c r="G916" s="22"/>
      <c r="H916" s="22"/>
      <c r="I916" s="22"/>
      <c r="J916" s="22"/>
      <c r="K916" s="31"/>
      <c r="L916" s="22"/>
      <c r="M916" s="31"/>
      <c r="N916" s="22"/>
      <c r="O916" s="7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1"/>
      <c r="B917" s="52"/>
      <c r="C917" s="22"/>
      <c r="D917" s="31"/>
      <c r="E917" s="22"/>
      <c r="F917" s="22"/>
      <c r="G917" s="22"/>
      <c r="H917" s="22"/>
      <c r="I917" s="22"/>
      <c r="J917" s="22"/>
      <c r="K917" s="31"/>
      <c r="L917" s="22"/>
      <c r="M917" s="31"/>
      <c r="N917" s="22"/>
      <c r="O917" s="7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1"/>
      <c r="B918" s="52"/>
      <c r="C918" s="22"/>
      <c r="D918" s="31"/>
      <c r="E918" s="22"/>
      <c r="F918" s="22"/>
      <c r="G918" s="22"/>
      <c r="H918" s="22"/>
      <c r="I918" s="22"/>
      <c r="J918" s="22"/>
      <c r="K918" s="31"/>
      <c r="L918" s="22"/>
      <c r="M918" s="31"/>
      <c r="N918" s="22"/>
      <c r="O918" s="7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1"/>
      <c r="B919" s="52"/>
      <c r="C919" s="22"/>
      <c r="D919" s="31"/>
      <c r="E919" s="22"/>
      <c r="F919" s="22"/>
      <c r="G919" s="22"/>
      <c r="H919" s="22"/>
      <c r="I919" s="22"/>
      <c r="J919" s="22"/>
      <c r="K919" s="31"/>
      <c r="L919" s="22"/>
      <c r="M919" s="31"/>
      <c r="N919" s="22"/>
      <c r="O919" s="7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1"/>
      <c r="B920" s="52"/>
      <c r="C920" s="22"/>
      <c r="D920" s="31"/>
      <c r="E920" s="22"/>
      <c r="F920" s="22"/>
      <c r="G920" s="22"/>
      <c r="H920" s="22"/>
      <c r="I920" s="22"/>
      <c r="J920" s="22"/>
      <c r="K920" s="31"/>
      <c r="L920" s="22"/>
      <c r="M920" s="31"/>
      <c r="N920" s="22"/>
      <c r="O920" s="7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1"/>
      <c r="B921" s="52"/>
      <c r="C921" s="22"/>
      <c r="D921" s="31"/>
      <c r="E921" s="22"/>
      <c r="F921" s="22"/>
      <c r="G921" s="22"/>
      <c r="H921" s="22"/>
      <c r="I921" s="22"/>
      <c r="J921" s="22"/>
      <c r="K921" s="31"/>
      <c r="L921" s="22"/>
      <c r="M921" s="31"/>
      <c r="N921" s="22"/>
      <c r="O921" s="7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1"/>
      <c r="B922" s="52"/>
      <c r="C922" s="22"/>
      <c r="D922" s="31"/>
      <c r="E922" s="22"/>
      <c r="F922" s="22"/>
      <c r="G922" s="22"/>
      <c r="H922" s="22"/>
      <c r="I922" s="22"/>
      <c r="J922" s="22"/>
      <c r="K922" s="31"/>
      <c r="L922" s="22"/>
      <c r="M922" s="31"/>
      <c r="N922" s="22"/>
      <c r="O922" s="7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1"/>
      <c r="B923" s="52"/>
      <c r="C923" s="22"/>
      <c r="D923" s="31"/>
      <c r="E923" s="22"/>
      <c r="F923" s="22"/>
      <c r="G923" s="22"/>
      <c r="H923" s="22"/>
      <c r="I923" s="22"/>
      <c r="J923" s="22"/>
      <c r="K923" s="31"/>
      <c r="L923" s="22"/>
      <c r="M923" s="31"/>
      <c r="N923" s="22"/>
      <c r="O923" s="7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1"/>
      <c r="B924" s="52"/>
      <c r="C924" s="22"/>
      <c r="D924" s="31"/>
      <c r="E924" s="22"/>
      <c r="F924" s="22"/>
      <c r="G924" s="22"/>
      <c r="H924" s="22"/>
      <c r="I924" s="22"/>
      <c r="J924" s="22"/>
      <c r="K924" s="31"/>
      <c r="L924" s="22"/>
      <c r="M924" s="31"/>
      <c r="N924" s="22"/>
      <c r="O924" s="7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1"/>
      <c r="B925" s="52"/>
      <c r="C925" s="22"/>
      <c r="D925" s="31"/>
      <c r="E925" s="22"/>
      <c r="F925" s="22"/>
      <c r="G925" s="22"/>
      <c r="H925" s="22"/>
      <c r="I925" s="22"/>
      <c r="J925" s="22"/>
      <c r="K925" s="31"/>
      <c r="L925" s="22"/>
      <c r="M925" s="31"/>
      <c r="N925" s="22"/>
      <c r="O925" s="7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1"/>
      <c r="B926" s="52"/>
      <c r="C926" s="22"/>
      <c r="D926" s="31"/>
      <c r="E926" s="22"/>
      <c r="F926" s="22"/>
      <c r="G926" s="22"/>
      <c r="H926" s="22"/>
      <c r="I926" s="22"/>
      <c r="J926" s="22"/>
      <c r="K926" s="31"/>
      <c r="L926" s="22"/>
      <c r="M926" s="31"/>
      <c r="N926" s="22"/>
      <c r="O926" s="7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1"/>
      <c r="B927" s="52"/>
      <c r="C927" s="22"/>
      <c r="D927" s="31"/>
      <c r="E927" s="22"/>
      <c r="F927" s="22"/>
      <c r="G927" s="22"/>
      <c r="H927" s="22"/>
      <c r="I927" s="22"/>
      <c r="J927" s="22"/>
      <c r="K927" s="31"/>
      <c r="L927" s="22"/>
      <c r="M927" s="31"/>
      <c r="N927" s="22"/>
      <c r="O927" s="7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1"/>
      <c r="B928" s="52"/>
      <c r="C928" s="22"/>
      <c r="D928" s="31"/>
      <c r="E928" s="22"/>
      <c r="F928" s="22"/>
      <c r="G928" s="22"/>
      <c r="H928" s="22"/>
      <c r="I928" s="22"/>
      <c r="J928" s="22"/>
      <c r="K928" s="31"/>
      <c r="L928" s="22"/>
      <c r="M928" s="31"/>
      <c r="N928" s="22"/>
      <c r="O928" s="7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1"/>
      <c r="B929" s="52"/>
      <c r="C929" s="22"/>
      <c r="D929" s="31"/>
      <c r="E929" s="22"/>
      <c r="F929" s="22"/>
      <c r="G929" s="22"/>
      <c r="H929" s="22"/>
      <c r="I929" s="22"/>
      <c r="J929" s="22"/>
      <c r="K929" s="31"/>
      <c r="L929" s="22"/>
      <c r="M929" s="31"/>
      <c r="N929" s="22"/>
      <c r="O929" s="7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1"/>
      <c r="B930" s="52"/>
      <c r="C930" s="22"/>
      <c r="D930" s="31"/>
      <c r="E930" s="22"/>
      <c r="F930" s="22"/>
      <c r="G930" s="22"/>
      <c r="H930" s="22"/>
      <c r="I930" s="22"/>
      <c r="J930" s="22"/>
      <c r="K930" s="31"/>
      <c r="L930" s="22"/>
      <c r="M930" s="31"/>
      <c r="N930" s="22"/>
      <c r="O930" s="7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1"/>
      <c r="B931" s="52"/>
      <c r="C931" s="22"/>
      <c r="D931" s="31"/>
      <c r="E931" s="22"/>
      <c r="F931" s="22"/>
      <c r="G931" s="22"/>
      <c r="H931" s="22"/>
      <c r="I931" s="22"/>
      <c r="J931" s="22"/>
      <c r="K931" s="31"/>
      <c r="L931" s="22"/>
      <c r="M931" s="31"/>
      <c r="N931" s="22"/>
      <c r="O931" s="7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1"/>
      <c r="B932" s="52"/>
      <c r="C932" s="22"/>
      <c r="D932" s="31"/>
      <c r="E932" s="22"/>
      <c r="F932" s="22"/>
      <c r="G932" s="22"/>
      <c r="H932" s="22"/>
      <c r="I932" s="22"/>
      <c r="J932" s="22"/>
      <c r="K932" s="31"/>
      <c r="L932" s="22"/>
      <c r="M932" s="31"/>
      <c r="N932" s="22"/>
      <c r="O932" s="7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1"/>
      <c r="B933" s="52"/>
      <c r="C933" s="22"/>
      <c r="D933" s="31"/>
      <c r="E933" s="22"/>
      <c r="F933" s="22"/>
      <c r="G933" s="22"/>
      <c r="H933" s="22"/>
      <c r="I933" s="22"/>
      <c r="J933" s="22"/>
      <c r="K933" s="31"/>
      <c r="L933" s="22"/>
      <c r="M933" s="31"/>
      <c r="N933" s="22"/>
      <c r="O933" s="7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1"/>
      <c r="B934" s="52"/>
      <c r="C934" s="22"/>
      <c r="D934" s="31"/>
      <c r="E934" s="22"/>
      <c r="F934" s="22"/>
      <c r="G934" s="22"/>
      <c r="H934" s="22"/>
      <c r="I934" s="22"/>
      <c r="J934" s="22"/>
      <c r="K934" s="31"/>
      <c r="L934" s="22"/>
      <c r="M934" s="31"/>
      <c r="N934" s="22"/>
      <c r="O934" s="7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1"/>
      <c r="B935" s="52"/>
      <c r="C935" s="22"/>
      <c r="D935" s="31"/>
      <c r="E935" s="22"/>
      <c r="F935" s="22"/>
      <c r="G935" s="22"/>
      <c r="H935" s="22"/>
      <c r="I935" s="22"/>
      <c r="J935" s="22"/>
      <c r="K935" s="31"/>
      <c r="L935" s="22"/>
      <c r="M935" s="31"/>
      <c r="N935" s="22"/>
      <c r="O935" s="7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1"/>
      <c r="B936" s="52"/>
      <c r="C936" s="22"/>
      <c r="D936" s="31"/>
      <c r="E936" s="22"/>
      <c r="F936" s="22"/>
      <c r="G936" s="22"/>
      <c r="H936" s="22"/>
      <c r="I936" s="22"/>
      <c r="J936" s="22"/>
      <c r="K936" s="31"/>
      <c r="L936" s="22"/>
      <c r="M936" s="31"/>
      <c r="N936" s="22"/>
      <c r="O936" s="7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1"/>
      <c r="B937" s="52"/>
      <c r="C937" s="22"/>
      <c r="D937" s="31"/>
      <c r="E937" s="22"/>
      <c r="F937" s="22"/>
      <c r="G937" s="22"/>
      <c r="H937" s="22"/>
      <c r="I937" s="22"/>
      <c r="J937" s="22"/>
      <c r="K937" s="31"/>
      <c r="L937" s="22"/>
      <c r="M937" s="31"/>
      <c r="N937" s="22"/>
      <c r="O937" s="7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1"/>
      <c r="B938" s="52"/>
      <c r="C938" s="22"/>
      <c r="D938" s="31"/>
      <c r="E938" s="22"/>
      <c r="F938" s="22"/>
      <c r="G938" s="22"/>
      <c r="H938" s="22"/>
      <c r="I938" s="22"/>
      <c r="J938" s="22"/>
      <c r="K938" s="31"/>
      <c r="L938" s="22"/>
      <c r="M938" s="31"/>
      <c r="N938" s="22"/>
      <c r="O938" s="7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1"/>
      <c r="B939" s="52"/>
      <c r="C939" s="22"/>
      <c r="D939" s="31"/>
      <c r="E939" s="22"/>
      <c r="F939" s="22"/>
      <c r="G939" s="22"/>
      <c r="H939" s="22"/>
      <c r="I939" s="22"/>
      <c r="J939" s="22"/>
      <c r="K939" s="31"/>
      <c r="L939" s="22"/>
      <c r="M939" s="31"/>
      <c r="N939" s="22"/>
      <c r="O939" s="7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1"/>
      <c r="B940" s="52"/>
      <c r="C940" s="22"/>
      <c r="D940" s="31"/>
      <c r="E940" s="22"/>
      <c r="F940" s="22"/>
      <c r="G940" s="22"/>
      <c r="H940" s="22"/>
      <c r="I940" s="22"/>
      <c r="J940" s="22"/>
      <c r="K940" s="31"/>
      <c r="L940" s="22"/>
      <c r="M940" s="31"/>
      <c r="N940" s="22"/>
      <c r="O940" s="7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1"/>
      <c r="B941" s="52"/>
      <c r="C941" s="22"/>
      <c r="D941" s="31"/>
      <c r="E941" s="22"/>
      <c r="F941" s="22"/>
      <c r="G941" s="22"/>
      <c r="H941" s="22"/>
      <c r="I941" s="22"/>
      <c r="J941" s="22"/>
      <c r="K941" s="31"/>
      <c r="L941" s="22"/>
      <c r="M941" s="31"/>
      <c r="N941" s="22"/>
      <c r="O941" s="7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1"/>
      <c r="B942" s="52"/>
      <c r="C942" s="22"/>
      <c r="D942" s="31"/>
      <c r="E942" s="22"/>
      <c r="F942" s="22"/>
      <c r="G942" s="22"/>
      <c r="H942" s="22"/>
      <c r="I942" s="22"/>
      <c r="J942" s="22"/>
      <c r="K942" s="31"/>
      <c r="L942" s="22"/>
      <c r="M942" s="31"/>
      <c r="N942" s="22"/>
      <c r="O942" s="7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1"/>
      <c r="B943" s="52"/>
      <c r="C943" s="22"/>
      <c r="D943" s="31"/>
      <c r="E943" s="22"/>
      <c r="F943" s="22"/>
      <c r="G943" s="22"/>
      <c r="H943" s="22"/>
      <c r="I943" s="22"/>
      <c r="J943" s="22"/>
      <c r="K943" s="31"/>
      <c r="L943" s="22"/>
      <c r="M943" s="31"/>
      <c r="N943" s="22"/>
      <c r="O943" s="7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1"/>
      <c r="B944" s="52"/>
      <c r="C944" s="22"/>
      <c r="D944" s="31"/>
      <c r="E944" s="22"/>
      <c r="F944" s="22"/>
      <c r="G944" s="22"/>
      <c r="H944" s="22"/>
      <c r="I944" s="22"/>
      <c r="J944" s="22"/>
      <c r="K944" s="31"/>
      <c r="L944" s="22"/>
      <c r="M944" s="31"/>
      <c r="N944" s="22"/>
      <c r="O944" s="7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1"/>
      <c r="B945" s="52"/>
      <c r="C945" s="22"/>
      <c r="D945" s="31"/>
      <c r="E945" s="22"/>
      <c r="F945" s="22"/>
      <c r="G945" s="22"/>
      <c r="H945" s="22"/>
      <c r="I945" s="22"/>
      <c r="J945" s="22"/>
      <c r="K945" s="31"/>
      <c r="L945" s="22"/>
      <c r="M945" s="31"/>
      <c r="N945" s="22"/>
      <c r="O945" s="7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1"/>
      <c r="B946" s="52"/>
      <c r="C946" s="22"/>
      <c r="D946" s="31"/>
      <c r="E946" s="22"/>
      <c r="F946" s="22"/>
      <c r="G946" s="22"/>
      <c r="H946" s="22"/>
      <c r="I946" s="22"/>
      <c r="J946" s="22"/>
      <c r="K946" s="31"/>
      <c r="L946" s="22"/>
      <c r="M946" s="31"/>
      <c r="N946" s="22"/>
      <c r="O946" s="7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1"/>
      <c r="B947" s="52"/>
      <c r="C947" s="22"/>
      <c r="D947" s="31"/>
      <c r="E947" s="22"/>
      <c r="F947" s="22"/>
      <c r="G947" s="22"/>
      <c r="H947" s="22"/>
      <c r="I947" s="22"/>
      <c r="J947" s="22"/>
      <c r="K947" s="31"/>
      <c r="L947" s="22"/>
      <c r="M947" s="31"/>
      <c r="N947" s="22"/>
      <c r="O947" s="7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1"/>
      <c r="B948" s="52"/>
      <c r="C948" s="22"/>
      <c r="D948" s="31"/>
      <c r="E948" s="22"/>
      <c r="F948" s="22"/>
      <c r="G948" s="22"/>
      <c r="H948" s="22"/>
      <c r="I948" s="22"/>
      <c r="J948" s="22"/>
      <c r="K948" s="31"/>
      <c r="L948" s="22"/>
      <c r="M948" s="31"/>
      <c r="N948" s="22"/>
      <c r="O948" s="7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1"/>
      <c r="B949" s="52"/>
      <c r="C949" s="22"/>
      <c r="D949" s="31"/>
      <c r="E949" s="22"/>
      <c r="F949" s="22"/>
      <c r="G949" s="22"/>
      <c r="H949" s="22"/>
      <c r="I949" s="22"/>
      <c r="J949" s="22"/>
      <c r="K949" s="31"/>
      <c r="L949" s="22"/>
      <c r="M949" s="31"/>
      <c r="N949" s="22"/>
      <c r="O949" s="7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1"/>
      <c r="B950" s="52"/>
      <c r="C950" s="22"/>
      <c r="D950" s="31"/>
      <c r="E950" s="22"/>
      <c r="F950" s="22"/>
      <c r="G950" s="22"/>
      <c r="H950" s="22"/>
      <c r="I950" s="22"/>
      <c r="J950" s="22"/>
      <c r="K950" s="31"/>
      <c r="L950" s="22"/>
      <c r="M950" s="31"/>
      <c r="N950" s="22"/>
      <c r="O950" s="7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1"/>
      <c r="B951" s="52"/>
      <c r="C951" s="22"/>
      <c r="D951" s="31"/>
      <c r="E951" s="22"/>
      <c r="F951" s="22"/>
      <c r="G951" s="22"/>
      <c r="H951" s="22"/>
      <c r="I951" s="22"/>
      <c r="J951" s="22"/>
      <c r="K951" s="31"/>
      <c r="L951" s="22"/>
      <c r="M951" s="31"/>
      <c r="N951" s="22"/>
      <c r="O951" s="7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1"/>
      <c r="B952" s="52"/>
      <c r="C952" s="22"/>
      <c r="D952" s="31"/>
      <c r="E952" s="22"/>
      <c r="F952" s="22"/>
      <c r="G952" s="22"/>
      <c r="H952" s="22"/>
      <c r="I952" s="22"/>
      <c r="J952" s="22"/>
      <c r="K952" s="31"/>
      <c r="L952" s="22"/>
      <c r="M952" s="31"/>
      <c r="N952" s="22"/>
      <c r="O952" s="7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1"/>
      <c r="B953" s="52"/>
      <c r="C953" s="22"/>
      <c r="D953" s="31"/>
      <c r="E953" s="22"/>
      <c r="F953" s="22"/>
      <c r="G953" s="22"/>
      <c r="H953" s="22"/>
      <c r="I953" s="22"/>
      <c r="J953" s="22"/>
      <c r="K953" s="31"/>
      <c r="L953" s="22"/>
      <c r="M953" s="31"/>
      <c r="N953" s="22"/>
      <c r="O953" s="7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1"/>
      <c r="B954" s="52"/>
      <c r="C954" s="22"/>
      <c r="D954" s="31"/>
      <c r="E954" s="22"/>
      <c r="F954" s="22"/>
      <c r="G954" s="22"/>
      <c r="H954" s="22"/>
      <c r="I954" s="22"/>
      <c r="J954" s="22"/>
      <c r="K954" s="31"/>
      <c r="L954" s="22"/>
      <c r="M954" s="31"/>
      <c r="N954" s="22"/>
      <c r="O954" s="7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1"/>
      <c r="B955" s="52"/>
      <c r="C955" s="22"/>
      <c r="D955" s="31"/>
      <c r="E955" s="22"/>
      <c r="F955" s="22"/>
      <c r="G955" s="22"/>
      <c r="H955" s="22"/>
      <c r="I955" s="22"/>
      <c r="J955" s="22"/>
      <c r="K955" s="31"/>
      <c r="L955" s="22"/>
      <c r="M955" s="31"/>
      <c r="N955" s="22"/>
      <c r="O955" s="7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1"/>
      <c r="B956" s="52"/>
      <c r="C956" s="22"/>
      <c r="D956" s="31"/>
      <c r="E956" s="22"/>
      <c r="F956" s="22"/>
      <c r="G956" s="22"/>
      <c r="H956" s="22"/>
      <c r="I956" s="22"/>
      <c r="J956" s="22"/>
      <c r="K956" s="31"/>
      <c r="L956" s="22"/>
      <c r="M956" s="31"/>
      <c r="N956" s="22"/>
      <c r="O956" s="7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1"/>
      <c r="B957" s="52"/>
      <c r="C957" s="22"/>
      <c r="D957" s="31"/>
      <c r="E957" s="22"/>
      <c r="F957" s="22"/>
      <c r="G957" s="22"/>
      <c r="H957" s="22"/>
      <c r="I957" s="22"/>
      <c r="J957" s="22"/>
      <c r="K957" s="31"/>
      <c r="L957" s="22"/>
      <c r="M957" s="31"/>
      <c r="N957" s="22"/>
      <c r="O957" s="7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1"/>
      <c r="B958" s="52"/>
      <c r="C958" s="22"/>
      <c r="D958" s="31"/>
      <c r="E958" s="22"/>
      <c r="F958" s="22"/>
      <c r="G958" s="22"/>
      <c r="H958" s="22"/>
      <c r="I958" s="22"/>
      <c r="J958" s="22"/>
      <c r="K958" s="31"/>
      <c r="L958" s="22"/>
      <c r="M958" s="31"/>
      <c r="N958" s="22"/>
      <c r="O958" s="7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1"/>
      <c r="B959" s="52"/>
      <c r="C959" s="22"/>
      <c r="D959" s="31"/>
      <c r="E959" s="22"/>
      <c r="F959" s="22"/>
      <c r="G959" s="22"/>
      <c r="H959" s="22"/>
      <c r="I959" s="22"/>
      <c r="J959" s="22"/>
      <c r="K959" s="31"/>
      <c r="L959" s="22"/>
      <c r="M959" s="31"/>
      <c r="N959" s="22"/>
      <c r="O959" s="7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1"/>
      <c r="B960" s="52"/>
      <c r="C960" s="22"/>
      <c r="D960" s="31"/>
      <c r="E960" s="22"/>
      <c r="F960" s="22"/>
      <c r="G960" s="22"/>
      <c r="H960" s="22"/>
      <c r="I960" s="22"/>
      <c r="J960" s="22"/>
      <c r="K960" s="31"/>
      <c r="L960" s="22"/>
      <c r="M960" s="31"/>
      <c r="N960" s="22"/>
      <c r="O960" s="7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1"/>
      <c r="B961" s="52"/>
      <c r="C961" s="22"/>
      <c r="D961" s="31"/>
      <c r="E961" s="22"/>
      <c r="F961" s="22"/>
      <c r="G961" s="22"/>
      <c r="H961" s="22"/>
      <c r="I961" s="22"/>
      <c r="J961" s="22"/>
      <c r="K961" s="31"/>
      <c r="L961" s="22"/>
      <c r="M961" s="31"/>
      <c r="N961" s="22"/>
      <c r="O961" s="7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1"/>
      <c r="B962" s="52"/>
      <c r="C962" s="22"/>
      <c r="D962" s="31"/>
      <c r="E962" s="22"/>
      <c r="F962" s="22"/>
      <c r="G962" s="22"/>
      <c r="H962" s="22"/>
      <c r="I962" s="22"/>
      <c r="J962" s="22"/>
      <c r="K962" s="31"/>
      <c r="L962" s="22"/>
      <c r="M962" s="31"/>
      <c r="N962" s="22"/>
      <c r="O962" s="7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1"/>
      <c r="B963" s="52"/>
      <c r="C963" s="22"/>
      <c r="D963" s="31"/>
      <c r="E963" s="22"/>
      <c r="F963" s="22"/>
      <c r="G963" s="22"/>
      <c r="H963" s="22"/>
      <c r="I963" s="22"/>
      <c r="J963" s="22"/>
      <c r="K963" s="31"/>
      <c r="L963" s="22"/>
      <c r="M963" s="31"/>
      <c r="N963" s="22"/>
      <c r="O963" s="7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1"/>
      <c r="B964" s="52"/>
      <c r="C964" s="22"/>
      <c r="D964" s="31"/>
      <c r="E964" s="22"/>
      <c r="F964" s="22"/>
      <c r="G964" s="22"/>
      <c r="H964" s="22"/>
      <c r="I964" s="22"/>
      <c r="J964" s="22"/>
      <c r="K964" s="31"/>
      <c r="L964" s="22"/>
      <c r="M964" s="31"/>
      <c r="N964" s="22"/>
      <c r="O964" s="7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1"/>
      <c r="B965" s="52"/>
      <c r="C965" s="22"/>
      <c r="D965" s="31"/>
      <c r="E965" s="22"/>
      <c r="F965" s="22"/>
      <c r="G965" s="22"/>
      <c r="H965" s="22"/>
      <c r="I965" s="22"/>
      <c r="J965" s="22"/>
      <c r="K965" s="31"/>
      <c r="L965" s="22"/>
      <c r="M965" s="31"/>
      <c r="N965" s="22"/>
      <c r="O965" s="7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1"/>
      <c r="B966" s="52"/>
      <c r="C966" s="22"/>
      <c r="D966" s="31"/>
      <c r="E966" s="22"/>
      <c r="F966" s="22"/>
      <c r="G966" s="22"/>
      <c r="H966" s="22"/>
      <c r="I966" s="22"/>
      <c r="J966" s="22"/>
      <c r="K966" s="31"/>
      <c r="L966" s="22"/>
      <c r="M966" s="31"/>
      <c r="N966" s="22"/>
      <c r="O966" s="7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1"/>
      <c r="B967" s="52"/>
      <c r="C967" s="22"/>
      <c r="D967" s="31"/>
      <c r="E967" s="22"/>
      <c r="F967" s="22"/>
      <c r="G967" s="22"/>
      <c r="H967" s="22"/>
      <c r="I967" s="22"/>
      <c r="J967" s="22"/>
      <c r="K967" s="31"/>
      <c r="L967" s="22"/>
      <c r="M967" s="31"/>
      <c r="N967" s="22"/>
      <c r="O967" s="7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1"/>
      <c r="B968" s="52"/>
      <c r="C968" s="22"/>
      <c r="D968" s="31"/>
      <c r="E968" s="22"/>
      <c r="F968" s="22"/>
      <c r="G968" s="22"/>
      <c r="H968" s="22"/>
      <c r="I968" s="22"/>
      <c r="J968" s="22"/>
      <c r="K968" s="31"/>
      <c r="L968" s="22"/>
      <c r="M968" s="31"/>
      <c r="N968" s="22"/>
      <c r="O968" s="7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1"/>
      <c r="B969" s="52"/>
      <c r="C969" s="22"/>
      <c r="D969" s="31"/>
      <c r="E969" s="22"/>
      <c r="F969" s="22"/>
      <c r="G969" s="22"/>
      <c r="H969" s="22"/>
      <c r="I969" s="22"/>
      <c r="J969" s="22"/>
      <c r="K969" s="31"/>
      <c r="L969" s="22"/>
      <c r="M969" s="31"/>
      <c r="N969" s="22"/>
      <c r="O969" s="7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1"/>
      <c r="B970" s="52"/>
      <c r="C970" s="22"/>
      <c r="D970" s="31"/>
      <c r="E970" s="22"/>
      <c r="F970" s="22"/>
      <c r="G970" s="22"/>
      <c r="H970" s="22"/>
      <c r="I970" s="22"/>
      <c r="J970" s="22"/>
      <c r="K970" s="31"/>
      <c r="L970" s="22"/>
      <c r="M970" s="31"/>
      <c r="N970" s="22"/>
      <c r="O970" s="7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1"/>
      <c r="B971" s="52"/>
      <c r="C971" s="22"/>
      <c r="D971" s="31"/>
      <c r="E971" s="22"/>
      <c r="F971" s="22"/>
      <c r="G971" s="22"/>
      <c r="H971" s="22"/>
      <c r="I971" s="22"/>
      <c r="J971" s="22"/>
      <c r="K971" s="31"/>
      <c r="L971" s="22"/>
      <c r="M971" s="31"/>
      <c r="N971" s="22"/>
      <c r="O971" s="7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1"/>
      <c r="B972" s="52"/>
      <c r="C972" s="22"/>
      <c r="D972" s="31"/>
      <c r="E972" s="22"/>
      <c r="F972" s="22"/>
      <c r="G972" s="22"/>
      <c r="H972" s="22"/>
      <c r="I972" s="22"/>
      <c r="J972" s="22"/>
      <c r="K972" s="31"/>
      <c r="L972" s="22"/>
      <c r="M972" s="31"/>
      <c r="N972" s="22"/>
      <c r="O972" s="7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1"/>
      <c r="B973" s="52"/>
      <c r="C973" s="22"/>
      <c r="D973" s="31"/>
      <c r="E973" s="22"/>
      <c r="F973" s="22"/>
      <c r="G973" s="22"/>
      <c r="H973" s="22"/>
      <c r="I973" s="22"/>
      <c r="J973" s="22"/>
      <c r="K973" s="31"/>
      <c r="L973" s="22"/>
      <c r="M973" s="31"/>
      <c r="N973" s="22"/>
      <c r="O973" s="7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1"/>
      <c r="B974" s="52"/>
      <c r="C974" s="22"/>
      <c r="D974" s="31"/>
      <c r="E974" s="22"/>
      <c r="F974" s="22"/>
      <c r="G974" s="22"/>
      <c r="H974" s="22"/>
      <c r="I974" s="22"/>
      <c r="J974" s="22"/>
      <c r="K974" s="31"/>
      <c r="L974" s="22"/>
      <c r="M974" s="31"/>
      <c r="N974" s="22"/>
      <c r="O974" s="7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1"/>
      <c r="B975" s="52"/>
      <c r="C975" s="22"/>
      <c r="D975" s="31"/>
      <c r="E975" s="22"/>
      <c r="F975" s="22"/>
      <c r="G975" s="22"/>
      <c r="H975" s="22"/>
      <c r="I975" s="22"/>
      <c r="J975" s="22"/>
      <c r="K975" s="31"/>
      <c r="L975" s="22"/>
      <c r="M975" s="31"/>
      <c r="N975" s="22"/>
      <c r="O975" s="7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1"/>
      <c r="B976" s="52"/>
      <c r="C976" s="22"/>
      <c r="D976" s="31"/>
      <c r="E976" s="22"/>
      <c r="F976" s="22"/>
      <c r="G976" s="22"/>
      <c r="H976" s="22"/>
      <c r="I976" s="22"/>
      <c r="J976" s="22"/>
      <c r="K976" s="31"/>
      <c r="L976" s="22"/>
      <c r="M976" s="31"/>
      <c r="N976" s="22"/>
      <c r="O976" s="7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1"/>
      <c r="B977" s="52"/>
      <c r="C977" s="22"/>
      <c r="D977" s="31"/>
      <c r="E977" s="22"/>
      <c r="F977" s="22"/>
      <c r="G977" s="22"/>
      <c r="H977" s="22"/>
      <c r="I977" s="22"/>
      <c r="J977" s="22"/>
      <c r="K977" s="31"/>
      <c r="L977" s="22"/>
      <c r="M977" s="31"/>
      <c r="N977" s="22"/>
      <c r="O977" s="7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1"/>
      <c r="B978" s="52"/>
      <c r="C978" s="22"/>
      <c r="D978" s="31"/>
      <c r="E978" s="22"/>
      <c r="F978" s="22"/>
      <c r="G978" s="22"/>
      <c r="H978" s="22"/>
      <c r="I978" s="22"/>
      <c r="J978" s="22"/>
      <c r="K978" s="31"/>
      <c r="L978" s="22"/>
      <c r="M978" s="31"/>
      <c r="N978" s="22"/>
      <c r="O978" s="7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1"/>
      <c r="B979" s="52"/>
      <c r="C979" s="22"/>
      <c r="D979" s="31"/>
      <c r="E979" s="22"/>
      <c r="F979" s="22"/>
      <c r="G979" s="22"/>
      <c r="H979" s="22"/>
      <c r="I979" s="22"/>
      <c r="J979" s="22"/>
      <c r="K979" s="31"/>
      <c r="L979" s="22"/>
      <c r="M979" s="31"/>
      <c r="N979" s="22"/>
      <c r="O979" s="7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1"/>
      <c r="B980" s="52"/>
      <c r="C980" s="22"/>
      <c r="D980" s="31"/>
      <c r="E980" s="22"/>
      <c r="F980" s="22"/>
      <c r="G980" s="22"/>
      <c r="H980" s="22"/>
      <c r="I980" s="22"/>
      <c r="J980" s="22"/>
      <c r="K980" s="31"/>
      <c r="L980" s="22"/>
      <c r="M980" s="31"/>
      <c r="N980" s="22"/>
      <c r="O980" s="7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1"/>
      <c r="B981" s="52"/>
      <c r="C981" s="22"/>
      <c r="D981" s="31"/>
      <c r="E981" s="22"/>
      <c r="F981" s="22"/>
      <c r="G981" s="22"/>
      <c r="H981" s="22"/>
      <c r="I981" s="22"/>
      <c r="J981" s="22"/>
      <c r="K981" s="31"/>
      <c r="L981" s="22"/>
      <c r="M981" s="31"/>
      <c r="N981" s="22"/>
      <c r="O981" s="7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1"/>
      <c r="B982" s="52"/>
      <c r="C982" s="22"/>
      <c r="D982" s="31"/>
      <c r="E982" s="22"/>
      <c r="F982" s="22"/>
      <c r="G982" s="22"/>
      <c r="H982" s="22"/>
      <c r="I982" s="22"/>
      <c r="J982" s="22"/>
      <c r="K982" s="31"/>
      <c r="L982" s="22"/>
      <c r="M982" s="31"/>
      <c r="N982" s="22"/>
      <c r="O982" s="7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1"/>
      <c r="B983" s="52"/>
      <c r="C983" s="22"/>
      <c r="D983" s="31"/>
      <c r="E983" s="22"/>
      <c r="F983" s="22"/>
      <c r="G983" s="22"/>
      <c r="H983" s="22"/>
      <c r="I983" s="22"/>
      <c r="J983" s="22"/>
      <c r="K983" s="31"/>
      <c r="L983" s="22"/>
      <c r="M983" s="31"/>
      <c r="N983" s="22"/>
      <c r="O983" s="7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1"/>
      <c r="B984" s="52"/>
      <c r="C984" s="22"/>
      <c r="D984" s="31"/>
      <c r="E984" s="22"/>
      <c r="F984" s="22"/>
      <c r="G984" s="22"/>
      <c r="H984" s="22"/>
      <c r="I984" s="22"/>
      <c r="J984" s="22"/>
      <c r="K984" s="31"/>
      <c r="L984" s="22"/>
      <c r="M984" s="31"/>
      <c r="N984" s="22"/>
      <c r="O984" s="7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1"/>
      <c r="B985" s="52"/>
      <c r="C985" s="22"/>
      <c r="D985" s="31"/>
      <c r="E985" s="22"/>
      <c r="F985" s="22"/>
      <c r="G985" s="22"/>
      <c r="H985" s="22"/>
      <c r="I985" s="22"/>
      <c r="J985" s="22"/>
      <c r="K985" s="31"/>
      <c r="L985" s="22"/>
      <c r="M985" s="31"/>
      <c r="N985" s="22"/>
      <c r="O985" s="7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31"/>
      <c r="B986" s="52"/>
      <c r="C986" s="22"/>
      <c r="D986" s="31"/>
      <c r="E986" s="22"/>
      <c r="F986" s="22"/>
      <c r="G986" s="22"/>
      <c r="H986" s="22"/>
      <c r="I986" s="22"/>
      <c r="J986" s="22"/>
      <c r="K986" s="31"/>
      <c r="L986" s="22"/>
      <c r="M986" s="31"/>
      <c r="N986" s="22"/>
      <c r="O986" s="7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31"/>
      <c r="B987" s="52"/>
      <c r="C987" s="22"/>
      <c r="D987" s="31"/>
      <c r="E987" s="22"/>
      <c r="F987" s="22"/>
      <c r="G987" s="22"/>
      <c r="H987" s="22"/>
      <c r="I987" s="22"/>
      <c r="J987" s="22"/>
      <c r="K987" s="31"/>
      <c r="L987" s="22"/>
      <c r="M987" s="31"/>
      <c r="N987" s="22"/>
      <c r="O987" s="7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31"/>
      <c r="B988" s="52"/>
      <c r="C988" s="22"/>
      <c r="D988" s="31"/>
      <c r="E988" s="22"/>
      <c r="F988" s="22"/>
      <c r="G988" s="22"/>
      <c r="H988" s="22"/>
      <c r="I988" s="22"/>
      <c r="J988" s="22"/>
      <c r="K988" s="31"/>
      <c r="L988" s="22"/>
      <c r="M988" s="31"/>
      <c r="N988" s="22"/>
      <c r="O988" s="7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31"/>
      <c r="B989" s="52"/>
      <c r="C989" s="22"/>
      <c r="D989" s="31"/>
      <c r="E989" s="22"/>
      <c r="F989" s="22"/>
      <c r="G989" s="22"/>
      <c r="H989" s="22"/>
      <c r="I989" s="22"/>
      <c r="J989" s="22"/>
      <c r="K989" s="31"/>
      <c r="L989" s="22"/>
      <c r="M989" s="31"/>
      <c r="N989" s="22"/>
      <c r="O989" s="7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31"/>
      <c r="B990" s="52"/>
      <c r="C990" s="22"/>
      <c r="D990" s="31"/>
      <c r="E990" s="22"/>
      <c r="F990" s="22"/>
      <c r="G990" s="22"/>
      <c r="H990" s="22"/>
      <c r="I990" s="22"/>
      <c r="J990" s="22"/>
      <c r="K990" s="31"/>
      <c r="L990" s="22"/>
      <c r="M990" s="31"/>
      <c r="N990" s="22"/>
      <c r="O990" s="7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31"/>
      <c r="B991" s="52"/>
      <c r="C991" s="22"/>
      <c r="D991" s="31"/>
      <c r="E991" s="22"/>
      <c r="F991" s="22"/>
      <c r="G991" s="22"/>
      <c r="H991" s="22"/>
      <c r="I991" s="22"/>
      <c r="J991" s="22"/>
      <c r="K991" s="31"/>
      <c r="L991" s="22"/>
      <c r="M991" s="31"/>
      <c r="N991" s="22"/>
      <c r="O991" s="7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31"/>
      <c r="B992" s="52"/>
      <c r="C992" s="22"/>
      <c r="D992" s="31"/>
      <c r="E992" s="22"/>
      <c r="F992" s="22"/>
      <c r="G992" s="22"/>
      <c r="H992" s="22"/>
      <c r="I992" s="22"/>
      <c r="J992" s="22"/>
      <c r="K992" s="31"/>
      <c r="L992" s="22"/>
      <c r="M992" s="31"/>
      <c r="N992" s="22"/>
      <c r="O992" s="7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31"/>
      <c r="B993" s="52"/>
      <c r="C993" s="22"/>
      <c r="D993" s="31"/>
      <c r="E993" s="22"/>
      <c r="F993" s="22"/>
      <c r="G993" s="22"/>
      <c r="H993" s="22"/>
      <c r="I993" s="22"/>
      <c r="J993" s="22"/>
      <c r="K993" s="31"/>
      <c r="L993" s="22"/>
      <c r="M993" s="31"/>
      <c r="N993" s="22"/>
      <c r="O993" s="7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31"/>
      <c r="B994" s="52"/>
      <c r="C994" s="22"/>
      <c r="D994" s="31"/>
      <c r="E994" s="22"/>
      <c r="F994" s="22"/>
      <c r="G994" s="22"/>
      <c r="H994" s="22"/>
      <c r="I994" s="22"/>
      <c r="J994" s="22"/>
      <c r="K994" s="31"/>
      <c r="L994" s="22"/>
      <c r="M994" s="31"/>
      <c r="N994" s="22"/>
      <c r="O994" s="7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1"/>
      <c r="B995" s="52"/>
      <c r="C995" s="22"/>
      <c r="D995" s="31"/>
      <c r="E995" s="22"/>
      <c r="F995" s="22"/>
      <c r="G995" s="22"/>
      <c r="H995" s="22"/>
      <c r="I995" s="22"/>
      <c r="J995" s="22"/>
      <c r="K995" s="31"/>
      <c r="L995" s="22"/>
      <c r="M995" s="31"/>
      <c r="N995" s="22"/>
      <c r="O995" s="7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31"/>
      <c r="B996" s="52"/>
      <c r="C996" s="22"/>
      <c r="D996" s="31"/>
      <c r="E996" s="22"/>
      <c r="F996" s="22"/>
      <c r="G996" s="22"/>
      <c r="H996" s="22"/>
      <c r="I996" s="22"/>
      <c r="J996" s="22"/>
      <c r="K996" s="31"/>
      <c r="L996" s="22"/>
      <c r="M996" s="31"/>
      <c r="N996" s="22"/>
      <c r="O996" s="7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31"/>
      <c r="B997" s="52"/>
      <c r="C997" s="22"/>
      <c r="D997" s="31"/>
      <c r="E997" s="22"/>
      <c r="F997" s="22"/>
      <c r="G997" s="22"/>
      <c r="H997" s="22"/>
      <c r="I997" s="22"/>
      <c r="J997" s="22"/>
      <c r="K997" s="31"/>
      <c r="L997" s="22"/>
      <c r="M997" s="31"/>
      <c r="N997" s="22"/>
      <c r="O997" s="7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0"/>
      <c r="B1001" s="11"/>
      <c r="C1001" s="12"/>
      <c r="D1001" s="10"/>
      <c r="E1001" s="12"/>
      <c r="F1001" s="12"/>
      <c r="G1001" s="12"/>
      <c r="H1001" s="12"/>
      <c r="I1001" s="12"/>
      <c r="J1001" s="12"/>
      <c r="K1001" s="10"/>
      <c r="L1001" s="12"/>
      <c r="M1001" s="10"/>
      <c r="N1001" s="12"/>
      <c r="O1001" s="9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0"/>
      <c r="B1002" s="11"/>
      <c r="C1002" s="12"/>
      <c r="D1002" s="10"/>
      <c r="E1002" s="12"/>
      <c r="F1002" s="12"/>
      <c r="G1002" s="12"/>
      <c r="H1002" s="12"/>
      <c r="I1002" s="12"/>
      <c r="J1002" s="12"/>
      <c r="K1002" s="10"/>
      <c r="L1002" s="12"/>
      <c r="M1002" s="10"/>
      <c r="N1002" s="12"/>
      <c r="O1002" s="9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0"/>
      <c r="B1003" s="11"/>
      <c r="C1003" s="12"/>
      <c r="D1003" s="10"/>
      <c r="E1003" s="12"/>
      <c r="F1003" s="12"/>
      <c r="G1003" s="12"/>
      <c r="H1003" s="12"/>
      <c r="I1003" s="12"/>
      <c r="J1003" s="12"/>
      <c r="K1003" s="10"/>
      <c r="L1003" s="12"/>
      <c r="M1003" s="10"/>
      <c r="N1003" s="12"/>
      <c r="O1003" s="9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0"/>
      <c r="B1004" s="11"/>
      <c r="C1004" s="12"/>
      <c r="D1004" s="10"/>
      <c r="E1004" s="12"/>
      <c r="F1004" s="12"/>
      <c r="G1004" s="12"/>
      <c r="H1004" s="12"/>
      <c r="I1004" s="12"/>
      <c r="J1004" s="12"/>
      <c r="K1004" s="10"/>
      <c r="L1004" s="12"/>
      <c r="M1004" s="10"/>
      <c r="N1004" s="12"/>
      <c r="O1004" s="9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0"/>
      <c r="B1005" s="11"/>
      <c r="C1005" s="12"/>
      <c r="D1005" s="10"/>
      <c r="E1005" s="12"/>
      <c r="F1005" s="12"/>
      <c r="G1005" s="12"/>
      <c r="H1005" s="12"/>
      <c r="I1005" s="12"/>
      <c r="J1005" s="12"/>
      <c r="K1005" s="10"/>
      <c r="L1005" s="12"/>
      <c r="M1005" s="10"/>
      <c r="N1005" s="12"/>
      <c r="O1005" s="9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0"/>
      <c r="B1006" s="11"/>
      <c r="C1006" s="12"/>
      <c r="D1006" s="10"/>
      <c r="E1006" s="12"/>
      <c r="F1006" s="12"/>
      <c r="G1006" s="12"/>
      <c r="H1006" s="12"/>
      <c r="I1006" s="12"/>
      <c r="J1006" s="12"/>
      <c r="K1006" s="10"/>
      <c r="L1006" s="12"/>
      <c r="M1006" s="10"/>
      <c r="N1006" s="12"/>
      <c r="O1006" s="9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0"/>
      <c r="B1007" s="11"/>
      <c r="C1007" s="12"/>
      <c r="D1007" s="10"/>
      <c r="E1007" s="12"/>
      <c r="F1007" s="12"/>
      <c r="G1007" s="12"/>
      <c r="H1007" s="12"/>
      <c r="I1007" s="12"/>
      <c r="J1007" s="12"/>
      <c r="K1007" s="10"/>
      <c r="L1007" s="12"/>
      <c r="M1007" s="10"/>
      <c r="N1007" s="12"/>
      <c r="O1007" s="9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0"/>
      <c r="B1008" s="11"/>
      <c r="C1008" s="12"/>
      <c r="D1008" s="10"/>
      <c r="E1008" s="12"/>
      <c r="F1008" s="12"/>
      <c r="G1008" s="12"/>
      <c r="H1008" s="12"/>
      <c r="I1008" s="12"/>
      <c r="J1008" s="12"/>
      <c r="K1008" s="10"/>
      <c r="L1008" s="12"/>
      <c r="M1008" s="10"/>
      <c r="N1008" s="12"/>
      <c r="O1008" s="9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0"/>
      <c r="B1009" s="11"/>
      <c r="C1009" s="12"/>
      <c r="D1009" s="10"/>
      <c r="E1009" s="12"/>
      <c r="F1009" s="12"/>
      <c r="G1009" s="12"/>
      <c r="H1009" s="12"/>
      <c r="I1009" s="12"/>
      <c r="J1009" s="12"/>
      <c r="K1009" s="10"/>
      <c r="L1009" s="12"/>
      <c r="M1009" s="10"/>
      <c r="N1009" s="12"/>
      <c r="O1009" s="9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0"/>
      <c r="B1010" s="11"/>
      <c r="C1010" s="12"/>
      <c r="D1010" s="10"/>
      <c r="E1010" s="12"/>
      <c r="F1010" s="12"/>
      <c r="G1010" s="12"/>
      <c r="H1010" s="12"/>
      <c r="I1010" s="12"/>
      <c r="J1010" s="12"/>
      <c r="K1010" s="10"/>
      <c r="L1010" s="12"/>
      <c r="M1010" s="10"/>
      <c r="N1010" s="12"/>
      <c r="O1010" s="9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9"/>
      <c r="B1011" s="99"/>
      <c r="C1011" s="26"/>
      <c r="D1011" s="19"/>
      <c r="E1011" s="26"/>
      <c r="F1011" s="26"/>
      <c r="G1011" s="26"/>
      <c r="H1011" s="26"/>
      <c r="I1011" s="26"/>
      <c r="J1011" s="26"/>
      <c r="K1011" s="19"/>
      <c r="L1011" s="26"/>
      <c r="M1011" s="19"/>
      <c r="N1011" s="26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9"/>
      <c r="B1012" s="99"/>
      <c r="C1012" s="26"/>
      <c r="D1012" s="19"/>
      <c r="E1012" s="26"/>
      <c r="F1012" s="26"/>
      <c r="G1012" s="26"/>
      <c r="H1012" s="26"/>
      <c r="I1012" s="26"/>
      <c r="J1012" s="26"/>
      <c r="K1012" s="19"/>
      <c r="L1012" s="26"/>
      <c r="M1012" s="19"/>
      <c r="N1012" s="26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19"/>
      <c r="B1013" s="99"/>
      <c r="C1013" s="26"/>
      <c r="D1013" s="19"/>
      <c r="E1013" s="26"/>
      <c r="F1013" s="26"/>
      <c r="G1013" s="26"/>
      <c r="H1013" s="26"/>
      <c r="I1013" s="26"/>
      <c r="J1013" s="26"/>
      <c r="K1013" s="19"/>
      <c r="L1013" s="26"/>
      <c r="M1013" s="19"/>
      <c r="N1013" s="26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19"/>
      <c r="B1014" s="99"/>
      <c r="C1014" s="26"/>
      <c r="D1014" s="19"/>
      <c r="E1014" s="26"/>
      <c r="F1014" s="26"/>
      <c r="G1014" s="26"/>
      <c r="H1014" s="26"/>
      <c r="I1014" s="26"/>
      <c r="J1014" s="26"/>
      <c r="K1014" s="19"/>
      <c r="L1014" s="26"/>
      <c r="M1014" s="19"/>
      <c r="N1014" s="26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19"/>
      <c r="B1015" s="99"/>
      <c r="C1015" s="26"/>
      <c r="D1015" s="19"/>
      <c r="E1015" s="26"/>
      <c r="F1015" s="26"/>
      <c r="G1015" s="26"/>
      <c r="H1015" s="26"/>
      <c r="I1015" s="26"/>
      <c r="J1015" s="26"/>
      <c r="K1015" s="19"/>
      <c r="L1015" s="26"/>
      <c r="M1015" s="19"/>
      <c r="N1015" s="26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19"/>
      <c r="B1016" s="99"/>
      <c r="C1016" s="26"/>
      <c r="D1016" s="19"/>
      <c r="E1016" s="26"/>
      <c r="F1016" s="26"/>
      <c r="G1016" s="26"/>
      <c r="H1016" s="26"/>
      <c r="I1016" s="26"/>
      <c r="J1016" s="26"/>
      <c r="K1016" s="19"/>
      <c r="L1016" s="26"/>
      <c r="M1016" s="19"/>
      <c r="N1016" s="26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19"/>
      <c r="B1017" s="99"/>
      <c r="C1017" s="26"/>
      <c r="D1017" s="19"/>
      <c r="E1017" s="26"/>
      <c r="F1017" s="26"/>
      <c r="G1017" s="26"/>
      <c r="H1017" s="26"/>
      <c r="I1017" s="26"/>
      <c r="J1017" s="26"/>
      <c r="K1017" s="19"/>
      <c r="L1017" s="26"/>
      <c r="M1017" s="19"/>
      <c r="N1017" s="26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19"/>
      <c r="B1018" s="99"/>
      <c r="C1018" s="26"/>
      <c r="D1018" s="19"/>
      <c r="E1018" s="26"/>
      <c r="F1018" s="26"/>
      <c r="G1018" s="26"/>
      <c r="H1018" s="26"/>
      <c r="I1018" s="26"/>
      <c r="J1018" s="26"/>
      <c r="K1018" s="19"/>
      <c r="L1018" s="26"/>
      <c r="M1018" s="19"/>
      <c r="N1018" s="26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19"/>
      <c r="B1019" s="99"/>
      <c r="C1019" s="26"/>
      <c r="D1019" s="19"/>
      <c r="E1019" s="26"/>
      <c r="F1019" s="26"/>
      <c r="G1019" s="26"/>
      <c r="H1019" s="26"/>
      <c r="I1019" s="26"/>
      <c r="J1019" s="26"/>
      <c r="K1019" s="19"/>
      <c r="L1019" s="26"/>
      <c r="M1019" s="19"/>
      <c r="N1019" s="26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19"/>
      <c r="B1020" s="99"/>
      <c r="C1020" s="26"/>
      <c r="D1020" s="19"/>
      <c r="E1020" s="26"/>
      <c r="F1020" s="26"/>
      <c r="G1020" s="26"/>
      <c r="H1020" s="26"/>
      <c r="I1020" s="26"/>
      <c r="J1020" s="26"/>
      <c r="K1020" s="19"/>
      <c r="L1020" s="26"/>
      <c r="M1020" s="19"/>
      <c r="N1020" s="26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19"/>
      <c r="B1021" s="99"/>
      <c r="C1021" s="26"/>
      <c r="D1021" s="19"/>
      <c r="E1021" s="26"/>
      <c r="F1021" s="26"/>
      <c r="G1021" s="26"/>
      <c r="H1021" s="26"/>
      <c r="I1021" s="26"/>
      <c r="J1021" s="26"/>
      <c r="K1021" s="19"/>
      <c r="L1021" s="26"/>
      <c r="M1021" s="19"/>
      <c r="N1021" s="26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19"/>
      <c r="B1022" s="99"/>
      <c r="C1022" s="26"/>
      <c r="D1022" s="19"/>
      <c r="E1022" s="26"/>
      <c r="F1022" s="26"/>
      <c r="G1022" s="26"/>
      <c r="H1022" s="26"/>
      <c r="I1022" s="26"/>
      <c r="J1022" s="26"/>
      <c r="K1022" s="19"/>
      <c r="L1022" s="26"/>
      <c r="M1022" s="19"/>
      <c r="N1022" s="26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19"/>
      <c r="B1023" s="99"/>
      <c r="C1023" s="26"/>
      <c r="D1023" s="19"/>
      <c r="E1023" s="26"/>
      <c r="F1023" s="26"/>
      <c r="G1023" s="26"/>
      <c r="H1023" s="26"/>
      <c r="I1023" s="26"/>
      <c r="J1023" s="26"/>
      <c r="K1023" s="19"/>
      <c r="L1023" s="26"/>
      <c r="M1023" s="19"/>
      <c r="N1023" s="26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19"/>
      <c r="B1024" s="99"/>
      <c r="C1024" s="26"/>
      <c r="D1024" s="19"/>
      <c r="E1024" s="26"/>
      <c r="F1024" s="26"/>
      <c r="G1024" s="26"/>
      <c r="H1024" s="26"/>
      <c r="I1024" s="26"/>
      <c r="J1024" s="26"/>
      <c r="K1024" s="19"/>
      <c r="L1024" s="26"/>
      <c r="M1024" s="19"/>
      <c r="N1024" s="26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19"/>
      <c r="B1025" s="99"/>
      <c r="C1025" s="26"/>
      <c r="D1025" s="19"/>
      <c r="E1025" s="26"/>
      <c r="F1025" s="26"/>
      <c r="G1025" s="26"/>
      <c r="H1025" s="26"/>
      <c r="I1025" s="26"/>
      <c r="J1025" s="26"/>
      <c r="K1025" s="19"/>
      <c r="L1025" s="26"/>
      <c r="M1025" s="19"/>
      <c r="N1025" s="26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19"/>
      <c r="B1026" s="99"/>
      <c r="C1026" s="26"/>
      <c r="D1026" s="19"/>
      <c r="E1026" s="26"/>
      <c r="F1026" s="26"/>
      <c r="G1026" s="26"/>
      <c r="H1026" s="26"/>
      <c r="I1026" s="26"/>
      <c r="J1026" s="26"/>
      <c r="K1026" s="19"/>
      <c r="L1026" s="26"/>
      <c r="M1026" s="19"/>
      <c r="N1026" s="26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19"/>
      <c r="B1027" s="99"/>
      <c r="C1027" s="26"/>
      <c r="D1027" s="19"/>
      <c r="E1027" s="26"/>
      <c r="F1027" s="26"/>
      <c r="G1027" s="26"/>
      <c r="H1027" s="26"/>
      <c r="I1027" s="26"/>
      <c r="J1027" s="26"/>
      <c r="K1027" s="19"/>
      <c r="L1027" s="26"/>
      <c r="M1027" s="19"/>
      <c r="N1027" s="26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19"/>
      <c r="B1028" s="99"/>
      <c r="C1028" s="26"/>
      <c r="D1028" s="19"/>
      <c r="E1028" s="26"/>
      <c r="F1028" s="26"/>
      <c r="G1028" s="26"/>
      <c r="H1028" s="26"/>
      <c r="I1028" s="26"/>
      <c r="J1028" s="26"/>
      <c r="K1028" s="19"/>
      <c r="L1028" s="26"/>
      <c r="M1028" s="19"/>
      <c r="N1028" s="26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19"/>
      <c r="B1029" s="99"/>
      <c r="C1029" s="26"/>
      <c r="D1029" s="19"/>
      <c r="E1029" s="26"/>
      <c r="F1029" s="26"/>
      <c r="G1029" s="26"/>
      <c r="H1029" s="26"/>
      <c r="I1029" s="26"/>
      <c r="J1029" s="26"/>
      <c r="K1029" s="19"/>
      <c r="L1029" s="26"/>
      <c r="M1029" s="19"/>
      <c r="N1029" s="26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19"/>
      <c r="B1030" s="99"/>
      <c r="C1030" s="26"/>
      <c r="D1030" s="19"/>
      <c r="E1030" s="26"/>
      <c r="F1030" s="26"/>
      <c r="G1030" s="26"/>
      <c r="H1030" s="26"/>
      <c r="I1030" s="26"/>
      <c r="J1030" s="26"/>
      <c r="K1030" s="19"/>
      <c r="L1030" s="26"/>
      <c r="M1030" s="19"/>
      <c r="N1030" s="26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19"/>
      <c r="B1031" s="99"/>
      <c r="C1031" s="26"/>
      <c r="D1031" s="19"/>
      <c r="E1031" s="26"/>
      <c r="F1031" s="26"/>
      <c r="G1031" s="26"/>
      <c r="H1031" s="26"/>
      <c r="I1031" s="26"/>
      <c r="J1031" s="26"/>
      <c r="K1031" s="19"/>
      <c r="L1031" s="26"/>
      <c r="M1031" s="19"/>
      <c r="N1031" s="26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19"/>
      <c r="B1032" s="99"/>
      <c r="C1032" s="26"/>
      <c r="D1032" s="19"/>
      <c r="E1032" s="26"/>
      <c r="F1032" s="26"/>
      <c r="G1032" s="26"/>
      <c r="H1032" s="26"/>
      <c r="I1032" s="26"/>
      <c r="J1032" s="26"/>
      <c r="K1032" s="19"/>
      <c r="L1032" s="26"/>
      <c r="M1032" s="19"/>
      <c r="N1032" s="26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19"/>
      <c r="B1033" s="99"/>
      <c r="C1033" s="26"/>
      <c r="D1033" s="19"/>
      <c r="E1033" s="26"/>
      <c r="F1033" s="26"/>
      <c r="G1033" s="26"/>
      <c r="H1033" s="26"/>
      <c r="I1033" s="26"/>
      <c r="J1033" s="26"/>
      <c r="K1033" s="19"/>
      <c r="L1033" s="26"/>
      <c r="M1033" s="19"/>
      <c r="N1033" s="26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19"/>
      <c r="B1034" s="99"/>
      <c r="C1034" s="26"/>
      <c r="D1034" s="19"/>
      <c r="E1034" s="26"/>
      <c r="F1034" s="26"/>
      <c r="G1034" s="26"/>
      <c r="H1034" s="26"/>
      <c r="I1034" s="26"/>
      <c r="J1034" s="26"/>
      <c r="K1034" s="19"/>
      <c r="L1034" s="26"/>
      <c r="M1034" s="19"/>
      <c r="N1034" s="26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19"/>
      <c r="B1035" s="99"/>
      <c r="C1035" s="26"/>
      <c r="D1035" s="19"/>
      <c r="E1035" s="26"/>
      <c r="F1035" s="26"/>
      <c r="G1035" s="26"/>
      <c r="H1035" s="26"/>
      <c r="I1035" s="26"/>
      <c r="J1035" s="26"/>
      <c r="K1035" s="19"/>
      <c r="L1035" s="26"/>
      <c r="M1035" s="19"/>
      <c r="N1035" s="26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19"/>
      <c r="B1036" s="99"/>
      <c r="C1036" s="26"/>
      <c r="D1036" s="19"/>
      <c r="E1036" s="26"/>
      <c r="F1036" s="26"/>
      <c r="G1036" s="26"/>
      <c r="H1036" s="26"/>
      <c r="I1036" s="26"/>
      <c r="J1036" s="26"/>
      <c r="K1036" s="19"/>
      <c r="L1036" s="26"/>
      <c r="M1036" s="19"/>
      <c r="N1036" s="26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19"/>
      <c r="B1037" s="99"/>
      <c r="C1037" s="26"/>
      <c r="D1037" s="19"/>
      <c r="E1037" s="26"/>
      <c r="F1037" s="26"/>
      <c r="G1037" s="26"/>
      <c r="H1037" s="26"/>
      <c r="I1037" s="26"/>
      <c r="J1037" s="26"/>
      <c r="K1037" s="19"/>
      <c r="L1037" s="26"/>
      <c r="M1037" s="19"/>
      <c r="N1037" s="26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19"/>
      <c r="B1038" s="99"/>
      <c r="C1038" s="26"/>
      <c r="D1038" s="19"/>
      <c r="E1038" s="26"/>
      <c r="F1038" s="26"/>
      <c r="G1038" s="26"/>
      <c r="H1038" s="26"/>
      <c r="I1038" s="26"/>
      <c r="J1038" s="26"/>
      <c r="K1038" s="19"/>
      <c r="L1038" s="26"/>
      <c r="M1038" s="19"/>
      <c r="N1038" s="26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19"/>
      <c r="B1039" s="99"/>
      <c r="C1039" s="26"/>
      <c r="D1039" s="19"/>
      <c r="E1039" s="26"/>
      <c r="F1039" s="26"/>
      <c r="G1039" s="26"/>
      <c r="H1039" s="26"/>
      <c r="I1039" s="26"/>
      <c r="J1039" s="26"/>
      <c r="K1039" s="19"/>
      <c r="L1039" s="26"/>
      <c r="M1039" s="19"/>
      <c r="N1039" s="26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19"/>
      <c r="B1040" s="99"/>
      <c r="C1040" s="26"/>
      <c r="D1040" s="19"/>
      <c r="E1040" s="26"/>
      <c r="F1040" s="26"/>
      <c r="G1040" s="26"/>
      <c r="H1040" s="26"/>
      <c r="I1040" s="26"/>
      <c r="J1040" s="26"/>
      <c r="K1040" s="19"/>
      <c r="L1040" s="26"/>
      <c r="M1040" s="19"/>
      <c r="N1040" s="26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19"/>
      <c r="B1041" s="99"/>
      <c r="C1041" s="26"/>
      <c r="D1041" s="19"/>
      <c r="E1041" s="26"/>
      <c r="F1041" s="26"/>
      <c r="G1041" s="26"/>
      <c r="H1041" s="26"/>
      <c r="I1041" s="26"/>
      <c r="J1041" s="26"/>
      <c r="K1041" s="19"/>
      <c r="L1041" s="26"/>
      <c r="M1041" s="19"/>
      <c r="N1041" s="26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19"/>
      <c r="B1042" s="99"/>
      <c r="C1042" s="26"/>
      <c r="D1042" s="19"/>
      <c r="E1042" s="26"/>
      <c r="F1042" s="26"/>
      <c r="G1042" s="26"/>
      <c r="H1042" s="26"/>
      <c r="I1042" s="26"/>
      <c r="J1042" s="26"/>
      <c r="K1042" s="19"/>
      <c r="L1042" s="26"/>
      <c r="M1042" s="19"/>
      <c r="N1042" s="26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19"/>
      <c r="B1043" s="99"/>
      <c r="C1043" s="26"/>
      <c r="D1043" s="19"/>
      <c r="E1043" s="26"/>
      <c r="F1043" s="26"/>
      <c r="G1043" s="26"/>
      <c r="H1043" s="26"/>
      <c r="I1043" s="26"/>
      <c r="J1043" s="26"/>
      <c r="K1043" s="19"/>
      <c r="L1043" s="26"/>
      <c r="M1043" s="19"/>
      <c r="N1043" s="26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19"/>
      <c r="B1044" s="99"/>
      <c r="C1044" s="26"/>
      <c r="D1044" s="19"/>
      <c r="E1044" s="26"/>
      <c r="F1044" s="26"/>
      <c r="G1044" s="26"/>
      <c r="H1044" s="26"/>
      <c r="I1044" s="26"/>
      <c r="J1044" s="26"/>
      <c r="K1044" s="19"/>
      <c r="L1044" s="26"/>
      <c r="M1044" s="19"/>
      <c r="N1044" s="26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19"/>
      <c r="B1045" s="99"/>
      <c r="C1045" s="26"/>
      <c r="D1045" s="19"/>
      <c r="E1045" s="26"/>
      <c r="F1045" s="26"/>
      <c r="G1045" s="26"/>
      <c r="H1045" s="26"/>
      <c r="I1045" s="26"/>
      <c r="J1045" s="26"/>
      <c r="K1045" s="19"/>
      <c r="L1045" s="26"/>
      <c r="M1045" s="19"/>
      <c r="N1045" s="26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19"/>
      <c r="B1046" s="99"/>
      <c r="C1046" s="26"/>
      <c r="D1046" s="19"/>
      <c r="E1046" s="26"/>
      <c r="F1046" s="26"/>
      <c r="G1046" s="26"/>
      <c r="H1046" s="26"/>
      <c r="I1046" s="26"/>
      <c r="J1046" s="26"/>
      <c r="K1046" s="19"/>
      <c r="L1046" s="26"/>
      <c r="M1046" s="19"/>
      <c r="N1046" s="26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19"/>
      <c r="B1047" s="99"/>
      <c r="C1047" s="26"/>
      <c r="D1047" s="19"/>
      <c r="E1047" s="26"/>
      <c r="F1047" s="26"/>
      <c r="G1047" s="26"/>
      <c r="H1047" s="26"/>
      <c r="I1047" s="26"/>
      <c r="J1047" s="26"/>
      <c r="K1047" s="19"/>
      <c r="L1047" s="26"/>
      <c r="M1047" s="19"/>
      <c r="N1047" s="26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19"/>
      <c r="B1048" s="99"/>
      <c r="C1048" s="26"/>
      <c r="D1048" s="19"/>
      <c r="E1048" s="26"/>
      <c r="F1048" s="26"/>
      <c r="G1048" s="26"/>
      <c r="H1048" s="26"/>
      <c r="I1048" s="26"/>
      <c r="J1048" s="26"/>
      <c r="K1048" s="19"/>
      <c r="L1048" s="26"/>
      <c r="M1048" s="19"/>
      <c r="N1048" s="26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19"/>
      <c r="B1049" s="99"/>
      <c r="C1049" s="26"/>
      <c r="D1049" s="19"/>
      <c r="E1049" s="26"/>
      <c r="F1049" s="26"/>
      <c r="G1049" s="26"/>
      <c r="H1049" s="26"/>
      <c r="I1049" s="26"/>
      <c r="J1049" s="26"/>
      <c r="K1049" s="19"/>
      <c r="L1049" s="26"/>
      <c r="M1049" s="19"/>
      <c r="N1049" s="26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19"/>
      <c r="B1050" s="99"/>
      <c r="C1050" s="26"/>
      <c r="D1050" s="19"/>
      <c r="E1050" s="26"/>
      <c r="F1050" s="26"/>
      <c r="G1050" s="26"/>
      <c r="H1050" s="26"/>
      <c r="I1050" s="26"/>
      <c r="J1050" s="26"/>
      <c r="K1050" s="19"/>
      <c r="L1050" s="26"/>
      <c r="M1050" s="19"/>
      <c r="N1050" s="26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19"/>
      <c r="B1051" s="99"/>
      <c r="C1051" s="26"/>
      <c r="D1051" s="19"/>
      <c r="E1051" s="26"/>
      <c r="F1051" s="26"/>
      <c r="G1051" s="26"/>
      <c r="H1051" s="26"/>
      <c r="I1051" s="26"/>
      <c r="J1051" s="26"/>
      <c r="K1051" s="19"/>
      <c r="L1051" s="26"/>
      <c r="M1051" s="19"/>
      <c r="N1051" s="26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19"/>
      <c r="B1052" s="99"/>
      <c r="C1052" s="26"/>
      <c r="D1052" s="19"/>
      <c r="E1052" s="26"/>
      <c r="F1052" s="26"/>
      <c r="G1052" s="26"/>
      <c r="H1052" s="26"/>
      <c r="I1052" s="26"/>
      <c r="J1052" s="26"/>
      <c r="K1052" s="19"/>
      <c r="L1052" s="26"/>
      <c r="M1052" s="19"/>
      <c r="N1052" s="26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19"/>
      <c r="B1053" s="99"/>
      <c r="C1053" s="26"/>
      <c r="D1053" s="19"/>
      <c r="E1053" s="26"/>
      <c r="F1053" s="26"/>
      <c r="G1053" s="26"/>
      <c r="H1053" s="26"/>
      <c r="I1053" s="26"/>
      <c r="J1053" s="26"/>
      <c r="K1053" s="19"/>
      <c r="L1053" s="26"/>
      <c r="M1053" s="19"/>
      <c r="N1053" s="26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19"/>
      <c r="B1054" s="99"/>
      <c r="C1054" s="26"/>
      <c r="D1054" s="19"/>
      <c r="E1054" s="26"/>
      <c r="F1054" s="26"/>
      <c r="G1054" s="26"/>
      <c r="H1054" s="26"/>
      <c r="I1054" s="26"/>
      <c r="J1054" s="26"/>
      <c r="K1054" s="19"/>
      <c r="L1054" s="26"/>
      <c r="M1054" s="19"/>
      <c r="N1054" s="26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19"/>
      <c r="B1055" s="99"/>
      <c r="C1055" s="26"/>
      <c r="D1055" s="19"/>
      <c r="E1055" s="26"/>
      <c r="F1055" s="26"/>
      <c r="G1055" s="26"/>
      <c r="H1055" s="26"/>
      <c r="I1055" s="26"/>
      <c r="J1055" s="26"/>
      <c r="K1055" s="19"/>
      <c r="L1055" s="26"/>
      <c r="M1055" s="19"/>
      <c r="N1055" s="26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19"/>
      <c r="B1056" s="99"/>
      <c r="C1056" s="26"/>
      <c r="D1056" s="19"/>
      <c r="E1056" s="26"/>
      <c r="F1056" s="26"/>
      <c r="G1056" s="26"/>
      <c r="H1056" s="26"/>
      <c r="I1056" s="26"/>
      <c r="J1056" s="26"/>
      <c r="K1056" s="19"/>
      <c r="L1056" s="26"/>
      <c r="M1056" s="19"/>
      <c r="N1056" s="26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19"/>
      <c r="B1057" s="99"/>
      <c r="C1057" s="26"/>
      <c r="D1057" s="19"/>
      <c r="E1057" s="26"/>
      <c r="F1057" s="26"/>
      <c r="G1057" s="26"/>
      <c r="H1057" s="26"/>
      <c r="I1057" s="26"/>
      <c r="J1057" s="26"/>
      <c r="K1057" s="19"/>
      <c r="L1057" s="26"/>
      <c r="M1057" s="19"/>
      <c r="N1057" s="26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19"/>
      <c r="B1058" s="99"/>
      <c r="C1058" s="26"/>
      <c r="D1058" s="19"/>
      <c r="E1058" s="26"/>
      <c r="F1058" s="26"/>
      <c r="G1058" s="26"/>
      <c r="H1058" s="26"/>
      <c r="I1058" s="26"/>
      <c r="J1058" s="26"/>
      <c r="K1058" s="19"/>
      <c r="L1058" s="26"/>
      <c r="M1058" s="19"/>
      <c r="N1058" s="26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19"/>
      <c r="B1059" s="99"/>
      <c r="C1059" s="26"/>
      <c r="D1059" s="19"/>
      <c r="E1059" s="26"/>
      <c r="F1059" s="26"/>
      <c r="G1059" s="26"/>
      <c r="H1059" s="26"/>
      <c r="I1059" s="26"/>
      <c r="J1059" s="26"/>
      <c r="K1059" s="19"/>
      <c r="L1059" s="26"/>
      <c r="M1059" s="19"/>
      <c r="N1059" s="26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19"/>
      <c r="B1060" s="99"/>
      <c r="C1060" s="26"/>
      <c r="D1060" s="19"/>
      <c r="E1060" s="26"/>
      <c r="F1060" s="26"/>
      <c r="G1060" s="26"/>
      <c r="H1060" s="26"/>
      <c r="I1060" s="26"/>
      <c r="J1060" s="26"/>
      <c r="K1060" s="19"/>
      <c r="L1060" s="26"/>
      <c r="M1060" s="19"/>
      <c r="N1060" s="26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19"/>
      <c r="B1061" s="99"/>
      <c r="C1061" s="26"/>
      <c r="D1061" s="19"/>
      <c r="E1061" s="26"/>
      <c r="F1061" s="26"/>
      <c r="G1061" s="26"/>
      <c r="H1061" s="26"/>
      <c r="I1061" s="26"/>
      <c r="J1061" s="26"/>
      <c r="K1061" s="19"/>
      <c r="L1061" s="26"/>
      <c r="M1061" s="19"/>
      <c r="N1061" s="26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19"/>
      <c r="B1062" s="99"/>
      <c r="C1062" s="26"/>
      <c r="D1062" s="19"/>
      <c r="E1062" s="26"/>
      <c r="F1062" s="26"/>
      <c r="G1062" s="26"/>
      <c r="H1062" s="26"/>
      <c r="I1062" s="26"/>
      <c r="J1062" s="26"/>
      <c r="K1062" s="19"/>
      <c r="L1062" s="26"/>
      <c r="M1062" s="19"/>
      <c r="N1062" s="26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19"/>
      <c r="B1063" s="99"/>
      <c r="C1063" s="26"/>
      <c r="D1063" s="19"/>
      <c r="E1063" s="26"/>
      <c r="F1063" s="26"/>
      <c r="G1063" s="26"/>
      <c r="H1063" s="26"/>
      <c r="I1063" s="26"/>
      <c r="J1063" s="26"/>
      <c r="K1063" s="19"/>
      <c r="L1063" s="26"/>
      <c r="M1063" s="19"/>
      <c r="N1063" s="26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19"/>
      <c r="B1064" s="99"/>
      <c r="C1064" s="26"/>
      <c r="D1064" s="19"/>
      <c r="E1064" s="26"/>
      <c r="F1064" s="26"/>
      <c r="G1064" s="26"/>
      <c r="H1064" s="26"/>
      <c r="I1064" s="26"/>
      <c r="J1064" s="26"/>
      <c r="K1064" s="19"/>
      <c r="L1064" s="26"/>
      <c r="M1064" s="19"/>
      <c r="N1064" s="26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19"/>
      <c r="B1065" s="99"/>
      <c r="C1065" s="26"/>
      <c r="D1065" s="19"/>
      <c r="E1065" s="26"/>
      <c r="F1065" s="26"/>
      <c r="G1065" s="26"/>
      <c r="H1065" s="26"/>
      <c r="I1065" s="26"/>
      <c r="J1065" s="26"/>
      <c r="K1065" s="19"/>
      <c r="L1065" s="26"/>
      <c r="M1065" s="19"/>
      <c r="N1065" s="26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19"/>
      <c r="B1066" s="99"/>
      <c r="C1066" s="26"/>
      <c r="D1066" s="19"/>
      <c r="E1066" s="26"/>
      <c r="F1066" s="26"/>
      <c r="G1066" s="26"/>
      <c r="H1066" s="26"/>
      <c r="I1066" s="26"/>
      <c r="J1066" s="26"/>
      <c r="K1066" s="19"/>
      <c r="L1066" s="26"/>
      <c r="M1066" s="19"/>
      <c r="N1066" s="26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19"/>
      <c r="B1067" s="99"/>
      <c r="C1067" s="26"/>
      <c r="D1067" s="19"/>
      <c r="E1067" s="26"/>
      <c r="F1067" s="26"/>
      <c r="G1067" s="26"/>
      <c r="H1067" s="26"/>
      <c r="I1067" s="26"/>
      <c r="J1067" s="26"/>
      <c r="K1067" s="19"/>
      <c r="L1067" s="26"/>
      <c r="M1067" s="19"/>
      <c r="N1067" s="26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19"/>
      <c r="B1068" s="99"/>
      <c r="C1068" s="26"/>
      <c r="D1068" s="19"/>
      <c r="E1068" s="26"/>
      <c r="F1068" s="26"/>
      <c r="G1068" s="26"/>
      <c r="H1068" s="26"/>
      <c r="I1068" s="26"/>
      <c r="J1068" s="26"/>
      <c r="K1068" s="19"/>
      <c r="L1068" s="26"/>
      <c r="M1068" s="19"/>
      <c r="N1068" s="26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19"/>
      <c r="B1069" s="99"/>
      <c r="C1069" s="26"/>
      <c r="D1069" s="19"/>
      <c r="E1069" s="26"/>
      <c r="F1069" s="26"/>
      <c r="G1069" s="26"/>
      <c r="H1069" s="26"/>
      <c r="I1069" s="26"/>
      <c r="J1069" s="26"/>
      <c r="K1069" s="19"/>
      <c r="L1069" s="26"/>
      <c r="M1069" s="19"/>
      <c r="N1069" s="26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19"/>
      <c r="B1070" s="99"/>
      <c r="C1070" s="26"/>
      <c r="D1070" s="19"/>
      <c r="E1070" s="26"/>
      <c r="F1070" s="26"/>
      <c r="G1070" s="26"/>
      <c r="H1070" s="26"/>
      <c r="I1070" s="26"/>
      <c r="J1070" s="26"/>
      <c r="K1070" s="19"/>
      <c r="L1070" s="26"/>
      <c r="M1070" s="19"/>
      <c r="N1070" s="26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19"/>
      <c r="B1071" s="99"/>
      <c r="C1071" s="26"/>
      <c r="D1071" s="19"/>
      <c r="E1071" s="26"/>
      <c r="F1071" s="26"/>
      <c r="G1071" s="26"/>
      <c r="H1071" s="26"/>
      <c r="I1071" s="26"/>
      <c r="J1071" s="26"/>
      <c r="K1071" s="19"/>
      <c r="L1071" s="26"/>
      <c r="M1071" s="19"/>
      <c r="N1071" s="26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19"/>
      <c r="B1072" s="99"/>
      <c r="C1072" s="26"/>
      <c r="D1072" s="19"/>
      <c r="E1072" s="26"/>
      <c r="F1072" s="26"/>
      <c r="G1072" s="26"/>
      <c r="H1072" s="26"/>
      <c r="I1072" s="26"/>
      <c r="J1072" s="26"/>
      <c r="K1072" s="19"/>
      <c r="L1072" s="26"/>
      <c r="M1072" s="19"/>
      <c r="N1072" s="26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19"/>
      <c r="B1073" s="99"/>
      <c r="C1073" s="26"/>
      <c r="D1073" s="19"/>
      <c r="E1073" s="26"/>
      <c r="F1073" s="26"/>
      <c r="G1073" s="26"/>
      <c r="H1073" s="26"/>
      <c r="I1073" s="26"/>
      <c r="J1073" s="26"/>
      <c r="K1073" s="19"/>
      <c r="L1073" s="26"/>
      <c r="M1073" s="19"/>
      <c r="N1073" s="26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19"/>
      <c r="B1074" s="99"/>
      <c r="C1074" s="26"/>
      <c r="D1074" s="19"/>
      <c r="E1074" s="26"/>
      <c r="F1074" s="26"/>
      <c r="G1074" s="26"/>
      <c r="H1074" s="26"/>
      <c r="I1074" s="26"/>
      <c r="J1074" s="26"/>
      <c r="K1074" s="19"/>
      <c r="L1074" s="26"/>
      <c r="M1074" s="19"/>
      <c r="N1074" s="26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19"/>
      <c r="B1075" s="99"/>
      <c r="C1075" s="26"/>
      <c r="D1075" s="19"/>
      <c r="E1075" s="26"/>
      <c r="F1075" s="26"/>
      <c r="G1075" s="26"/>
      <c r="H1075" s="26"/>
      <c r="I1075" s="26"/>
      <c r="J1075" s="26"/>
      <c r="K1075" s="19"/>
      <c r="L1075" s="26"/>
      <c r="M1075" s="19"/>
      <c r="N1075" s="26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19"/>
      <c r="B1076" s="99"/>
      <c r="C1076" s="26"/>
      <c r="D1076" s="19"/>
      <c r="E1076" s="26"/>
      <c r="F1076" s="26"/>
      <c r="G1076" s="26"/>
      <c r="H1076" s="26"/>
      <c r="I1076" s="26"/>
      <c r="J1076" s="26"/>
      <c r="K1076" s="19"/>
      <c r="L1076" s="26"/>
      <c r="M1076" s="19"/>
      <c r="N1076" s="26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19"/>
      <c r="B1077" s="99"/>
      <c r="C1077" s="26"/>
      <c r="D1077" s="19"/>
      <c r="E1077" s="26"/>
      <c r="F1077" s="26"/>
      <c r="G1077" s="26"/>
      <c r="H1077" s="26"/>
      <c r="I1077" s="26"/>
      <c r="J1077" s="26"/>
      <c r="K1077" s="19"/>
      <c r="L1077" s="26"/>
      <c r="M1077" s="19"/>
      <c r="N1077" s="26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19"/>
      <c r="B1078" s="99"/>
      <c r="C1078" s="26"/>
      <c r="D1078" s="19"/>
      <c r="E1078" s="26"/>
      <c r="F1078" s="26"/>
      <c r="G1078" s="26"/>
      <c r="H1078" s="26"/>
      <c r="I1078" s="26"/>
      <c r="J1078" s="26"/>
      <c r="K1078" s="19"/>
      <c r="L1078" s="26"/>
      <c r="M1078" s="19"/>
      <c r="N1078" s="26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19"/>
      <c r="B1079" s="99"/>
      <c r="C1079" s="26"/>
      <c r="D1079" s="19"/>
      <c r="E1079" s="26"/>
      <c r="F1079" s="26"/>
      <c r="G1079" s="26"/>
      <c r="H1079" s="26"/>
      <c r="I1079" s="26"/>
      <c r="J1079" s="26"/>
      <c r="K1079" s="19"/>
      <c r="L1079" s="26"/>
      <c r="M1079" s="19"/>
      <c r="N1079" s="26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19"/>
      <c r="B1080" s="99"/>
      <c r="C1080" s="26"/>
      <c r="D1080" s="19"/>
      <c r="E1080" s="26"/>
      <c r="F1080" s="26"/>
      <c r="G1080" s="26"/>
      <c r="H1080" s="26"/>
      <c r="I1080" s="26"/>
      <c r="J1080" s="26"/>
      <c r="K1080" s="19"/>
      <c r="L1080" s="26"/>
      <c r="M1080" s="19"/>
      <c r="N1080" s="26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19"/>
      <c r="B1081" s="99"/>
      <c r="C1081" s="26"/>
      <c r="D1081" s="19"/>
      <c r="E1081" s="26"/>
      <c r="F1081" s="26"/>
      <c r="G1081" s="26"/>
      <c r="H1081" s="26"/>
      <c r="I1081" s="26"/>
      <c r="J1081" s="26"/>
      <c r="K1081" s="19"/>
      <c r="L1081" s="26"/>
      <c r="M1081" s="19"/>
      <c r="N1081" s="26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19"/>
      <c r="B1082" s="99"/>
      <c r="C1082" s="26"/>
      <c r="D1082" s="19"/>
      <c r="E1082" s="26"/>
      <c r="F1082" s="26"/>
      <c r="G1082" s="26"/>
      <c r="H1082" s="26"/>
      <c r="I1082" s="26"/>
      <c r="J1082" s="26"/>
      <c r="K1082" s="19"/>
      <c r="L1082" s="26"/>
      <c r="M1082" s="19"/>
      <c r="N1082" s="26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19"/>
      <c r="B1083" s="99"/>
      <c r="C1083" s="26"/>
      <c r="D1083" s="19"/>
      <c r="E1083" s="26"/>
      <c r="F1083" s="26"/>
      <c r="G1083" s="26"/>
      <c r="H1083" s="26"/>
      <c r="I1083" s="26"/>
      <c r="J1083" s="26"/>
      <c r="K1083" s="19"/>
      <c r="L1083" s="26"/>
      <c r="M1083" s="19"/>
      <c r="N1083" s="26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19"/>
      <c r="B1084" s="99"/>
      <c r="C1084" s="26"/>
      <c r="D1084" s="19"/>
      <c r="E1084" s="26"/>
      <c r="F1084" s="26"/>
      <c r="G1084" s="26"/>
      <c r="H1084" s="26"/>
      <c r="I1084" s="26"/>
      <c r="J1084" s="26"/>
      <c r="K1084" s="19"/>
      <c r="L1084" s="26"/>
      <c r="M1084" s="19"/>
      <c r="N1084" s="26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19"/>
      <c r="B1085" s="99"/>
      <c r="C1085" s="26"/>
      <c r="D1085" s="19"/>
      <c r="E1085" s="26"/>
      <c r="F1085" s="26"/>
      <c r="G1085" s="26"/>
      <c r="H1085" s="26"/>
      <c r="I1085" s="26"/>
      <c r="J1085" s="26"/>
      <c r="K1085" s="19"/>
      <c r="L1085" s="26"/>
      <c r="M1085" s="19"/>
      <c r="N1085" s="26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19"/>
      <c r="B1086" s="99"/>
      <c r="C1086" s="26"/>
      <c r="D1086" s="19"/>
      <c r="E1086" s="26"/>
      <c r="F1086" s="26"/>
      <c r="G1086" s="26"/>
      <c r="H1086" s="26"/>
      <c r="I1086" s="26"/>
      <c r="J1086" s="26"/>
      <c r="K1086" s="19"/>
      <c r="L1086" s="26"/>
      <c r="M1086" s="19"/>
      <c r="N1086" s="26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19"/>
      <c r="B1087" s="99"/>
      <c r="C1087" s="26"/>
      <c r="D1087" s="19"/>
      <c r="E1087" s="26"/>
      <c r="F1087" s="26"/>
      <c r="G1087" s="26"/>
      <c r="H1087" s="26"/>
      <c r="I1087" s="26"/>
      <c r="J1087" s="26"/>
      <c r="K1087" s="19"/>
      <c r="L1087" s="26"/>
      <c r="M1087" s="19"/>
      <c r="N1087" s="26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19"/>
      <c r="B1088" s="99"/>
      <c r="C1088" s="26"/>
      <c r="D1088" s="19"/>
      <c r="E1088" s="26"/>
      <c r="F1088" s="26"/>
      <c r="G1088" s="26"/>
      <c r="H1088" s="26"/>
      <c r="I1088" s="26"/>
      <c r="J1088" s="26"/>
      <c r="K1088" s="19"/>
      <c r="L1088" s="26"/>
      <c r="M1088" s="19"/>
      <c r="N1088" s="26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19"/>
      <c r="B1089" s="99"/>
      <c r="C1089" s="26"/>
      <c r="D1089" s="19"/>
      <c r="E1089" s="26"/>
      <c r="F1089" s="26"/>
      <c r="G1089" s="26"/>
      <c r="H1089" s="26"/>
      <c r="I1089" s="26"/>
      <c r="J1089" s="26"/>
      <c r="K1089" s="19"/>
      <c r="L1089" s="26"/>
      <c r="M1089" s="19"/>
      <c r="N1089" s="26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19"/>
      <c r="B1090" s="99"/>
      <c r="C1090" s="26"/>
      <c r="D1090" s="19"/>
      <c r="E1090" s="26"/>
      <c r="F1090" s="26"/>
      <c r="G1090" s="26"/>
      <c r="H1090" s="26"/>
      <c r="I1090" s="26"/>
      <c r="J1090" s="26"/>
      <c r="K1090" s="19"/>
      <c r="L1090" s="26"/>
      <c r="M1090" s="19"/>
      <c r="N1090" s="26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19"/>
      <c r="B1091" s="99"/>
      <c r="C1091" s="26"/>
      <c r="D1091" s="19"/>
      <c r="E1091" s="26"/>
      <c r="F1091" s="26"/>
      <c r="G1091" s="26"/>
      <c r="H1091" s="26"/>
      <c r="I1091" s="26"/>
      <c r="J1091" s="26"/>
      <c r="K1091" s="19"/>
      <c r="L1091" s="26"/>
      <c r="M1091" s="19"/>
      <c r="N1091" s="26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19"/>
      <c r="B1092" s="99"/>
      <c r="C1092" s="26"/>
      <c r="D1092" s="19"/>
      <c r="E1092" s="26"/>
      <c r="F1092" s="26"/>
      <c r="G1092" s="26"/>
      <c r="H1092" s="26"/>
      <c r="I1092" s="26"/>
      <c r="J1092" s="26"/>
      <c r="K1092" s="19"/>
      <c r="L1092" s="26"/>
      <c r="M1092" s="19"/>
      <c r="N1092" s="26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19"/>
      <c r="B1093" s="99"/>
      <c r="C1093" s="26"/>
      <c r="D1093" s="19"/>
      <c r="E1093" s="26"/>
      <c r="F1093" s="26"/>
      <c r="G1093" s="26"/>
      <c r="H1093" s="26"/>
      <c r="I1093" s="26"/>
      <c r="J1093" s="26"/>
      <c r="K1093" s="19"/>
      <c r="L1093" s="26"/>
      <c r="M1093" s="19"/>
      <c r="N1093" s="26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19"/>
      <c r="B1094" s="99"/>
      <c r="C1094" s="26"/>
      <c r="D1094" s="19"/>
      <c r="E1094" s="26"/>
      <c r="F1094" s="26"/>
      <c r="G1094" s="26"/>
      <c r="H1094" s="26"/>
      <c r="I1094" s="26"/>
      <c r="J1094" s="26"/>
      <c r="K1094" s="19"/>
      <c r="L1094" s="26"/>
      <c r="M1094" s="19"/>
      <c r="N1094" s="26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19"/>
      <c r="B1095" s="99"/>
      <c r="C1095" s="26"/>
      <c r="D1095" s="19"/>
      <c r="E1095" s="26"/>
      <c r="F1095" s="26"/>
      <c r="G1095" s="26"/>
      <c r="H1095" s="26"/>
      <c r="I1095" s="26"/>
      <c r="J1095" s="26"/>
      <c r="K1095" s="19"/>
      <c r="L1095" s="26"/>
      <c r="M1095" s="19"/>
      <c r="N1095" s="26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19"/>
      <c r="B1096" s="99"/>
      <c r="C1096" s="26"/>
      <c r="D1096" s="19"/>
      <c r="E1096" s="26"/>
      <c r="F1096" s="26"/>
      <c r="G1096" s="26"/>
      <c r="H1096" s="26"/>
      <c r="I1096" s="26"/>
      <c r="J1096" s="26"/>
      <c r="K1096" s="19"/>
      <c r="L1096" s="26"/>
      <c r="M1096" s="19"/>
      <c r="N1096" s="26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19"/>
      <c r="B1097" s="99"/>
      <c r="C1097" s="26"/>
      <c r="D1097" s="19"/>
      <c r="E1097" s="26"/>
      <c r="F1097" s="26"/>
      <c r="G1097" s="26"/>
      <c r="H1097" s="26"/>
      <c r="I1097" s="26"/>
      <c r="J1097" s="26"/>
      <c r="K1097" s="19"/>
      <c r="L1097" s="26"/>
      <c r="M1097" s="19"/>
      <c r="N1097" s="26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19"/>
      <c r="B1098" s="99"/>
      <c r="C1098" s="26"/>
      <c r="D1098" s="19"/>
      <c r="E1098" s="26"/>
      <c r="F1098" s="26"/>
      <c r="G1098" s="26"/>
      <c r="H1098" s="26"/>
      <c r="I1098" s="26"/>
      <c r="J1098" s="26"/>
      <c r="K1098" s="19"/>
      <c r="L1098" s="26"/>
      <c r="M1098" s="19"/>
      <c r="N1098" s="26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19"/>
      <c r="B1099" s="99"/>
      <c r="C1099" s="26"/>
      <c r="D1099" s="19"/>
      <c r="E1099" s="26"/>
      <c r="F1099" s="26"/>
      <c r="G1099" s="26"/>
      <c r="H1099" s="26"/>
      <c r="I1099" s="26"/>
      <c r="J1099" s="26"/>
      <c r="K1099" s="19"/>
      <c r="L1099" s="26"/>
      <c r="M1099" s="19"/>
      <c r="N1099" s="26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19"/>
      <c r="B1100" s="99"/>
      <c r="C1100" s="26"/>
      <c r="D1100" s="19"/>
      <c r="E1100" s="26"/>
      <c r="F1100" s="26"/>
      <c r="G1100" s="26"/>
      <c r="H1100" s="26"/>
      <c r="I1100" s="26"/>
      <c r="J1100" s="26"/>
      <c r="K1100" s="19"/>
      <c r="L1100" s="26"/>
      <c r="M1100" s="19"/>
      <c r="N1100" s="26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19"/>
      <c r="B1101" s="99"/>
      <c r="C1101" s="26"/>
      <c r="D1101" s="19"/>
      <c r="E1101" s="26"/>
      <c r="F1101" s="26"/>
      <c r="G1101" s="26"/>
      <c r="H1101" s="26"/>
      <c r="I1101" s="26"/>
      <c r="J1101" s="26"/>
      <c r="K1101" s="19"/>
      <c r="L1101" s="26"/>
      <c r="M1101" s="19"/>
      <c r="N1101" s="26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19"/>
      <c r="B1102" s="99"/>
      <c r="C1102" s="26"/>
      <c r="D1102" s="19"/>
      <c r="E1102" s="26"/>
      <c r="F1102" s="26"/>
      <c r="G1102" s="26"/>
      <c r="H1102" s="26"/>
      <c r="I1102" s="26"/>
      <c r="J1102" s="26"/>
      <c r="K1102" s="19"/>
      <c r="L1102" s="26"/>
      <c r="M1102" s="19"/>
      <c r="N1102" s="26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19"/>
      <c r="B1103" s="99"/>
      <c r="C1103" s="26"/>
      <c r="D1103" s="19"/>
      <c r="E1103" s="26"/>
      <c r="F1103" s="26"/>
      <c r="G1103" s="26"/>
      <c r="H1103" s="26"/>
      <c r="I1103" s="26"/>
      <c r="J1103" s="26"/>
      <c r="K1103" s="19"/>
      <c r="L1103" s="26"/>
      <c r="M1103" s="19"/>
      <c r="N1103" s="26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19"/>
      <c r="B1104" s="99"/>
      <c r="C1104" s="26"/>
      <c r="D1104" s="19"/>
      <c r="E1104" s="26"/>
      <c r="F1104" s="26"/>
      <c r="G1104" s="26"/>
      <c r="H1104" s="26"/>
      <c r="I1104" s="26"/>
      <c r="J1104" s="26"/>
      <c r="K1104" s="19"/>
      <c r="L1104" s="26"/>
      <c r="M1104" s="19"/>
      <c r="N1104" s="26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19"/>
      <c r="B1105" s="99"/>
      <c r="C1105" s="26"/>
      <c r="D1105" s="19"/>
      <c r="E1105" s="26"/>
      <c r="F1105" s="26"/>
      <c r="G1105" s="26"/>
      <c r="H1105" s="26"/>
      <c r="I1105" s="26"/>
      <c r="J1105" s="26"/>
      <c r="K1105" s="19"/>
      <c r="L1105" s="26"/>
      <c r="M1105" s="19"/>
      <c r="N1105" s="26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19"/>
      <c r="B1106" s="99"/>
      <c r="C1106" s="26"/>
      <c r="D1106" s="19"/>
      <c r="E1106" s="26"/>
      <c r="F1106" s="26"/>
      <c r="G1106" s="26"/>
      <c r="H1106" s="26"/>
      <c r="I1106" s="26"/>
      <c r="J1106" s="26"/>
      <c r="K1106" s="19"/>
      <c r="L1106" s="26"/>
      <c r="M1106" s="19"/>
      <c r="N1106" s="26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19"/>
      <c r="B1107" s="99"/>
      <c r="C1107" s="26"/>
      <c r="D1107" s="19"/>
      <c r="E1107" s="26"/>
      <c r="F1107" s="26"/>
      <c r="G1107" s="26"/>
      <c r="H1107" s="26"/>
      <c r="I1107" s="26"/>
      <c r="J1107" s="26"/>
      <c r="K1107" s="19"/>
      <c r="L1107" s="26"/>
      <c r="M1107" s="19"/>
      <c r="N1107" s="26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19"/>
      <c r="B1108" s="99"/>
      <c r="C1108" s="26"/>
      <c r="D1108" s="19"/>
      <c r="E1108" s="26"/>
      <c r="F1108" s="26"/>
      <c r="G1108" s="26"/>
      <c r="H1108" s="26"/>
      <c r="I1108" s="26"/>
      <c r="J1108" s="26"/>
      <c r="K1108" s="19"/>
      <c r="L1108" s="26"/>
      <c r="M1108" s="19"/>
      <c r="N1108" s="26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19"/>
      <c r="B1109" s="99"/>
      <c r="C1109" s="26"/>
      <c r="D1109" s="19"/>
      <c r="E1109" s="26"/>
      <c r="F1109" s="26"/>
      <c r="G1109" s="26"/>
      <c r="H1109" s="26"/>
      <c r="I1109" s="26"/>
      <c r="J1109" s="26"/>
      <c r="K1109" s="19"/>
      <c r="L1109" s="26"/>
      <c r="M1109" s="19"/>
      <c r="N1109" s="26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19"/>
      <c r="B1110" s="99"/>
      <c r="C1110" s="26"/>
      <c r="D1110" s="19"/>
      <c r="E1110" s="26"/>
      <c r="F1110" s="26"/>
      <c r="G1110" s="26"/>
      <c r="H1110" s="26"/>
      <c r="I1110" s="26"/>
      <c r="J1110" s="26"/>
      <c r="K1110" s="19"/>
      <c r="L1110" s="26"/>
      <c r="M1110" s="19"/>
      <c r="N1110" s="26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19"/>
      <c r="B1111" s="99"/>
      <c r="C1111" s="26"/>
      <c r="D1111" s="19"/>
      <c r="E1111" s="26"/>
      <c r="F1111" s="26"/>
      <c r="G1111" s="26"/>
      <c r="H1111" s="26"/>
      <c r="I1111" s="26"/>
      <c r="J1111" s="26"/>
      <c r="K1111" s="19"/>
      <c r="L1111" s="26"/>
      <c r="M1111" s="19"/>
      <c r="N1111" s="26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19"/>
      <c r="B1112" s="99"/>
      <c r="C1112" s="26"/>
      <c r="D1112" s="19"/>
      <c r="E1112" s="26"/>
      <c r="F1112" s="26"/>
      <c r="G1112" s="26"/>
      <c r="H1112" s="26"/>
      <c r="I1112" s="26"/>
      <c r="J1112" s="26"/>
      <c r="K1112" s="19"/>
      <c r="L1112" s="26"/>
      <c r="M1112" s="19"/>
      <c r="N1112" s="26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19"/>
      <c r="B1113" s="99"/>
      <c r="C1113" s="26"/>
      <c r="D1113" s="19"/>
      <c r="E1113" s="26"/>
      <c r="F1113" s="26"/>
      <c r="G1113" s="26"/>
      <c r="H1113" s="26"/>
      <c r="I1113" s="26"/>
      <c r="J1113" s="26"/>
      <c r="K1113" s="19"/>
      <c r="L1113" s="26"/>
      <c r="M1113" s="19"/>
      <c r="N1113" s="26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19"/>
      <c r="B1114" s="99"/>
      <c r="C1114" s="26"/>
      <c r="D1114" s="19"/>
      <c r="E1114" s="26"/>
      <c r="F1114" s="26"/>
      <c r="G1114" s="26"/>
      <c r="H1114" s="26"/>
      <c r="I1114" s="26"/>
      <c r="J1114" s="26"/>
      <c r="K1114" s="19"/>
      <c r="L1114" s="26"/>
      <c r="M1114" s="19"/>
      <c r="N1114" s="26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19"/>
      <c r="B1115" s="99"/>
      <c r="C1115" s="26"/>
      <c r="D1115" s="19"/>
      <c r="E1115" s="26"/>
      <c r="F1115" s="26"/>
      <c r="G1115" s="26"/>
      <c r="H1115" s="26"/>
      <c r="I1115" s="26"/>
      <c r="J1115" s="26"/>
      <c r="K1115" s="19"/>
      <c r="L1115" s="26"/>
      <c r="M1115" s="19"/>
      <c r="N1115" s="26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19"/>
      <c r="B1116" s="99"/>
      <c r="C1116" s="26"/>
      <c r="D1116" s="19"/>
      <c r="E1116" s="26"/>
      <c r="F1116" s="26"/>
      <c r="G1116" s="26"/>
      <c r="H1116" s="26"/>
      <c r="I1116" s="26"/>
      <c r="J1116" s="26"/>
      <c r="K1116" s="19"/>
      <c r="L1116" s="26"/>
      <c r="M1116" s="19"/>
      <c r="N1116" s="26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19"/>
      <c r="B1117" s="99"/>
      <c r="C1117" s="26"/>
      <c r="D1117" s="19"/>
      <c r="E1117" s="26"/>
      <c r="F1117" s="26"/>
      <c r="G1117" s="26"/>
      <c r="H1117" s="26"/>
      <c r="I1117" s="26"/>
      <c r="J1117" s="26"/>
      <c r="K1117" s="19"/>
      <c r="L1117" s="26"/>
      <c r="M1117" s="19"/>
      <c r="N1117" s="26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19"/>
      <c r="B1118" s="99"/>
      <c r="C1118" s="26"/>
      <c r="D1118" s="19"/>
      <c r="E1118" s="26"/>
      <c r="F1118" s="26"/>
      <c r="G1118" s="26"/>
      <c r="H1118" s="26"/>
      <c r="I1118" s="26"/>
      <c r="J1118" s="26"/>
      <c r="K1118" s="19"/>
      <c r="L1118" s="26"/>
      <c r="M1118" s="19"/>
      <c r="N1118" s="26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19"/>
      <c r="B1119" s="99"/>
      <c r="C1119" s="26"/>
      <c r="D1119" s="19"/>
      <c r="E1119" s="26"/>
      <c r="F1119" s="26"/>
      <c r="G1119" s="26"/>
      <c r="H1119" s="26"/>
      <c r="I1119" s="26"/>
      <c r="J1119" s="26"/>
      <c r="K1119" s="19"/>
      <c r="L1119" s="26"/>
      <c r="M1119" s="19"/>
      <c r="N1119" s="26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19"/>
      <c r="B1120" s="99"/>
      <c r="C1120" s="26"/>
      <c r="D1120" s="19"/>
      <c r="E1120" s="26"/>
      <c r="F1120" s="26"/>
      <c r="G1120" s="26"/>
      <c r="H1120" s="26"/>
      <c r="I1120" s="26"/>
      <c r="J1120" s="26"/>
      <c r="K1120" s="19"/>
      <c r="L1120" s="26"/>
      <c r="M1120" s="19"/>
      <c r="N1120" s="26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19"/>
      <c r="B1121" s="99"/>
      <c r="C1121" s="26"/>
      <c r="D1121" s="19"/>
      <c r="E1121" s="26"/>
      <c r="F1121" s="26"/>
      <c r="G1121" s="26"/>
      <c r="H1121" s="26"/>
      <c r="I1121" s="26"/>
      <c r="J1121" s="26"/>
      <c r="K1121" s="19"/>
      <c r="L1121" s="26"/>
      <c r="M1121" s="19"/>
      <c r="N1121" s="26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19"/>
      <c r="B1122" s="99"/>
      <c r="C1122" s="26"/>
      <c r="D1122" s="19"/>
      <c r="E1122" s="26"/>
      <c r="F1122" s="26"/>
      <c r="G1122" s="26"/>
      <c r="H1122" s="26"/>
      <c r="I1122" s="26"/>
      <c r="J1122" s="26"/>
      <c r="K1122" s="19"/>
      <c r="L1122" s="26"/>
      <c r="M1122" s="19"/>
      <c r="N1122" s="26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19"/>
      <c r="B1123" s="99"/>
      <c r="C1123" s="26"/>
      <c r="D1123" s="19"/>
      <c r="E1123" s="26"/>
      <c r="F1123" s="26"/>
      <c r="G1123" s="26"/>
      <c r="H1123" s="26"/>
      <c r="I1123" s="26"/>
      <c r="J1123" s="26"/>
      <c r="K1123" s="19"/>
      <c r="L1123" s="26"/>
      <c r="M1123" s="19"/>
      <c r="N1123" s="26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19"/>
      <c r="B1124" s="99"/>
      <c r="C1124" s="26"/>
      <c r="D1124" s="19"/>
      <c r="E1124" s="26"/>
      <c r="F1124" s="26"/>
      <c r="G1124" s="26"/>
      <c r="H1124" s="26"/>
      <c r="I1124" s="26"/>
      <c r="J1124" s="26"/>
      <c r="K1124" s="19"/>
      <c r="L1124" s="26"/>
      <c r="M1124" s="19"/>
      <c r="N1124" s="26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19"/>
      <c r="B1125" s="99"/>
      <c r="C1125" s="26"/>
      <c r="D1125" s="19"/>
      <c r="E1125" s="26"/>
      <c r="F1125" s="26"/>
      <c r="G1125" s="26"/>
      <c r="H1125" s="26"/>
      <c r="I1125" s="26"/>
      <c r="J1125" s="26"/>
      <c r="K1125" s="19"/>
      <c r="L1125" s="26"/>
      <c r="M1125" s="19"/>
      <c r="N1125" s="26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19"/>
      <c r="B1126" s="99"/>
      <c r="C1126" s="26"/>
      <c r="D1126" s="19"/>
      <c r="E1126" s="26"/>
      <c r="F1126" s="26"/>
      <c r="G1126" s="26"/>
      <c r="H1126" s="26"/>
      <c r="I1126" s="26"/>
      <c r="J1126" s="26"/>
      <c r="K1126" s="19"/>
      <c r="L1126" s="26"/>
      <c r="M1126" s="19"/>
      <c r="N1126" s="26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19"/>
      <c r="B1127" s="99"/>
      <c r="C1127" s="26"/>
      <c r="D1127" s="19"/>
      <c r="E1127" s="26"/>
      <c r="F1127" s="26"/>
      <c r="G1127" s="26"/>
      <c r="H1127" s="26"/>
      <c r="I1127" s="26"/>
      <c r="J1127" s="26"/>
      <c r="K1127" s="19"/>
      <c r="L1127" s="26"/>
      <c r="M1127" s="19"/>
      <c r="N1127" s="26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19"/>
      <c r="B1128" s="99"/>
      <c r="C1128" s="26"/>
      <c r="D1128" s="19"/>
      <c r="E1128" s="26"/>
      <c r="F1128" s="26"/>
      <c r="G1128" s="26"/>
      <c r="H1128" s="26"/>
      <c r="I1128" s="26"/>
      <c r="J1128" s="26"/>
      <c r="K1128" s="19"/>
      <c r="L1128" s="26"/>
      <c r="M1128" s="19"/>
      <c r="N1128" s="26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19"/>
      <c r="B1129" s="99"/>
      <c r="C1129" s="26"/>
      <c r="D1129" s="19"/>
      <c r="E1129" s="26"/>
      <c r="F1129" s="26"/>
      <c r="G1129" s="26"/>
      <c r="H1129" s="26"/>
      <c r="I1129" s="26"/>
      <c r="J1129" s="26"/>
      <c r="K1129" s="19"/>
      <c r="L1129" s="26"/>
      <c r="M1129" s="19"/>
      <c r="N1129" s="26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19"/>
      <c r="B1130" s="99"/>
      <c r="C1130" s="26"/>
      <c r="D1130" s="19"/>
      <c r="E1130" s="26"/>
      <c r="F1130" s="26"/>
      <c r="G1130" s="26"/>
      <c r="H1130" s="26"/>
      <c r="I1130" s="26"/>
      <c r="J1130" s="26"/>
      <c r="K1130" s="19"/>
      <c r="L1130" s="26"/>
      <c r="M1130" s="19"/>
      <c r="N1130" s="26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19"/>
      <c r="B1131" s="99"/>
      <c r="C1131" s="26"/>
      <c r="D1131" s="19"/>
      <c r="E1131" s="26"/>
      <c r="F1131" s="26"/>
      <c r="G1131" s="26"/>
      <c r="H1131" s="26"/>
      <c r="I1131" s="26"/>
      <c r="J1131" s="26"/>
      <c r="K1131" s="19"/>
      <c r="L1131" s="26"/>
      <c r="M1131" s="19"/>
      <c r="N1131" s="26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19"/>
      <c r="B1132" s="99"/>
      <c r="C1132" s="26"/>
      <c r="D1132" s="19"/>
      <c r="E1132" s="26"/>
      <c r="F1132" s="26"/>
      <c r="G1132" s="26"/>
      <c r="H1132" s="26"/>
      <c r="I1132" s="26"/>
      <c r="J1132" s="26"/>
      <c r="K1132" s="19"/>
      <c r="L1132" s="26"/>
      <c r="M1132" s="19"/>
      <c r="N1132" s="26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19"/>
      <c r="B1133" s="99"/>
      <c r="C1133" s="26"/>
      <c r="D1133" s="19"/>
      <c r="E1133" s="26"/>
      <c r="F1133" s="26"/>
      <c r="G1133" s="26"/>
      <c r="H1133" s="26"/>
      <c r="I1133" s="26"/>
      <c r="J1133" s="26"/>
      <c r="K1133" s="19"/>
      <c r="L1133" s="26"/>
      <c r="M1133" s="19"/>
      <c r="N1133" s="26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19"/>
      <c r="B1134" s="99"/>
      <c r="C1134" s="26"/>
      <c r="D1134" s="19"/>
      <c r="E1134" s="26"/>
      <c r="F1134" s="26"/>
      <c r="G1134" s="26"/>
      <c r="H1134" s="26"/>
      <c r="I1134" s="26"/>
      <c r="J1134" s="26"/>
      <c r="K1134" s="19"/>
      <c r="L1134" s="26"/>
      <c r="M1134" s="19"/>
      <c r="N1134" s="26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19"/>
      <c r="B1135" s="99"/>
      <c r="C1135" s="26"/>
      <c r="D1135" s="19"/>
      <c r="E1135" s="26"/>
      <c r="F1135" s="26"/>
      <c r="G1135" s="26"/>
      <c r="H1135" s="26"/>
      <c r="I1135" s="26"/>
      <c r="J1135" s="26"/>
      <c r="K1135" s="19"/>
      <c r="L1135" s="26"/>
      <c r="M1135" s="19"/>
      <c r="N1135" s="26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19"/>
      <c r="B1136" s="99"/>
      <c r="C1136" s="26"/>
      <c r="D1136" s="19"/>
      <c r="E1136" s="26"/>
      <c r="F1136" s="26"/>
      <c r="G1136" s="26"/>
      <c r="H1136" s="26"/>
      <c r="I1136" s="26"/>
      <c r="J1136" s="26"/>
      <c r="K1136" s="19"/>
      <c r="L1136" s="26"/>
      <c r="M1136" s="19"/>
      <c r="N1136" s="26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19"/>
      <c r="B1137" s="99"/>
      <c r="C1137" s="26"/>
      <c r="D1137" s="19"/>
      <c r="E1137" s="26"/>
      <c r="F1137" s="26"/>
      <c r="G1137" s="26"/>
      <c r="H1137" s="26"/>
      <c r="I1137" s="26"/>
      <c r="J1137" s="26"/>
      <c r="K1137" s="19"/>
      <c r="L1137" s="26"/>
      <c r="M1137" s="19"/>
      <c r="N1137" s="26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19"/>
      <c r="B1138" s="99"/>
      <c r="C1138" s="26"/>
      <c r="D1138" s="19"/>
      <c r="E1138" s="26"/>
      <c r="F1138" s="26"/>
      <c r="G1138" s="26"/>
      <c r="H1138" s="26"/>
      <c r="I1138" s="26"/>
      <c r="J1138" s="26"/>
      <c r="K1138" s="19"/>
      <c r="L1138" s="26"/>
      <c r="M1138" s="19"/>
      <c r="N1138" s="26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19"/>
      <c r="B1139" s="99"/>
      <c r="C1139" s="26"/>
      <c r="D1139" s="19"/>
      <c r="E1139" s="26"/>
      <c r="F1139" s="26"/>
      <c r="G1139" s="26"/>
      <c r="H1139" s="26"/>
      <c r="I1139" s="26"/>
      <c r="J1139" s="26"/>
      <c r="K1139" s="19"/>
      <c r="L1139" s="26"/>
      <c r="M1139" s="19"/>
      <c r="N1139" s="26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19"/>
      <c r="B1140" s="99"/>
      <c r="C1140" s="26"/>
      <c r="D1140" s="19"/>
      <c r="E1140" s="26"/>
      <c r="F1140" s="26"/>
      <c r="G1140" s="26"/>
      <c r="H1140" s="26"/>
      <c r="I1140" s="26"/>
      <c r="J1140" s="26"/>
      <c r="K1140" s="19"/>
      <c r="L1140" s="26"/>
      <c r="M1140" s="19"/>
      <c r="N1140" s="26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19"/>
      <c r="B1141" s="99"/>
      <c r="C1141" s="26"/>
      <c r="D1141" s="19"/>
      <c r="E1141" s="26"/>
      <c r="F1141" s="26"/>
      <c r="G1141" s="26"/>
      <c r="H1141" s="26"/>
      <c r="I1141" s="26"/>
      <c r="J1141" s="26"/>
      <c r="K1141" s="19"/>
      <c r="L1141" s="26"/>
      <c r="M1141" s="19"/>
      <c r="N1141" s="26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19"/>
      <c r="B1142" s="99"/>
      <c r="C1142" s="26"/>
      <c r="D1142" s="19"/>
      <c r="E1142" s="26"/>
      <c r="F1142" s="26"/>
      <c r="G1142" s="26"/>
      <c r="H1142" s="26"/>
      <c r="I1142" s="26"/>
      <c r="J1142" s="26"/>
      <c r="K1142" s="19"/>
      <c r="L1142" s="26"/>
      <c r="M1142" s="19"/>
      <c r="N1142" s="26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19"/>
      <c r="B1143" s="99"/>
      <c r="C1143" s="26"/>
      <c r="D1143" s="19"/>
      <c r="E1143" s="26"/>
      <c r="F1143" s="26"/>
      <c r="G1143" s="26"/>
      <c r="H1143" s="26"/>
      <c r="I1143" s="26"/>
      <c r="J1143" s="26"/>
      <c r="K1143" s="19"/>
      <c r="L1143" s="26"/>
      <c r="M1143" s="19"/>
      <c r="N1143" s="26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19"/>
      <c r="B1144" s="99"/>
      <c r="C1144" s="26"/>
      <c r="D1144" s="19"/>
      <c r="E1144" s="26"/>
      <c r="F1144" s="26"/>
      <c r="G1144" s="26"/>
      <c r="H1144" s="26"/>
      <c r="I1144" s="26"/>
      <c r="J1144" s="26"/>
      <c r="K1144" s="19"/>
      <c r="L1144" s="26"/>
      <c r="M1144" s="19"/>
      <c r="N1144" s="26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19"/>
      <c r="B1145" s="99"/>
      <c r="C1145" s="26"/>
      <c r="D1145" s="19"/>
      <c r="E1145" s="26"/>
      <c r="F1145" s="26"/>
      <c r="G1145" s="26"/>
      <c r="H1145" s="26"/>
      <c r="I1145" s="26"/>
      <c r="J1145" s="26"/>
      <c r="K1145" s="19"/>
      <c r="L1145" s="26"/>
      <c r="M1145" s="19"/>
      <c r="N1145" s="26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19"/>
      <c r="B1146" s="99"/>
      <c r="C1146" s="26"/>
      <c r="D1146" s="19"/>
      <c r="E1146" s="26"/>
      <c r="F1146" s="26"/>
      <c r="G1146" s="26"/>
      <c r="H1146" s="26"/>
      <c r="I1146" s="26"/>
      <c r="J1146" s="26"/>
      <c r="K1146" s="19"/>
      <c r="L1146" s="26"/>
      <c r="M1146" s="19"/>
      <c r="N1146" s="26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19"/>
      <c r="B1147" s="99"/>
      <c r="C1147" s="26"/>
      <c r="D1147" s="19"/>
      <c r="E1147" s="26"/>
      <c r="F1147" s="26"/>
      <c r="G1147" s="26"/>
      <c r="H1147" s="26"/>
      <c r="I1147" s="26"/>
      <c r="J1147" s="26"/>
      <c r="K1147" s="19"/>
      <c r="L1147" s="26"/>
      <c r="M1147" s="19"/>
      <c r="N1147" s="26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19"/>
      <c r="B1148" s="99"/>
      <c r="C1148" s="26"/>
      <c r="D1148" s="19"/>
      <c r="E1148" s="26"/>
      <c r="F1148" s="26"/>
      <c r="G1148" s="26"/>
      <c r="H1148" s="26"/>
      <c r="I1148" s="26"/>
      <c r="J1148" s="26"/>
      <c r="K1148" s="19"/>
      <c r="L1148" s="26"/>
      <c r="M1148" s="19"/>
      <c r="N1148" s="26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19"/>
      <c r="B1149" s="99"/>
      <c r="C1149" s="26"/>
      <c r="D1149" s="19"/>
      <c r="E1149" s="26"/>
      <c r="F1149" s="26"/>
      <c r="G1149" s="26"/>
      <c r="H1149" s="26"/>
      <c r="I1149" s="26"/>
      <c r="J1149" s="26"/>
      <c r="K1149" s="19"/>
      <c r="L1149" s="26"/>
      <c r="M1149" s="19"/>
      <c r="N1149" s="26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19"/>
      <c r="B1150" s="99"/>
      <c r="C1150" s="26"/>
      <c r="D1150" s="19"/>
      <c r="E1150" s="26"/>
      <c r="F1150" s="26"/>
      <c r="G1150" s="26"/>
      <c r="H1150" s="26"/>
      <c r="I1150" s="26"/>
      <c r="J1150" s="26"/>
      <c r="K1150" s="19"/>
      <c r="L1150" s="26"/>
      <c r="M1150" s="19"/>
      <c r="N1150" s="26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19"/>
      <c r="B1151" s="99"/>
      <c r="C1151" s="26"/>
      <c r="D1151" s="19"/>
      <c r="E1151" s="26"/>
      <c r="F1151" s="26"/>
      <c r="G1151" s="26"/>
      <c r="H1151" s="26"/>
      <c r="I1151" s="26"/>
      <c r="J1151" s="26"/>
      <c r="K1151" s="19"/>
      <c r="L1151" s="26"/>
      <c r="M1151" s="19"/>
      <c r="N1151" s="26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19"/>
      <c r="B1152" s="99"/>
      <c r="C1152" s="26"/>
      <c r="D1152" s="19"/>
      <c r="E1152" s="26"/>
      <c r="F1152" s="26"/>
      <c r="G1152" s="26"/>
      <c r="H1152" s="26"/>
      <c r="I1152" s="26"/>
      <c r="J1152" s="26"/>
      <c r="K1152" s="19"/>
      <c r="L1152" s="26"/>
      <c r="M1152" s="19"/>
      <c r="N1152" s="26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19"/>
      <c r="B1153" s="99"/>
      <c r="C1153" s="26"/>
      <c r="D1153" s="19"/>
      <c r="E1153" s="26"/>
      <c r="F1153" s="26"/>
      <c r="G1153" s="26"/>
      <c r="H1153" s="26"/>
      <c r="I1153" s="26"/>
      <c r="J1153" s="26"/>
      <c r="K1153" s="19"/>
      <c r="L1153" s="26"/>
      <c r="M1153" s="19"/>
      <c r="N1153" s="26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19"/>
      <c r="B1154" s="99"/>
      <c r="C1154" s="26"/>
      <c r="D1154" s="19"/>
      <c r="E1154" s="26"/>
      <c r="F1154" s="26"/>
      <c r="G1154" s="26"/>
      <c r="H1154" s="26"/>
      <c r="I1154" s="26"/>
      <c r="J1154" s="26"/>
      <c r="K1154" s="19"/>
      <c r="L1154" s="26"/>
      <c r="M1154" s="19"/>
      <c r="N1154" s="26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19"/>
      <c r="B1155" s="99"/>
      <c r="C1155" s="26"/>
      <c r="D1155" s="19"/>
      <c r="E1155" s="26"/>
      <c r="F1155" s="26"/>
      <c r="G1155" s="26"/>
      <c r="H1155" s="26"/>
      <c r="I1155" s="26"/>
      <c r="J1155" s="26"/>
      <c r="K1155" s="19"/>
      <c r="L1155" s="26"/>
      <c r="M1155" s="19"/>
      <c r="N1155" s="26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19"/>
      <c r="B1156" s="99"/>
      <c r="C1156" s="26"/>
      <c r="D1156" s="19"/>
      <c r="E1156" s="26"/>
      <c r="F1156" s="26"/>
      <c r="G1156" s="26"/>
      <c r="H1156" s="26"/>
      <c r="I1156" s="26"/>
      <c r="J1156" s="26"/>
      <c r="K1156" s="19"/>
      <c r="L1156" s="26"/>
      <c r="M1156" s="19"/>
      <c r="N1156" s="26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19"/>
      <c r="B1157" s="99"/>
      <c r="C1157" s="26"/>
      <c r="D1157" s="19"/>
      <c r="E1157" s="26"/>
      <c r="F1157" s="26"/>
      <c r="G1157" s="26"/>
      <c r="H1157" s="26"/>
      <c r="I1157" s="26"/>
      <c r="J1157" s="26"/>
      <c r="K1157" s="19"/>
      <c r="L1157" s="26"/>
      <c r="M1157" s="19"/>
      <c r="N1157" s="26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19"/>
      <c r="B1158" s="99"/>
      <c r="C1158" s="26"/>
      <c r="D1158" s="19"/>
      <c r="E1158" s="26"/>
      <c r="F1158" s="26"/>
      <c r="G1158" s="26"/>
      <c r="H1158" s="26"/>
      <c r="I1158" s="26"/>
      <c r="J1158" s="26"/>
      <c r="K1158" s="19"/>
      <c r="L1158" s="26"/>
      <c r="M1158" s="19"/>
      <c r="N1158" s="26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19"/>
      <c r="B1159" s="99"/>
      <c r="C1159" s="26"/>
      <c r="D1159" s="19"/>
      <c r="E1159" s="26"/>
      <c r="F1159" s="26"/>
      <c r="G1159" s="26"/>
      <c r="H1159" s="26"/>
      <c r="I1159" s="26"/>
      <c r="J1159" s="26"/>
      <c r="K1159" s="19"/>
      <c r="L1159" s="26"/>
      <c r="M1159" s="19"/>
      <c r="N1159" s="26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19"/>
      <c r="B1160" s="99"/>
      <c r="C1160" s="26"/>
      <c r="D1160" s="19"/>
      <c r="E1160" s="26"/>
      <c r="F1160" s="26"/>
      <c r="G1160" s="26"/>
      <c r="H1160" s="26"/>
      <c r="I1160" s="26"/>
      <c r="J1160" s="26"/>
      <c r="K1160" s="19"/>
      <c r="L1160" s="26"/>
      <c r="M1160" s="19"/>
      <c r="N1160" s="26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19"/>
      <c r="B1161" s="99"/>
      <c r="C1161" s="26"/>
      <c r="D1161" s="19"/>
      <c r="E1161" s="26"/>
      <c r="F1161" s="26"/>
      <c r="G1161" s="26"/>
      <c r="H1161" s="26"/>
      <c r="I1161" s="26"/>
      <c r="J1161" s="26"/>
      <c r="K1161" s="19"/>
      <c r="L1161" s="26"/>
      <c r="M1161" s="19"/>
      <c r="N1161" s="26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19"/>
      <c r="B1162" s="99"/>
      <c r="C1162" s="26"/>
      <c r="D1162" s="19"/>
      <c r="E1162" s="26"/>
      <c r="F1162" s="26"/>
      <c r="G1162" s="26"/>
      <c r="H1162" s="26"/>
      <c r="I1162" s="26"/>
      <c r="J1162" s="26"/>
      <c r="K1162" s="19"/>
      <c r="L1162" s="26"/>
      <c r="M1162" s="19"/>
      <c r="N1162" s="26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19"/>
      <c r="B1163" s="99"/>
      <c r="C1163" s="26"/>
      <c r="D1163" s="19"/>
      <c r="E1163" s="26"/>
      <c r="F1163" s="26"/>
      <c r="G1163" s="26"/>
      <c r="H1163" s="26"/>
      <c r="I1163" s="26"/>
      <c r="J1163" s="26"/>
      <c r="K1163" s="19"/>
      <c r="L1163" s="26"/>
      <c r="M1163" s="19"/>
      <c r="N1163" s="26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19"/>
      <c r="B1164" s="99"/>
      <c r="C1164" s="26"/>
      <c r="D1164" s="19"/>
      <c r="E1164" s="26"/>
      <c r="F1164" s="26"/>
      <c r="G1164" s="26"/>
      <c r="H1164" s="26"/>
      <c r="I1164" s="26"/>
      <c r="J1164" s="26"/>
      <c r="K1164" s="19"/>
      <c r="L1164" s="26"/>
      <c r="M1164" s="19"/>
      <c r="N1164" s="26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19"/>
      <c r="B1165" s="99"/>
      <c r="C1165" s="26"/>
      <c r="D1165" s="19"/>
      <c r="E1165" s="26"/>
      <c r="F1165" s="26"/>
      <c r="G1165" s="26"/>
      <c r="H1165" s="26"/>
      <c r="I1165" s="26"/>
      <c r="J1165" s="26"/>
      <c r="K1165" s="19"/>
      <c r="L1165" s="26"/>
      <c r="M1165" s="19"/>
      <c r="N1165" s="26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19"/>
      <c r="B1166" s="99"/>
      <c r="C1166" s="26"/>
      <c r="D1166" s="19"/>
      <c r="E1166" s="26"/>
      <c r="F1166" s="26"/>
      <c r="G1166" s="26"/>
      <c r="H1166" s="26"/>
      <c r="I1166" s="26"/>
      <c r="J1166" s="26"/>
      <c r="K1166" s="19"/>
      <c r="L1166" s="26"/>
      <c r="M1166" s="19"/>
      <c r="N1166" s="26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19"/>
      <c r="B1167" s="99"/>
      <c r="C1167" s="26"/>
      <c r="D1167" s="19"/>
      <c r="E1167" s="26"/>
      <c r="F1167" s="26"/>
      <c r="G1167" s="26"/>
      <c r="H1167" s="26"/>
      <c r="I1167" s="26"/>
      <c r="J1167" s="26"/>
      <c r="K1167" s="19"/>
      <c r="L1167" s="26"/>
      <c r="M1167" s="19"/>
      <c r="N1167" s="26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19"/>
      <c r="B1168" s="99"/>
      <c r="C1168" s="26"/>
      <c r="D1168" s="19"/>
      <c r="E1168" s="26"/>
      <c r="F1168" s="26"/>
      <c r="G1168" s="26"/>
      <c r="H1168" s="26"/>
      <c r="I1168" s="26"/>
      <c r="J1168" s="26"/>
      <c r="K1168" s="19"/>
      <c r="L1168" s="26"/>
      <c r="M1168" s="19"/>
      <c r="N1168" s="26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19"/>
      <c r="B1169" s="99"/>
      <c r="C1169" s="26"/>
      <c r="D1169" s="19"/>
      <c r="E1169" s="26"/>
      <c r="F1169" s="26"/>
      <c r="G1169" s="26"/>
      <c r="H1169" s="26"/>
      <c r="I1169" s="26"/>
      <c r="J1169" s="26"/>
      <c r="K1169" s="19"/>
      <c r="L1169" s="26"/>
      <c r="M1169" s="19"/>
      <c r="N1169" s="26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19"/>
      <c r="B1170" s="99"/>
      <c r="C1170" s="26"/>
      <c r="D1170" s="19"/>
      <c r="E1170" s="26"/>
      <c r="F1170" s="26"/>
      <c r="G1170" s="26"/>
      <c r="H1170" s="26"/>
      <c r="I1170" s="26"/>
      <c r="J1170" s="26"/>
      <c r="K1170" s="19"/>
      <c r="L1170" s="26"/>
      <c r="M1170" s="19"/>
      <c r="N1170" s="26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19"/>
      <c r="B1171" s="99"/>
      <c r="C1171" s="26"/>
      <c r="D1171" s="19"/>
      <c r="E1171" s="26"/>
      <c r="F1171" s="26"/>
      <c r="G1171" s="26"/>
      <c r="H1171" s="26"/>
      <c r="I1171" s="26"/>
      <c r="J1171" s="26"/>
      <c r="K1171" s="19"/>
      <c r="L1171" s="26"/>
      <c r="M1171" s="19"/>
      <c r="N1171" s="26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19"/>
      <c r="B1172" s="99"/>
      <c r="C1172" s="26"/>
      <c r="D1172" s="19"/>
      <c r="E1172" s="26"/>
      <c r="F1172" s="26"/>
      <c r="G1172" s="26"/>
      <c r="H1172" s="26"/>
      <c r="I1172" s="26"/>
      <c r="J1172" s="26"/>
      <c r="K1172" s="19"/>
      <c r="L1172" s="26"/>
      <c r="M1172" s="19"/>
      <c r="N1172" s="26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19"/>
      <c r="B1173" s="99"/>
      <c r="C1173" s="26"/>
      <c r="D1173" s="19"/>
      <c r="E1173" s="26"/>
      <c r="F1173" s="26"/>
      <c r="G1173" s="26"/>
      <c r="H1173" s="26"/>
      <c r="I1173" s="26"/>
      <c r="J1173" s="26"/>
      <c r="K1173" s="19"/>
      <c r="L1173" s="26"/>
      <c r="M1173" s="19"/>
      <c r="N1173" s="26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19"/>
      <c r="B1174" s="99"/>
      <c r="C1174" s="26"/>
      <c r="D1174" s="19"/>
      <c r="E1174" s="26"/>
      <c r="F1174" s="26"/>
      <c r="G1174" s="26"/>
      <c r="H1174" s="26"/>
      <c r="I1174" s="26"/>
      <c r="J1174" s="26"/>
      <c r="K1174" s="19"/>
      <c r="L1174" s="26"/>
      <c r="M1174" s="19"/>
      <c r="N1174" s="26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19"/>
      <c r="B1175" s="99"/>
      <c r="C1175" s="26"/>
      <c r="D1175" s="19"/>
      <c r="E1175" s="26"/>
      <c r="F1175" s="26"/>
      <c r="G1175" s="26"/>
      <c r="H1175" s="26"/>
      <c r="I1175" s="26"/>
      <c r="J1175" s="26"/>
      <c r="K1175" s="19"/>
      <c r="L1175" s="26"/>
      <c r="M1175" s="19"/>
      <c r="N1175" s="26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19"/>
      <c r="B1176" s="99"/>
      <c r="C1176" s="26"/>
      <c r="D1176" s="19"/>
      <c r="E1176" s="26"/>
      <c r="F1176" s="26"/>
      <c r="G1176" s="26"/>
      <c r="H1176" s="26"/>
      <c r="I1176" s="26"/>
      <c r="J1176" s="26"/>
      <c r="K1176" s="19"/>
      <c r="L1176" s="26"/>
      <c r="M1176" s="19"/>
      <c r="N1176" s="26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19"/>
      <c r="B1177" s="99"/>
      <c r="C1177" s="26"/>
      <c r="D1177" s="19"/>
      <c r="E1177" s="26"/>
      <c r="F1177" s="26"/>
      <c r="G1177" s="26"/>
      <c r="H1177" s="26"/>
      <c r="I1177" s="26"/>
      <c r="J1177" s="26"/>
      <c r="K1177" s="19"/>
      <c r="L1177" s="26"/>
      <c r="M1177" s="19"/>
      <c r="N1177" s="26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19"/>
      <c r="B1178" s="99"/>
      <c r="C1178" s="26"/>
      <c r="D1178" s="19"/>
      <c r="E1178" s="26"/>
      <c r="F1178" s="26"/>
      <c r="G1178" s="26"/>
      <c r="H1178" s="26"/>
      <c r="I1178" s="26"/>
      <c r="J1178" s="26"/>
      <c r="K1178" s="19"/>
      <c r="L1178" s="26"/>
      <c r="M1178" s="19"/>
      <c r="N1178" s="26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19"/>
      <c r="B1179" s="99"/>
      <c r="C1179" s="26"/>
      <c r="D1179" s="19"/>
      <c r="E1179" s="26"/>
      <c r="F1179" s="26"/>
      <c r="G1179" s="26"/>
      <c r="H1179" s="26"/>
      <c r="I1179" s="26"/>
      <c r="J1179" s="26"/>
      <c r="K1179" s="19"/>
      <c r="L1179" s="26"/>
      <c r="M1179" s="19"/>
      <c r="N1179" s="26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19"/>
      <c r="B1180" s="99"/>
      <c r="C1180" s="26"/>
      <c r="D1180" s="19"/>
      <c r="E1180" s="26"/>
      <c r="F1180" s="26"/>
      <c r="G1180" s="26"/>
      <c r="H1180" s="26"/>
      <c r="I1180" s="26"/>
      <c r="J1180" s="26"/>
      <c r="K1180" s="19"/>
      <c r="L1180" s="26"/>
      <c r="M1180" s="19"/>
      <c r="N1180" s="26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19"/>
      <c r="B1181" s="99"/>
      <c r="C1181" s="26"/>
      <c r="D1181" s="19"/>
      <c r="E1181" s="26"/>
      <c r="F1181" s="26"/>
      <c r="G1181" s="26"/>
      <c r="H1181" s="26"/>
      <c r="I1181" s="26"/>
      <c r="J1181" s="26"/>
      <c r="K1181" s="19"/>
      <c r="L1181" s="26"/>
      <c r="M1181" s="19"/>
      <c r="N1181" s="26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19"/>
      <c r="B1182" s="99"/>
      <c r="C1182" s="26"/>
      <c r="D1182" s="19"/>
      <c r="E1182" s="26"/>
      <c r="F1182" s="26"/>
      <c r="G1182" s="26"/>
      <c r="H1182" s="26"/>
      <c r="I1182" s="26"/>
      <c r="J1182" s="26"/>
      <c r="K1182" s="19"/>
      <c r="L1182" s="26"/>
      <c r="M1182" s="19"/>
      <c r="N1182" s="26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19"/>
      <c r="B1183" s="99"/>
      <c r="C1183" s="26"/>
      <c r="D1183" s="19"/>
      <c r="E1183" s="26"/>
      <c r="F1183" s="26"/>
      <c r="G1183" s="26"/>
      <c r="H1183" s="26"/>
      <c r="I1183" s="26"/>
      <c r="J1183" s="26"/>
      <c r="K1183" s="19"/>
      <c r="L1183" s="26"/>
      <c r="M1183" s="19"/>
      <c r="N1183" s="26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19"/>
      <c r="B1184" s="99"/>
      <c r="C1184" s="26"/>
      <c r="D1184" s="19"/>
      <c r="E1184" s="26"/>
      <c r="F1184" s="26"/>
      <c r="G1184" s="26"/>
      <c r="H1184" s="26"/>
      <c r="I1184" s="26"/>
      <c r="J1184" s="26"/>
      <c r="K1184" s="19"/>
      <c r="L1184" s="26"/>
      <c r="M1184" s="19"/>
      <c r="N1184" s="26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19"/>
      <c r="B1185" s="99"/>
      <c r="C1185" s="26"/>
      <c r="D1185" s="19"/>
      <c r="E1185" s="26"/>
      <c r="F1185" s="26"/>
      <c r="G1185" s="26"/>
      <c r="H1185" s="26"/>
      <c r="I1185" s="26"/>
      <c r="J1185" s="26"/>
      <c r="K1185" s="19"/>
      <c r="L1185" s="26"/>
      <c r="M1185" s="19"/>
      <c r="N1185" s="26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19"/>
      <c r="B1186" s="99"/>
      <c r="C1186" s="26"/>
      <c r="D1186" s="19"/>
      <c r="E1186" s="26"/>
      <c r="F1186" s="26"/>
      <c r="G1186" s="26"/>
      <c r="H1186" s="26"/>
      <c r="I1186" s="26"/>
      <c r="J1186" s="26"/>
      <c r="K1186" s="19"/>
      <c r="L1186" s="26"/>
      <c r="M1186" s="19"/>
      <c r="N1186" s="26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19"/>
      <c r="B1187" s="99"/>
      <c r="C1187" s="26"/>
      <c r="D1187" s="19"/>
      <c r="E1187" s="26"/>
      <c r="F1187" s="26"/>
      <c r="G1187" s="26"/>
      <c r="H1187" s="26"/>
      <c r="I1187" s="26"/>
      <c r="J1187" s="26"/>
      <c r="K1187" s="19"/>
      <c r="L1187" s="26"/>
      <c r="M1187" s="19"/>
      <c r="N1187" s="26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19"/>
      <c r="B1188" s="99"/>
      <c r="C1188" s="26"/>
      <c r="D1188" s="19"/>
      <c r="E1188" s="26"/>
      <c r="F1188" s="26"/>
      <c r="G1188" s="26"/>
      <c r="H1188" s="26"/>
      <c r="I1188" s="26"/>
      <c r="J1188" s="26"/>
      <c r="K1188" s="19"/>
      <c r="L1188" s="26"/>
      <c r="M1188" s="19"/>
      <c r="N1188" s="26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19"/>
      <c r="B1189" s="99"/>
      <c r="C1189" s="26"/>
      <c r="D1189" s="19"/>
      <c r="E1189" s="26"/>
      <c r="F1189" s="26"/>
      <c r="G1189" s="26"/>
      <c r="H1189" s="26"/>
      <c r="I1189" s="26"/>
      <c r="J1189" s="26"/>
      <c r="K1189" s="19"/>
      <c r="L1189" s="26"/>
      <c r="M1189" s="19"/>
      <c r="N1189" s="26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19"/>
      <c r="B1190" s="99"/>
      <c r="C1190" s="26"/>
      <c r="D1190" s="19"/>
      <c r="E1190" s="26"/>
      <c r="F1190" s="26"/>
      <c r="G1190" s="26"/>
      <c r="H1190" s="26"/>
      <c r="I1190" s="26"/>
      <c r="J1190" s="26"/>
      <c r="K1190" s="19"/>
      <c r="L1190" s="26"/>
      <c r="M1190" s="19"/>
      <c r="N1190" s="26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19"/>
      <c r="B1191" s="99"/>
      <c r="C1191" s="26"/>
      <c r="D1191" s="19"/>
      <c r="E1191" s="26"/>
      <c r="F1191" s="26"/>
      <c r="G1191" s="26"/>
      <c r="H1191" s="26"/>
      <c r="I1191" s="26"/>
      <c r="J1191" s="26"/>
      <c r="K1191" s="19"/>
      <c r="L1191" s="26"/>
      <c r="M1191" s="19"/>
      <c r="N1191" s="26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19"/>
      <c r="B1192" s="99"/>
      <c r="C1192" s="26"/>
      <c r="D1192" s="19"/>
      <c r="E1192" s="26"/>
      <c r="F1192" s="26"/>
      <c r="G1192" s="26"/>
      <c r="H1192" s="26"/>
      <c r="I1192" s="26"/>
      <c r="J1192" s="26"/>
      <c r="K1192" s="19"/>
      <c r="L1192" s="26"/>
      <c r="M1192" s="19"/>
      <c r="N1192" s="26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19"/>
      <c r="B1193" s="99"/>
      <c r="C1193" s="26"/>
      <c r="D1193" s="19"/>
      <c r="E1193" s="26"/>
      <c r="F1193" s="26"/>
      <c r="G1193" s="26"/>
      <c r="H1193" s="26"/>
      <c r="I1193" s="26"/>
      <c r="J1193" s="26"/>
      <c r="K1193" s="19"/>
      <c r="L1193" s="26"/>
      <c r="M1193" s="19"/>
      <c r="N1193" s="26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19"/>
      <c r="B1194" s="99"/>
      <c r="C1194" s="26"/>
      <c r="D1194" s="19"/>
      <c r="E1194" s="26"/>
      <c r="F1194" s="26"/>
      <c r="G1194" s="26"/>
      <c r="H1194" s="26"/>
      <c r="I1194" s="26"/>
      <c r="J1194" s="26"/>
      <c r="K1194" s="19"/>
      <c r="L1194" s="26"/>
      <c r="M1194" s="19"/>
      <c r="N1194" s="26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19"/>
      <c r="B1195" s="99"/>
      <c r="C1195" s="26"/>
      <c r="D1195" s="19"/>
      <c r="E1195" s="26"/>
      <c r="F1195" s="26"/>
      <c r="G1195" s="26"/>
      <c r="H1195" s="26"/>
      <c r="I1195" s="26"/>
      <c r="J1195" s="26"/>
      <c r="K1195" s="19"/>
      <c r="L1195" s="26"/>
      <c r="M1195" s="19"/>
      <c r="N1195" s="26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19"/>
      <c r="B1196" s="99"/>
      <c r="C1196" s="26"/>
      <c r="D1196" s="19"/>
      <c r="E1196" s="26"/>
      <c r="F1196" s="26"/>
      <c r="G1196" s="26"/>
      <c r="H1196" s="26"/>
      <c r="I1196" s="26"/>
      <c r="J1196" s="26"/>
      <c r="K1196" s="19"/>
      <c r="L1196" s="26"/>
      <c r="M1196" s="19"/>
      <c r="N1196" s="26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19"/>
      <c r="B1197" s="99"/>
      <c r="C1197" s="26"/>
      <c r="D1197" s="19"/>
      <c r="E1197" s="26"/>
      <c r="F1197" s="26"/>
      <c r="G1197" s="26"/>
      <c r="H1197" s="26"/>
      <c r="I1197" s="26"/>
      <c r="J1197" s="26"/>
      <c r="K1197" s="19"/>
      <c r="L1197" s="26"/>
      <c r="M1197" s="19"/>
      <c r="N1197" s="26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19"/>
      <c r="B1198" s="99"/>
      <c r="C1198" s="26"/>
      <c r="D1198" s="19"/>
      <c r="E1198" s="26"/>
      <c r="F1198" s="26"/>
      <c r="G1198" s="26"/>
      <c r="H1198" s="26"/>
      <c r="I1198" s="26"/>
      <c r="J1198" s="26"/>
      <c r="K1198" s="19"/>
      <c r="L1198" s="26"/>
      <c r="M1198" s="19"/>
      <c r="N1198" s="26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19"/>
      <c r="B1199" s="99"/>
      <c r="C1199" s="26"/>
      <c r="D1199" s="19"/>
      <c r="E1199" s="26"/>
      <c r="F1199" s="26"/>
      <c r="G1199" s="26"/>
      <c r="H1199" s="26"/>
      <c r="I1199" s="26"/>
      <c r="J1199" s="26"/>
      <c r="K1199" s="19"/>
      <c r="L1199" s="26"/>
      <c r="M1199" s="19"/>
      <c r="N1199" s="26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19"/>
      <c r="B1200" s="99"/>
      <c r="C1200" s="26"/>
      <c r="D1200" s="19"/>
      <c r="E1200" s="26"/>
      <c r="F1200" s="26"/>
      <c r="G1200" s="26"/>
      <c r="H1200" s="26"/>
      <c r="I1200" s="26"/>
      <c r="J1200" s="26"/>
      <c r="K1200" s="19"/>
      <c r="L1200" s="26"/>
      <c r="M1200" s="19"/>
      <c r="N1200" s="26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19"/>
      <c r="B1201" s="99"/>
      <c r="C1201" s="26"/>
      <c r="D1201" s="19"/>
      <c r="E1201" s="26"/>
      <c r="F1201" s="26"/>
      <c r="G1201" s="26"/>
      <c r="H1201" s="26"/>
      <c r="I1201" s="26"/>
      <c r="J1201" s="26"/>
      <c r="K1201" s="19"/>
      <c r="L1201" s="26"/>
      <c r="M1201" s="19"/>
      <c r="N1201" s="26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19"/>
      <c r="B1202" s="99"/>
      <c r="C1202" s="26"/>
      <c r="D1202" s="19"/>
      <c r="E1202" s="26"/>
      <c r="F1202" s="26"/>
      <c r="G1202" s="26"/>
      <c r="H1202" s="26"/>
      <c r="I1202" s="26"/>
      <c r="J1202" s="26"/>
      <c r="K1202" s="19"/>
      <c r="L1202" s="26"/>
      <c r="M1202" s="19"/>
      <c r="N1202" s="26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19"/>
      <c r="B1203" s="99"/>
      <c r="C1203" s="26"/>
      <c r="D1203" s="19"/>
      <c r="E1203" s="26"/>
      <c r="F1203" s="26"/>
      <c r="G1203" s="26"/>
      <c r="H1203" s="26"/>
      <c r="I1203" s="26"/>
      <c r="J1203" s="26"/>
      <c r="K1203" s="19"/>
      <c r="L1203" s="26"/>
      <c r="M1203" s="19"/>
      <c r="N1203" s="26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19"/>
      <c r="B1204" s="99"/>
      <c r="C1204" s="26"/>
      <c r="D1204" s="19"/>
      <c r="E1204" s="26"/>
      <c r="F1204" s="26"/>
      <c r="G1204" s="26"/>
      <c r="H1204" s="26"/>
      <c r="I1204" s="26"/>
      <c r="J1204" s="26"/>
      <c r="K1204" s="19"/>
      <c r="L1204" s="26"/>
      <c r="M1204" s="19"/>
      <c r="N1204" s="26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19"/>
      <c r="B1205" s="99"/>
      <c r="C1205" s="26"/>
      <c r="D1205" s="19"/>
      <c r="E1205" s="26"/>
      <c r="F1205" s="26"/>
      <c r="G1205" s="26"/>
      <c r="H1205" s="26"/>
      <c r="I1205" s="26"/>
      <c r="J1205" s="26"/>
      <c r="K1205" s="19"/>
      <c r="L1205" s="26"/>
      <c r="M1205" s="19"/>
      <c r="N1205" s="26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19"/>
      <c r="B1206" s="99"/>
      <c r="C1206" s="26"/>
      <c r="D1206" s="19"/>
      <c r="E1206" s="26"/>
      <c r="F1206" s="26"/>
      <c r="G1206" s="26"/>
      <c r="H1206" s="26"/>
      <c r="I1206" s="26"/>
      <c r="J1206" s="26"/>
      <c r="K1206" s="19"/>
      <c r="L1206" s="26"/>
      <c r="M1206" s="19"/>
      <c r="N1206" s="26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19"/>
      <c r="B1207" s="99"/>
      <c r="C1207" s="26"/>
      <c r="D1207" s="19"/>
      <c r="E1207" s="26"/>
      <c r="F1207" s="26"/>
      <c r="G1207" s="26"/>
      <c r="H1207" s="26"/>
      <c r="I1207" s="26"/>
      <c r="J1207" s="26"/>
      <c r="K1207" s="19"/>
      <c r="L1207" s="26"/>
      <c r="M1207" s="19"/>
      <c r="N1207" s="26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19"/>
      <c r="B1208" s="99"/>
      <c r="C1208" s="26"/>
      <c r="D1208" s="19"/>
      <c r="E1208" s="26"/>
      <c r="F1208" s="26"/>
      <c r="G1208" s="26"/>
      <c r="H1208" s="26"/>
      <c r="I1208" s="26"/>
      <c r="J1208" s="26"/>
      <c r="K1208" s="19"/>
      <c r="L1208" s="26"/>
      <c r="M1208" s="19"/>
      <c r="N1208" s="26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19"/>
      <c r="B1209" s="99"/>
      <c r="C1209" s="26"/>
      <c r="D1209" s="19"/>
      <c r="E1209" s="26"/>
      <c r="F1209" s="26"/>
      <c r="G1209" s="26"/>
      <c r="H1209" s="26"/>
      <c r="I1209" s="26"/>
      <c r="J1209" s="26"/>
      <c r="K1209" s="19"/>
      <c r="L1209" s="26"/>
      <c r="M1209" s="19"/>
      <c r="N1209" s="26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19"/>
      <c r="B1210" s="99"/>
      <c r="C1210" s="26"/>
      <c r="D1210" s="19"/>
      <c r="E1210" s="26"/>
      <c r="F1210" s="26"/>
      <c r="G1210" s="26"/>
      <c r="H1210" s="26"/>
      <c r="I1210" s="26"/>
      <c r="J1210" s="26"/>
      <c r="K1210" s="19"/>
      <c r="L1210" s="26"/>
      <c r="M1210" s="19"/>
      <c r="N1210" s="26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19"/>
      <c r="B1211" s="99"/>
      <c r="C1211" s="26"/>
      <c r="D1211" s="19"/>
      <c r="E1211" s="26"/>
      <c r="F1211" s="26"/>
      <c r="G1211" s="26"/>
      <c r="H1211" s="26"/>
      <c r="I1211" s="26"/>
      <c r="J1211" s="26"/>
      <c r="K1211" s="19"/>
      <c r="L1211" s="26"/>
      <c r="M1211" s="19"/>
      <c r="N1211" s="26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19"/>
      <c r="B1212" s="99"/>
      <c r="C1212" s="26"/>
      <c r="D1212" s="19"/>
      <c r="E1212" s="26"/>
      <c r="F1212" s="26"/>
      <c r="G1212" s="26"/>
      <c r="H1212" s="26"/>
      <c r="I1212" s="26"/>
      <c r="J1212" s="26"/>
      <c r="K1212" s="19"/>
      <c r="L1212" s="26"/>
      <c r="M1212" s="19"/>
      <c r="N1212" s="26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19"/>
      <c r="B1213" s="99"/>
      <c r="C1213" s="26"/>
      <c r="D1213" s="19"/>
      <c r="E1213" s="26"/>
      <c r="F1213" s="26"/>
      <c r="G1213" s="26"/>
      <c r="H1213" s="26"/>
      <c r="I1213" s="26"/>
      <c r="J1213" s="26"/>
      <c r="K1213" s="19"/>
      <c r="L1213" s="26"/>
      <c r="M1213" s="19"/>
      <c r="N1213" s="26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19"/>
      <c r="B1214" s="99"/>
      <c r="C1214" s="26"/>
      <c r="D1214" s="19"/>
      <c r="E1214" s="26"/>
      <c r="F1214" s="26"/>
      <c r="G1214" s="26"/>
      <c r="H1214" s="26"/>
      <c r="I1214" s="26"/>
      <c r="J1214" s="26"/>
      <c r="K1214" s="19"/>
      <c r="L1214" s="26"/>
      <c r="M1214" s="19"/>
      <c r="N1214" s="26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19"/>
      <c r="B1215" s="99"/>
      <c r="C1215" s="26"/>
      <c r="D1215" s="19"/>
      <c r="E1215" s="26"/>
      <c r="F1215" s="26"/>
      <c r="G1215" s="26"/>
      <c r="H1215" s="26"/>
      <c r="I1215" s="26"/>
      <c r="J1215" s="26"/>
      <c r="K1215" s="19"/>
      <c r="L1215" s="26"/>
      <c r="M1215" s="19"/>
      <c r="N1215" s="26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19"/>
      <c r="B1216" s="99"/>
      <c r="C1216" s="26"/>
      <c r="D1216" s="19"/>
      <c r="E1216" s="26"/>
      <c r="F1216" s="26"/>
      <c r="G1216" s="26"/>
      <c r="H1216" s="26"/>
      <c r="I1216" s="26"/>
      <c r="J1216" s="26"/>
      <c r="K1216" s="19"/>
      <c r="L1216" s="26"/>
      <c r="M1216" s="19"/>
      <c r="N1216" s="26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19"/>
      <c r="B1217" s="99"/>
      <c r="C1217" s="26"/>
      <c r="D1217" s="19"/>
      <c r="E1217" s="26"/>
      <c r="F1217" s="26"/>
      <c r="G1217" s="26"/>
      <c r="H1217" s="26"/>
      <c r="I1217" s="26"/>
      <c r="J1217" s="26"/>
      <c r="K1217" s="19"/>
      <c r="L1217" s="26"/>
      <c r="M1217" s="19"/>
      <c r="N1217" s="26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19"/>
      <c r="B1218" s="99"/>
      <c r="C1218" s="26"/>
      <c r="D1218" s="19"/>
      <c r="E1218" s="26"/>
      <c r="F1218" s="26"/>
      <c r="G1218" s="26"/>
      <c r="H1218" s="26"/>
      <c r="I1218" s="26"/>
      <c r="J1218" s="26"/>
      <c r="K1218" s="19"/>
      <c r="L1218" s="26"/>
      <c r="M1218" s="19"/>
      <c r="N1218" s="26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19"/>
      <c r="B1219" s="99"/>
      <c r="C1219" s="26"/>
      <c r="D1219" s="19"/>
      <c r="E1219" s="26"/>
      <c r="F1219" s="26"/>
      <c r="G1219" s="26"/>
      <c r="H1219" s="26"/>
      <c r="I1219" s="26"/>
      <c r="J1219" s="26"/>
      <c r="K1219" s="19"/>
      <c r="L1219" s="26"/>
      <c r="M1219" s="19"/>
      <c r="N1219" s="26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19"/>
      <c r="B1220" s="99"/>
      <c r="C1220" s="26"/>
      <c r="D1220" s="19"/>
      <c r="E1220" s="26"/>
      <c r="F1220" s="26"/>
      <c r="G1220" s="26"/>
      <c r="H1220" s="26"/>
      <c r="I1220" s="26"/>
      <c r="J1220" s="26"/>
      <c r="K1220" s="19"/>
      <c r="L1220" s="26"/>
      <c r="M1220" s="19"/>
      <c r="N1220" s="26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19"/>
      <c r="B1221" s="99"/>
      <c r="C1221" s="26"/>
      <c r="D1221" s="19"/>
      <c r="E1221" s="26"/>
      <c r="F1221" s="26"/>
      <c r="G1221" s="26"/>
      <c r="H1221" s="26"/>
      <c r="I1221" s="26"/>
      <c r="J1221" s="26"/>
      <c r="K1221" s="19"/>
      <c r="L1221" s="26"/>
      <c r="M1221" s="19"/>
      <c r="N1221" s="26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19"/>
      <c r="B1222" s="99"/>
      <c r="C1222" s="26"/>
      <c r="D1222" s="19"/>
      <c r="E1222" s="26"/>
      <c r="F1222" s="26"/>
      <c r="G1222" s="26"/>
      <c r="H1222" s="26"/>
      <c r="I1222" s="26"/>
      <c r="J1222" s="26"/>
      <c r="K1222" s="19"/>
      <c r="L1222" s="26"/>
      <c r="M1222" s="19"/>
      <c r="N1222" s="26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19"/>
      <c r="B1223" s="99"/>
      <c r="C1223" s="26"/>
      <c r="D1223" s="19"/>
      <c r="E1223" s="26"/>
      <c r="F1223" s="26"/>
      <c r="G1223" s="26"/>
      <c r="H1223" s="26"/>
      <c r="I1223" s="26"/>
      <c r="J1223" s="26"/>
      <c r="K1223" s="19"/>
      <c r="L1223" s="26"/>
      <c r="M1223" s="19"/>
      <c r="N1223" s="26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19"/>
      <c r="B1224" s="99"/>
      <c r="C1224" s="26"/>
      <c r="D1224" s="19"/>
      <c r="E1224" s="26"/>
      <c r="F1224" s="26"/>
      <c r="G1224" s="26"/>
      <c r="H1224" s="26"/>
      <c r="I1224" s="26"/>
      <c r="J1224" s="26"/>
      <c r="K1224" s="19"/>
      <c r="L1224" s="26"/>
      <c r="M1224" s="19"/>
      <c r="N1224" s="26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19"/>
      <c r="B1225" s="99"/>
      <c r="C1225" s="26"/>
      <c r="D1225" s="19"/>
      <c r="E1225" s="26"/>
      <c r="F1225" s="26"/>
      <c r="G1225" s="26"/>
      <c r="H1225" s="26"/>
      <c r="I1225" s="26"/>
      <c r="J1225" s="26"/>
      <c r="K1225" s="19"/>
      <c r="L1225" s="26"/>
      <c r="M1225" s="19"/>
      <c r="N1225" s="26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19"/>
      <c r="B1226" s="99"/>
      <c r="C1226" s="26"/>
      <c r="D1226" s="19"/>
      <c r="E1226" s="26"/>
      <c r="F1226" s="26"/>
      <c r="G1226" s="26"/>
      <c r="H1226" s="26"/>
      <c r="I1226" s="26"/>
      <c r="J1226" s="26"/>
      <c r="K1226" s="19"/>
      <c r="L1226" s="26"/>
      <c r="M1226" s="19"/>
      <c r="N1226" s="26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19"/>
      <c r="B1227" s="99"/>
      <c r="C1227" s="26"/>
      <c r="D1227" s="19"/>
      <c r="E1227" s="26"/>
      <c r="F1227" s="26"/>
      <c r="G1227" s="26"/>
      <c r="H1227" s="26"/>
      <c r="I1227" s="26"/>
      <c r="J1227" s="26"/>
      <c r="K1227" s="19"/>
      <c r="L1227" s="26"/>
      <c r="M1227" s="19"/>
      <c r="N1227" s="26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19"/>
      <c r="B1228" s="99"/>
      <c r="C1228" s="26"/>
      <c r="D1228" s="19"/>
      <c r="E1228" s="26"/>
      <c r="F1228" s="26"/>
      <c r="G1228" s="26"/>
      <c r="H1228" s="26"/>
      <c r="I1228" s="26"/>
      <c r="J1228" s="26"/>
      <c r="K1228" s="19"/>
      <c r="L1228" s="26"/>
      <c r="M1228" s="19"/>
      <c r="N1228" s="26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19"/>
      <c r="B1229" s="99"/>
      <c r="C1229" s="26"/>
      <c r="D1229" s="19"/>
      <c r="E1229" s="26"/>
      <c r="F1229" s="26"/>
      <c r="G1229" s="26"/>
      <c r="H1229" s="26"/>
      <c r="I1229" s="26"/>
      <c r="J1229" s="26"/>
      <c r="K1229" s="19"/>
      <c r="L1229" s="26"/>
      <c r="M1229" s="19"/>
      <c r="N1229" s="26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19"/>
      <c r="B1230" s="99"/>
      <c r="C1230" s="26"/>
      <c r="D1230" s="19"/>
      <c r="E1230" s="26"/>
      <c r="F1230" s="26"/>
      <c r="G1230" s="26"/>
      <c r="H1230" s="26"/>
      <c r="I1230" s="26"/>
      <c r="J1230" s="26"/>
      <c r="K1230" s="19"/>
      <c r="L1230" s="26"/>
      <c r="M1230" s="19"/>
      <c r="N1230" s="26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19"/>
      <c r="B1231" s="99"/>
      <c r="C1231" s="26"/>
      <c r="D1231" s="19"/>
      <c r="E1231" s="26"/>
      <c r="F1231" s="26"/>
      <c r="G1231" s="26"/>
      <c r="H1231" s="26"/>
      <c r="I1231" s="26"/>
      <c r="J1231" s="26"/>
      <c r="K1231" s="19"/>
      <c r="L1231" s="26"/>
      <c r="M1231" s="19"/>
      <c r="N1231" s="26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19"/>
      <c r="B1232" s="99"/>
      <c r="C1232" s="26"/>
      <c r="D1232" s="19"/>
      <c r="E1232" s="26"/>
      <c r="F1232" s="26"/>
      <c r="G1232" s="26"/>
      <c r="H1232" s="26"/>
      <c r="I1232" s="26"/>
      <c r="J1232" s="26"/>
      <c r="K1232" s="19"/>
      <c r="L1232" s="26"/>
      <c r="M1232" s="19"/>
      <c r="N1232" s="26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19"/>
      <c r="B1233" s="99"/>
      <c r="C1233" s="26"/>
      <c r="D1233" s="19"/>
      <c r="E1233" s="26"/>
      <c r="F1233" s="26"/>
      <c r="G1233" s="26"/>
      <c r="H1233" s="26"/>
      <c r="I1233" s="26"/>
      <c r="J1233" s="26"/>
      <c r="K1233" s="19"/>
      <c r="L1233" s="26"/>
      <c r="M1233" s="19"/>
      <c r="N1233" s="26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19"/>
      <c r="B1234" s="99"/>
      <c r="C1234" s="26"/>
      <c r="D1234" s="19"/>
      <c r="E1234" s="26"/>
      <c r="F1234" s="26"/>
      <c r="G1234" s="26"/>
      <c r="H1234" s="26"/>
      <c r="I1234" s="26"/>
      <c r="J1234" s="26"/>
      <c r="K1234" s="19"/>
      <c r="L1234" s="26"/>
      <c r="M1234" s="19"/>
      <c r="N1234" s="26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19"/>
      <c r="B1235" s="99"/>
      <c r="C1235" s="26"/>
      <c r="D1235" s="19"/>
      <c r="E1235" s="26"/>
      <c r="F1235" s="26"/>
      <c r="G1235" s="26"/>
      <c r="H1235" s="26"/>
      <c r="I1235" s="26"/>
      <c r="J1235" s="26"/>
      <c r="K1235" s="19"/>
      <c r="L1235" s="26"/>
      <c r="M1235" s="19"/>
      <c r="N1235" s="26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19"/>
      <c r="B1236" s="99"/>
      <c r="C1236" s="26"/>
      <c r="D1236" s="19"/>
      <c r="E1236" s="26"/>
      <c r="F1236" s="26"/>
      <c r="G1236" s="26"/>
      <c r="H1236" s="26"/>
      <c r="I1236" s="26"/>
      <c r="J1236" s="26"/>
      <c r="K1236" s="19"/>
      <c r="L1236" s="26"/>
      <c r="M1236" s="19"/>
      <c r="N1236" s="26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19"/>
      <c r="B1237" s="99"/>
      <c r="C1237" s="26"/>
      <c r="D1237" s="19"/>
      <c r="E1237" s="26"/>
      <c r="F1237" s="26"/>
      <c r="G1237" s="26"/>
      <c r="H1237" s="26"/>
      <c r="I1237" s="26"/>
      <c r="J1237" s="26"/>
      <c r="K1237" s="19"/>
      <c r="L1237" s="26"/>
      <c r="M1237" s="19"/>
      <c r="N1237" s="26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19"/>
      <c r="B1238" s="99"/>
      <c r="C1238" s="26"/>
      <c r="D1238" s="19"/>
      <c r="E1238" s="26"/>
      <c r="F1238" s="26"/>
      <c r="G1238" s="26"/>
      <c r="H1238" s="26"/>
      <c r="I1238" s="26"/>
      <c r="J1238" s="26"/>
      <c r="K1238" s="19"/>
      <c r="L1238" s="26"/>
      <c r="M1238" s="19"/>
      <c r="N1238" s="26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19"/>
      <c r="B1239" s="99"/>
      <c r="C1239" s="26"/>
      <c r="D1239" s="19"/>
      <c r="E1239" s="26"/>
      <c r="F1239" s="26"/>
      <c r="G1239" s="26"/>
      <c r="H1239" s="26"/>
      <c r="I1239" s="26"/>
      <c r="J1239" s="26"/>
      <c r="K1239" s="19"/>
      <c r="L1239" s="26"/>
      <c r="M1239" s="19"/>
      <c r="N1239" s="26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19"/>
      <c r="B1240" s="99"/>
      <c r="C1240" s="26"/>
      <c r="D1240" s="19"/>
      <c r="E1240" s="26"/>
      <c r="F1240" s="26"/>
      <c r="G1240" s="26"/>
      <c r="H1240" s="26"/>
      <c r="I1240" s="26"/>
      <c r="J1240" s="26"/>
      <c r="K1240" s="19"/>
      <c r="L1240" s="26"/>
      <c r="M1240" s="19"/>
      <c r="N1240" s="26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19"/>
      <c r="B1241" s="99"/>
      <c r="C1241" s="26"/>
      <c r="D1241" s="19"/>
      <c r="E1241" s="26"/>
      <c r="F1241" s="26"/>
      <c r="G1241" s="26"/>
      <c r="H1241" s="26"/>
      <c r="I1241" s="26"/>
      <c r="J1241" s="26"/>
      <c r="K1241" s="19"/>
      <c r="L1241" s="26"/>
      <c r="M1241" s="19"/>
      <c r="N1241" s="26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19"/>
      <c r="B1242" s="99"/>
      <c r="C1242" s="26"/>
      <c r="D1242" s="19"/>
      <c r="E1242" s="26"/>
      <c r="F1242" s="26"/>
      <c r="G1242" s="26"/>
      <c r="H1242" s="26"/>
      <c r="I1242" s="26"/>
      <c r="J1242" s="26"/>
      <c r="K1242" s="19"/>
      <c r="L1242" s="26"/>
      <c r="M1242" s="19"/>
      <c r="N1242" s="26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19"/>
      <c r="B1243" s="99"/>
      <c r="C1243" s="26"/>
      <c r="D1243" s="19"/>
      <c r="E1243" s="26"/>
      <c r="F1243" s="26"/>
      <c r="G1243" s="26"/>
      <c r="H1243" s="26"/>
      <c r="I1243" s="26"/>
      <c r="J1243" s="26"/>
      <c r="K1243" s="19"/>
      <c r="L1243" s="26"/>
      <c r="M1243" s="19"/>
      <c r="N1243" s="26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19"/>
      <c r="B1244" s="99"/>
      <c r="C1244" s="26"/>
      <c r="D1244" s="19"/>
      <c r="E1244" s="26"/>
      <c r="F1244" s="26"/>
      <c r="G1244" s="26"/>
      <c r="H1244" s="26"/>
      <c r="I1244" s="26"/>
      <c r="J1244" s="26"/>
      <c r="K1244" s="19"/>
      <c r="L1244" s="26"/>
      <c r="M1244" s="19"/>
      <c r="N1244" s="26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19"/>
      <c r="B1245" s="99"/>
      <c r="C1245" s="26"/>
      <c r="D1245" s="19"/>
      <c r="E1245" s="26"/>
      <c r="F1245" s="26"/>
      <c r="G1245" s="26"/>
      <c r="H1245" s="26"/>
      <c r="I1245" s="26"/>
      <c r="J1245" s="26"/>
      <c r="K1245" s="19"/>
      <c r="L1245" s="26"/>
      <c r="M1245" s="19"/>
      <c r="N1245" s="26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19"/>
      <c r="B1246" s="99"/>
      <c r="C1246" s="26"/>
      <c r="D1246" s="19"/>
      <c r="E1246" s="26"/>
      <c r="F1246" s="26"/>
      <c r="G1246" s="26"/>
      <c r="H1246" s="26"/>
      <c r="I1246" s="26"/>
      <c r="J1246" s="26"/>
      <c r="K1246" s="19"/>
      <c r="L1246" s="26"/>
      <c r="M1246" s="19"/>
      <c r="N1246" s="26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19"/>
      <c r="B1247" s="99"/>
      <c r="C1247" s="26"/>
      <c r="D1247" s="19"/>
      <c r="E1247" s="26"/>
      <c r="F1247" s="26"/>
      <c r="G1247" s="26"/>
      <c r="H1247" s="26"/>
      <c r="I1247" s="26"/>
      <c r="J1247" s="26"/>
      <c r="K1247" s="19"/>
      <c r="L1247" s="26"/>
      <c r="M1247" s="19"/>
      <c r="N1247" s="26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19"/>
      <c r="B1248" s="99"/>
      <c r="C1248" s="26"/>
      <c r="D1248" s="19"/>
      <c r="E1248" s="26"/>
      <c r="F1248" s="26"/>
      <c r="G1248" s="26"/>
      <c r="H1248" s="26"/>
      <c r="I1248" s="26"/>
      <c r="J1248" s="26"/>
      <c r="K1248" s="19"/>
      <c r="L1248" s="26"/>
      <c r="M1248" s="19"/>
      <c r="N1248" s="26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19"/>
      <c r="B1249" s="99"/>
      <c r="C1249" s="26"/>
      <c r="D1249" s="19"/>
      <c r="E1249" s="26"/>
      <c r="F1249" s="26"/>
      <c r="G1249" s="26"/>
      <c r="H1249" s="26"/>
      <c r="I1249" s="26"/>
      <c r="J1249" s="26"/>
      <c r="K1249" s="19"/>
      <c r="L1249" s="26"/>
      <c r="M1249" s="19"/>
      <c r="N1249" s="26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19"/>
      <c r="B1250" s="99"/>
      <c r="C1250" s="26"/>
      <c r="D1250" s="19"/>
      <c r="E1250" s="26"/>
      <c r="F1250" s="26"/>
      <c r="G1250" s="26"/>
      <c r="H1250" s="26"/>
      <c r="I1250" s="26"/>
      <c r="J1250" s="26"/>
      <c r="K1250" s="19"/>
      <c r="L1250" s="26"/>
      <c r="M1250" s="19"/>
      <c r="N1250" s="26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19"/>
      <c r="B1251" s="99"/>
      <c r="C1251" s="26"/>
      <c r="D1251" s="19"/>
      <c r="E1251" s="26"/>
      <c r="F1251" s="26"/>
      <c r="G1251" s="26"/>
      <c r="H1251" s="26"/>
      <c r="I1251" s="26"/>
      <c r="J1251" s="26"/>
      <c r="K1251" s="19"/>
      <c r="L1251" s="26"/>
      <c r="M1251" s="19"/>
      <c r="N1251" s="26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19"/>
      <c r="B1252" s="99"/>
      <c r="C1252" s="26"/>
      <c r="D1252" s="19"/>
      <c r="E1252" s="26"/>
      <c r="F1252" s="26"/>
      <c r="G1252" s="26"/>
      <c r="H1252" s="26"/>
      <c r="I1252" s="26"/>
      <c r="J1252" s="26"/>
      <c r="K1252" s="19"/>
      <c r="L1252" s="26"/>
      <c r="M1252" s="19"/>
      <c r="N1252" s="26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19"/>
      <c r="B1253" s="99"/>
      <c r="C1253" s="26"/>
      <c r="D1253" s="19"/>
      <c r="E1253" s="26"/>
      <c r="F1253" s="26"/>
      <c r="G1253" s="26"/>
      <c r="H1253" s="26"/>
      <c r="I1253" s="26"/>
      <c r="J1253" s="26"/>
      <c r="K1253" s="19"/>
      <c r="L1253" s="26"/>
      <c r="M1253" s="19"/>
      <c r="N1253" s="26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19"/>
      <c r="B1254" s="99"/>
      <c r="C1254" s="26"/>
      <c r="D1254" s="19"/>
      <c r="E1254" s="26"/>
      <c r="F1254" s="26"/>
      <c r="G1254" s="26"/>
      <c r="H1254" s="26"/>
      <c r="I1254" s="26"/>
      <c r="J1254" s="26"/>
      <c r="K1254" s="19"/>
      <c r="L1254" s="26"/>
      <c r="M1254" s="19"/>
      <c r="N1254" s="26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19"/>
      <c r="B1255" s="99"/>
      <c r="C1255" s="26"/>
      <c r="D1255" s="19"/>
      <c r="E1255" s="26"/>
      <c r="F1255" s="26"/>
      <c r="G1255" s="26"/>
      <c r="H1255" s="26"/>
      <c r="I1255" s="26"/>
      <c r="J1255" s="26"/>
      <c r="K1255" s="19"/>
      <c r="L1255" s="26"/>
      <c r="M1255" s="19"/>
      <c r="N1255" s="26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19"/>
      <c r="B1256" s="99"/>
      <c r="C1256" s="26"/>
      <c r="D1256" s="19"/>
      <c r="E1256" s="26"/>
      <c r="F1256" s="26"/>
      <c r="G1256" s="26"/>
      <c r="H1256" s="26"/>
      <c r="I1256" s="26"/>
      <c r="J1256" s="26"/>
      <c r="K1256" s="19"/>
      <c r="L1256" s="26"/>
      <c r="M1256" s="19"/>
      <c r="N1256" s="26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19"/>
      <c r="B1257" s="99"/>
      <c r="C1257" s="26"/>
      <c r="D1257" s="19"/>
      <c r="E1257" s="26"/>
      <c r="F1257" s="26"/>
      <c r="G1257" s="26"/>
      <c r="H1257" s="26"/>
      <c r="I1257" s="26"/>
      <c r="J1257" s="26"/>
      <c r="K1257" s="19"/>
      <c r="L1257" s="26"/>
      <c r="M1257" s="19"/>
      <c r="N1257" s="26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19"/>
      <c r="B1258" s="99"/>
      <c r="C1258" s="26"/>
      <c r="D1258" s="19"/>
      <c r="E1258" s="26"/>
      <c r="F1258" s="26"/>
      <c r="G1258" s="26"/>
      <c r="H1258" s="26"/>
      <c r="I1258" s="26"/>
      <c r="J1258" s="26"/>
      <c r="K1258" s="19"/>
      <c r="L1258" s="26"/>
      <c r="M1258" s="19"/>
      <c r="N1258" s="26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19"/>
      <c r="B1259" s="99"/>
      <c r="C1259" s="26"/>
      <c r="D1259" s="19"/>
      <c r="E1259" s="26"/>
      <c r="F1259" s="26"/>
      <c r="G1259" s="26"/>
      <c r="H1259" s="26"/>
      <c r="I1259" s="26"/>
      <c r="J1259" s="26"/>
      <c r="K1259" s="19"/>
      <c r="L1259" s="26"/>
      <c r="M1259" s="19"/>
      <c r="N1259" s="26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19"/>
      <c r="B1260" s="99"/>
      <c r="C1260" s="26"/>
      <c r="D1260" s="19"/>
      <c r="E1260" s="26"/>
      <c r="F1260" s="26"/>
      <c r="G1260" s="26"/>
      <c r="H1260" s="26"/>
      <c r="I1260" s="26"/>
      <c r="J1260" s="26"/>
      <c r="K1260" s="19"/>
      <c r="L1260" s="26"/>
      <c r="M1260" s="19"/>
      <c r="N1260" s="26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19"/>
      <c r="B1261" s="99"/>
      <c r="C1261" s="26"/>
      <c r="D1261" s="19"/>
      <c r="E1261" s="26"/>
      <c r="F1261" s="26"/>
      <c r="G1261" s="26"/>
      <c r="H1261" s="26"/>
      <c r="I1261" s="26"/>
      <c r="J1261" s="26"/>
      <c r="K1261" s="19"/>
      <c r="L1261" s="26"/>
      <c r="M1261" s="19"/>
      <c r="N1261" s="26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19"/>
      <c r="B1262" s="99"/>
      <c r="C1262" s="26"/>
      <c r="D1262" s="19"/>
      <c r="E1262" s="26"/>
      <c r="F1262" s="26"/>
      <c r="G1262" s="26"/>
      <c r="H1262" s="26"/>
      <c r="I1262" s="26"/>
      <c r="J1262" s="26"/>
      <c r="K1262" s="19"/>
      <c r="L1262" s="26"/>
      <c r="M1262" s="19"/>
      <c r="N1262" s="26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19"/>
      <c r="B1263" s="99"/>
      <c r="C1263" s="26"/>
      <c r="D1263" s="19"/>
      <c r="E1263" s="26"/>
      <c r="F1263" s="26"/>
      <c r="G1263" s="26"/>
      <c r="H1263" s="26"/>
      <c r="I1263" s="26"/>
      <c r="J1263" s="26"/>
      <c r="K1263" s="19"/>
      <c r="L1263" s="26"/>
      <c r="M1263" s="19"/>
      <c r="N1263" s="26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19"/>
      <c r="B1264" s="99"/>
      <c r="C1264" s="26"/>
      <c r="D1264" s="19"/>
      <c r="E1264" s="26"/>
      <c r="F1264" s="26"/>
      <c r="G1264" s="26"/>
      <c r="H1264" s="26"/>
      <c r="I1264" s="26"/>
      <c r="J1264" s="26"/>
      <c r="K1264" s="19"/>
      <c r="L1264" s="26"/>
      <c r="M1264" s="19"/>
      <c r="N1264" s="26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19"/>
      <c r="B1265" s="99"/>
      <c r="C1265" s="26"/>
      <c r="D1265" s="19"/>
      <c r="E1265" s="26"/>
      <c r="F1265" s="26"/>
      <c r="G1265" s="26"/>
      <c r="H1265" s="26"/>
      <c r="I1265" s="26"/>
      <c r="J1265" s="26"/>
      <c r="K1265" s="19"/>
      <c r="L1265" s="26"/>
      <c r="M1265" s="19"/>
      <c r="N1265" s="26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19"/>
      <c r="B1266" s="99"/>
      <c r="C1266" s="26"/>
      <c r="D1266" s="19"/>
      <c r="E1266" s="26"/>
      <c r="F1266" s="26"/>
      <c r="G1266" s="26"/>
      <c r="H1266" s="26"/>
      <c r="I1266" s="26"/>
      <c r="J1266" s="26"/>
      <c r="K1266" s="19"/>
      <c r="L1266" s="26"/>
      <c r="M1266" s="19"/>
      <c r="N1266" s="26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19"/>
      <c r="B1267" s="99"/>
      <c r="C1267" s="26"/>
      <c r="D1267" s="19"/>
      <c r="E1267" s="26"/>
      <c r="F1267" s="26"/>
      <c r="G1267" s="26"/>
      <c r="H1267" s="26"/>
      <c r="I1267" s="26"/>
      <c r="J1267" s="26"/>
      <c r="K1267" s="19"/>
      <c r="L1267" s="26"/>
      <c r="M1267" s="19"/>
      <c r="N1267" s="26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19"/>
      <c r="B1268" s="99"/>
      <c r="C1268" s="26"/>
      <c r="D1268" s="19"/>
      <c r="E1268" s="26"/>
      <c r="F1268" s="26"/>
      <c r="G1268" s="26"/>
      <c r="H1268" s="26"/>
      <c r="I1268" s="26"/>
      <c r="J1268" s="26"/>
      <c r="K1268" s="19"/>
      <c r="L1268" s="26"/>
      <c r="M1268" s="19"/>
      <c r="N1268" s="26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19"/>
      <c r="B1269" s="99"/>
      <c r="C1269" s="26"/>
      <c r="D1269" s="19"/>
      <c r="E1269" s="26"/>
      <c r="F1269" s="26"/>
      <c r="G1269" s="26"/>
      <c r="H1269" s="26"/>
      <c r="I1269" s="26"/>
      <c r="J1269" s="26"/>
      <c r="K1269" s="19"/>
      <c r="L1269" s="26"/>
      <c r="M1269" s="19"/>
      <c r="N1269" s="26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19"/>
      <c r="B1270" s="99"/>
      <c r="C1270" s="26"/>
      <c r="D1270" s="19"/>
      <c r="E1270" s="26"/>
      <c r="F1270" s="26"/>
      <c r="G1270" s="26"/>
      <c r="H1270" s="26"/>
      <c r="I1270" s="26"/>
      <c r="J1270" s="26"/>
      <c r="K1270" s="19"/>
      <c r="L1270" s="26"/>
      <c r="M1270" s="19"/>
      <c r="N1270" s="26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19"/>
      <c r="B1271" s="99"/>
      <c r="C1271" s="26"/>
      <c r="D1271" s="19"/>
      <c r="E1271" s="26"/>
      <c r="F1271" s="26"/>
      <c r="G1271" s="26"/>
      <c r="H1271" s="26"/>
      <c r="I1271" s="26"/>
      <c r="J1271" s="26"/>
      <c r="K1271" s="19"/>
      <c r="L1271" s="26"/>
      <c r="M1271" s="19"/>
      <c r="N1271" s="26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19"/>
      <c r="B1272" s="99"/>
      <c r="C1272" s="26"/>
      <c r="D1272" s="19"/>
      <c r="E1272" s="26"/>
      <c r="F1272" s="26"/>
      <c r="G1272" s="26"/>
      <c r="H1272" s="26"/>
      <c r="I1272" s="26"/>
      <c r="J1272" s="26"/>
      <c r="K1272" s="19"/>
      <c r="L1272" s="26"/>
      <c r="M1272" s="19"/>
      <c r="N1272" s="26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19"/>
      <c r="B1273" s="99"/>
      <c r="C1273" s="26"/>
      <c r="D1273" s="19"/>
      <c r="E1273" s="26"/>
      <c r="F1273" s="26"/>
      <c r="G1273" s="26"/>
      <c r="H1273" s="26"/>
      <c r="I1273" s="26"/>
      <c r="J1273" s="26"/>
      <c r="K1273" s="19"/>
      <c r="L1273" s="26"/>
      <c r="M1273" s="19"/>
      <c r="N1273" s="26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19"/>
      <c r="B1274" s="99"/>
      <c r="C1274" s="26"/>
      <c r="D1274" s="19"/>
      <c r="E1274" s="26"/>
      <c r="F1274" s="26"/>
      <c r="G1274" s="26"/>
      <c r="H1274" s="26"/>
      <c r="I1274" s="26"/>
      <c r="J1274" s="26"/>
      <c r="K1274" s="19"/>
      <c r="L1274" s="26"/>
      <c r="M1274" s="19"/>
      <c r="N1274" s="26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19"/>
      <c r="B1275" s="99"/>
      <c r="C1275" s="26"/>
      <c r="D1275" s="19"/>
      <c r="E1275" s="26"/>
      <c r="F1275" s="26"/>
      <c r="G1275" s="26"/>
      <c r="H1275" s="26"/>
      <c r="I1275" s="26"/>
      <c r="J1275" s="26"/>
      <c r="K1275" s="19"/>
      <c r="L1275" s="26"/>
      <c r="M1275" s="19"/>
      <c r="N1275" s="26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19"/>
      <c r="B1276" s="99"/>
      <c r="C1276" s="26"/>
      <c r="D1276" s="19"/>
      <c r="E1276" s="26"/>
      <c r="F1276" s="26"/>
      <c r="G1276" s="26"/>
      <c r="H1276" s="26"/>
      <c r="I1276" s="26"/>
      <c r="J1276" s="26"/>
      <c r="K1276" s="19"/>
      <c r="L1276" s="26"/>
      <c r="M1276" s="19"/>
      <c r="N1276" s="26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19"/>
      <c r="B1277" s="99"/>
      <c r="C1277" s="26"/>
      <c r="D1277" s="19"/>
      <c r="E1277" s="26"/>
      <c r="F1277" s="26"/>
      <c r="G1277" s="26"/>
      <c r="H1277" s="26"/>
      <c r="I1277" s="26"/>
      <c r="J1277" s="26"/>
      <c r="K1277" s="19"/>
      <c r="L1277" s="26"/>
      <c r="M1277" s="19"/>
      <c r="N1277" s="26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19"/>
      <c r="B1278" s="99"/>
      <c r="C1278" s="26"/>
      <c r="D1278" s="19"/>
      <c r="E1278" s="26"/>
      <c r="F1278" s="26"/>
      <c r="G1278" s="26"/>
      <c r="H1278" s="26"/>
      <c r="I1278" s="26"/>
      <c r="J1278" s="26"/>
      <c r="K1278" s="19"/>
      <c r="L1278" s="26"/>
      <c r="M1278" s="19"/>
      <c r="N1278" s="26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19"/>
      <c r="B1279" s="99"/>
      <c r="C1279" s="26"/>
      <c r="D1279" s="19"/>
      <c r="E1279" s="26"/>
      <c r="F1279" s="26"/>
      <c r="G1279" s="26"/>
      <c r="H1279" s="26"/>
      <c r="I1279" s="26"/>
      <c r="J1279" s="26"/>
      <c r="K1279" s="19"/>
      <c r="L1279" s="26"/>
      <c r="M1279" s="19"/>
      <c r="N1279" s="26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19"/>
      <c r="B1280" s="99"/>
      <c r="C1280" s="26"/>
      <c r="D1280" s="19"/>
      <c r="E1280" s="26"/>
      <c r="F1280" s="26"/>
      <c r="G1280" s="26"/>
      <c r="H1280" s="26"/>
      <c r="I1280" s="26"/>
      <c r="J1280" s="26"/>
      <c r="K1280" s="19"/>
      <c r="L1280" s="26"/>
      <c r="M1280" s="19"/>
      <c r="N1280" s="26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19"/>
      <c r="B1281" s="99"/>
      <c r="C1281" s="26"/>
      <c r="D1281" s="19"/>
      <c r="E1281" s="26"/>
      <c r="F1281" s="26"/>
      <c r="G1281" s="26"/>
      <c r="H1281" s="26"/>
      <c r="I1281" s="26"/>
      <c r="J1281" s="26"/>
      <c r="K1281" s="19"/>
      <c r="L1281" s="26"/>
      <c r="M1281" s="19"/>
      <c r="N1281" s="26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19"/>
      <c r="B1282" s="99"/>
      <c r="C1282" s="26"/>
      <c r="D1282" s="19"/>
      <c r="E1282" s="26"/>
      <c r="F1282" s="26"/>
      <c r="G1282" s="26"/>
      <c r="H1282" s="26"/>
      <c r="I1282" s="26"/>
      <c r="J1282" s="26"/>
      <c r="K1282" s="19"/>
      <c r="L1282" s="26"/>
      <c r="M1282" s="19"/>
      <c r="N1282" s="26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19"/>
      <c r="B1283" s="99"/>
      <c r="C1283" s="26"/>
      <c r="D1283" s="19"/>
      <c r="E1283" s="26"/>
      <c r="F1283" s="26"/>
      <c r="G1283" s="26"/>
      <c r="H1283" s="26"/>
      <c r="I1283" s="26"/>
      <c r="J1283" s="26"/>
      <c r="K1283" s="19"/>
      <c r="L1283" s="26"/>
      <c r="M1283" s="19"/>
      <c r="N1283" s="26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19"/>
      <c r="B1284" s="99"/>
      <c r="C1284" s="26"/>
      <c r="D1284" s="19"/>
      <c r="E1284" s="26"/>
      <c r="F1284" s="26"/>
      <c r="G1284" s="26"/>
      <c r="H1284" s="26"/>
      <c r="I1284" s="26"/>
      <c r="J1284" s="26"/>
      <c r="K1284" s="19"/>
      <c r="L1284" s="26"/>
      <c r="M1284" s="19"/>
      <c r="N1284" s="26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19"/>
      <c r="B1285" s="99"/>
      <c r="C1285" s="26"/>
      <c r="D1285" s="19"/>
      <c r="E1285" s="26"/>
      <c r="F1285" s="26"/>
      <c r="G1285" s="26"/>
      <c r="H1285" s="26"/>
      <c r="I1285" s="26"/>
      <c r="J1285" s="26"/>
      <c r="K1285" s="19"/>
      <c r="L1285" s="26"/>
      <c r="M1285" s="19"/>
      <c r="N1285" s="26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19"/>
      <c r="B1286" s="99"/>
      <c r="C1286" s="26"/>
      <c r="D1286" s="19"/>
      <c r="E1286" s="26"/>
      <c r="F1286" s="26"/>
      <c r="G1286" s="26"/>
      <c r="H1286" s="26"/>
      <c r="I1286" s="26"/>
      <c r="J1286" s="26"/>
      <c r="K1286" s="19"/>
      <c r="L1286" s="26"/>
      <c r="M1286" s="19"/>
      <c r="N1286" s="26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19"/>
      <c r="B1287" s="99"/>
      <c r="C1287" s="26"/>
      <c r="D1287" s="19"/>
      <c r="E1287" s="26"/>
      <c r="F1287" s="26"/>
      <c r="G1287" s="26"/>
      <c r="H1287" s="26"/>
      <c r="I1287" s="26"/>
      <c r="J1287" s="26"/>
      <c r="K1287" s="19"/>
      <c r="L1287" s="26"/>
      <c r="M1287" s="19"/>
      <c r="N1287" s="26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19"/>
      <c r="B1288" s="99"/>
      <c r="C1288" s="26"/>
      <c r="D1288" s="19"/>
      <c r="E1288" s="26"/>
      <c r="F1288" s="26"/>
      <c r="G1288" s="26"/>
      <c r="H1288" s="26"/>
      <c r="I1288" s="26"/>
      <c r="J1288" s="26"/>
      <c r="K1288" s="19"/>
      <c r="L1288" s="26"/>
      <c r="M1288" s="19"/>
      <c r="N1288" s="26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19"/>
      <c r="B1289" s="99"/>
      <c r="C1289" s="26"/>
      <c r="D1289" s="19"/>
      <c r="E1289" s="26"/>
      <c r="F1289" s="26"/>
      <c r="G1289" s="26"/>
      <c r="H1289" s="26"/>
      <c r="I1289" s="26"/>
      <c r="J1289" s="26"/>
      <c r="K1289" s="19"/>
      <c r="L1289" s="26"/>
      <c r="M1289" s="19"/>
      <c r="N1289" s="26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19"/>
      <c r="B1290" s="99"/>
      <c r="C1290" s="26"/>
      <c r="D1290" s="19"/>
      <c r="E1290" s="26"/>
      <c r="F1290" s="26"/>
      <c r="G1290" s="26"/>
      <c r="H1290" s="26"/>
      <c r="I1290" s="26"/>
      <c r="J1290" s="26"/>
      <c r="K1290" s="19"/>
      <c r="L1290" s="26"/>
      <c r="M1290" s="19"/>
      <c r="N1290" s="26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19"/>
      <c r="B1291" s="99"/>
      <c r="C1291" s="26"/>
      <c r="D1291" s="19"/>
      <c r="E1291" s="26"/>
      <c r="F1291" s="26"/>
      <c r="G1291" s="26"/>
      <c r="H1291" s="26"/>
      <c r="I1291" s="26"/>
      <c r="J1291" s="26"/>
      <c r="K1291" s="19"/>
      <c r="L1291" s="26"/>
      <c r="M1291" s="19"/>
      <c r="N1291" s="26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19"/>
      <c r="B1292" s="99"/>
      <c r="C1292" s="26"/>
      <c r="D1292" s="19"/>
      <c r="E1292" s="26"/>
      <c r="F1292" s="26"/>
      <c r="G1292" s="26"/>
      <c r="H1292" s="26"/>
      <c r="I1292" s="26"/>
      <c r="J1292" s="26"/>
      <c r="K1292" s="19"/>
      <c r="L1292" s="26"/>
      <c r="M1292" s="19"/>
      <c r="N1292" s="26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19"/>
      <c r="B1293" s="99"/>
      <c r="C1293" s="26"/>
      <c r="D1293" s="19"/>
      <c r="E1293" s="26"/>
      <c r="F1293" s="26"/>
      <c r="G1293" s="26"/>
      <c r="H1293" s="26"/>
      <c r="I1293" s="26"/>
      <c r="J1293" s="26"/>
      <c r="K1293" s="19"/>
      <c r="L1293" s="26"/>
      <c r="M1293" s="19"/>
      <c r="N1293" s="26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19"/>
      <c r="B1294" s="99"/>
      <c r="C1294" s="26"/>
      <c r="D1294" s="19"/>
      <c r="E1294" s="26"/>
      <c r="F1294" s="26"/>
      <c r="G1294" s="26"/>
      <c r="H1294" s="26"/>
      <c r="I1294" s="26"/>
      <c r="J1294" s="26"/>
      <c r="K1294" s="19"/>
      <c r="L1294" s="26"/>
      <c r="M1294" s="19"/>
      <c r="N1294" s="26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19"/>
      <c r="B1295" s="99"/>
      <c r="C1295" s="26"/>
      <c r="D1295" s="19"/>
      <c r="E1295" s="26"/>
      <c r="F1295" s="26"/>
      <c r="G1295" s="26"/>
      <c r="H1295" s="26"/>
      <c r="I1295" s="26"/>
      <c r="J1295" s="26"/>
      <c r="K1295" s="19"/>
      <c r="L1295" s="26"/>
      <c r="M1295" s="19"/>
      <c r="N1295" s="26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19"/>
      <c r="B1296" s="99"/>
      <c r="C1296" s="26"/>
      <c r="D1296" s="19"/>
      <c r="E1296" s="26"/>
      <c r="F1296" s="26"/>
      <c r="G1296" s="26"/>
      <c r="H1296" s="26"/>
      <c r="I1296" s="26"/>
      <c r="J1296" s="26"/>
      <c r="K1296" s="19"/>
      <c r="L1296" s="26"/>
      <c r="M1296" s="19"/>
      <c r="N1296" s="26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19"/>
      <c r="B1297" s="99"/>
      <c r="C1297" s="26"/>
      <c r="D1297" s="19"/>
      <c r="E1297" s="26"/>
      <c r="F1297" s="26"/>
      <c r="G1297" s="26"/>
      <c r="H1297" s="26"/>
      <c r="I1297" s="26"/>
      <c r="J1297" s="26"/>
      <c r="K1297" s="19"/>
      <c r="L1297" s="26"/>
      <c r="M1297" s="19"/>
      <c r="N1297" s="26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19"/>
      <c r="B1298" s="99"/>
      <c r="C1298" s="26"/>
      <c r="D1298" s="19"/>
      <c r="E1298" s="26"/>
      <c r="F1298" s="26"/>
      <c r="G1298" s="26"/>
      <c r="H1298" s="26"/>
      <c r="I1298" s="26"/>
      <c r="J1298" s="26"/>
      <c r="K1298" s="19"/>
      <c r="L1298" s="26"/>
      <c r="M1298" s="19"/>
      <c r="N1298" s="26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19"/>
      <c r="B1299" s="99"/>
      <c r="C1299" s="26"/>
      <c r="D1299" s="19"/>
      <c r="E1299" s="26"/>
      <c r="F1299" s="26"/>
      <c r="G1299" s="26"/>
      <c r="H1299" s="26"/>
      <c r="I1299" s="26"/>
      <c r="J1299" s="26"/>
      <c r="K1299" s="19"/>
      <c r="L1299" s="26"/>
      <c r="M1299" s="19"/>
      <c r="N1299" s="26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19"/>
      <c r="B1300" s="99"/>
      <c r="C1300" s="26"/>
      <c r="D1300" s="19"/>
      <c r="E1300" s="26"/>
      <c r="F1300" s="26"/>
      <c r="G1300" s="26"/>
      <c r="H1300" s="26"/>
      <c r="I1300" s="26"/>
      <c r="J1300" s="26"/>
      <c r="K1300" s="19"/>
      <c r="L1300" s="26"/>
      <c r="M1300" s="19"/>
      <c r="N1300" s="26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19"/>
      <c r="B1301" s="99"/>
      <c r="C1301" s="26"/>
      <c r="D1301" s="19"/>
      <c r="E1301" s="26"/>
      <c r="F1301" s="26"/>
      <c r="G1301" s="26"/>
      <c r="H1301" s="26"/>
      <c r="I1301" s="26"/>
      <c r="J1301" s="26"/>
      <c r="K1301" s="19"/>
      <c r="L1301" s="26"/>
      <c r="M1301" s="19"/>
      <c r="N1301" s="26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19"/>
      <c r="B1302" s="99"/>
      <c r="C1302" s="26"/>
      <c r="D1302" s="19"/>
      <c r="E1302" s="26"/>
      <c r="F1302" s="26"/>
      <c r="G1302" s="26"/>
      <c r="H1302" s="26"/>
      <c r="I1302" s="26"/>
      <c r="J1302" s="26"/>
      <c r="K1302" s="19"/>
      <c r="L1302" s="26"/>
      <c r="M1302" s="19"/>
      <c r="N1302" s="26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19"/>
      <c r="B1303" s="99"/>
      <c r="C1303" s="26"/>
      <c r="D1303" s="19"/>
      <c r="E1303" s="26"/>
      <c r="F1303" s="26"/>
      <c r="G1303" s="26"/>
      <c r="H1303" s="26"/>
      <c r="I1303" s="26"/>
      <c r="J1303" s="26"/>
      <c r="K1303" s="19"/>
      <c r="L1303" s="26"/>
      <c r="M1303" s="19"/>
      <c r="N1303" s="26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19"/>
      <c r="B1304" s="99"/>
      <c r="C1304" s="26"/>
      <c r="D1304" s="19"/>
      <c r="E1304" s="26"/>
      <c r="F1304" s="26"/>
      <c r="G1304" s="26"/>
      <c r="H1304" s="26"/>
      <c r="I1304" s="26"/>
      <c r="J1304" s="26"/>
      <c r="K1304" s="19"/>
      <c r="L1304" s="26"/>
      <c r="M1304" s="19"/>
      <c r="N1304" s="26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19"/>
      <c r="B1305" s="99"/>
      <c r="C1305" s="26"/>
      <c r="D1305" s="19"/>
      <c r="E1305" s="26"/>
      <c r="F1305" s="26"/>
      <c r="G1305" s="26"/>
      <c r="H1305" s="26"/>
      <c r="I1305" s="26"/>
      <c r="J1305" s="26"/>
      <c r="K1305" s="19"/>
      <c r="L1305" s="26"/>
      <c r="M1305" s="19"/>
      <c r="N1305" s="26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19"/>
      <c r="B1306" s="99"/>
      <c r="C1306" s="26"/>
      <c r="D1306" s="19"/>
      <c r="E1306" s="26"/>
      <c r="F1306" s="26"/>
      <c r="G1306" s="26"/>
      <c r="H1306" s="26"/>
      <c r="I1306" s="26"/>
      <c r="J1306" s="26"/>
      <c r="K1306" s="19"/>
      <c r="L1306" s="26"/>
      <c r="M1306" s="19"/>
      <c r="N1306" s="26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19"/>
      <c r="B1307" s="99"/>
      <c r="C1307" s="26"/>
      <c r="D1307" s="19"/>
      <c r="E1307" s="26"/>
      <c r="F1307" s="26"/>
      <c r="G1307" s="26"/>
      <c r="H1307" s="26"/>
      <c r="I1307" s="26"/>
      <c r="J1307" s="26"/>
      <c r="K1307" s="19"/>
      <c r="L1307" s="26"/>
      <c r="M1307" s="19"/>
      <c r="N1307" s="26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19"/>
      <c r="B1308" s="99"/>
      <c r="C1308" s="26"/>
      <c r="D1308" s="19"/>
      <c r="E1308" s="26"/>
      <c r="F1308" s="26"/>
      <c r="G1308" s="26"/>
      <c r="H1308" s="26"/>
      <c r="I1308" s="26"/>
      <c r="J1308" s="26"/>
      <c r="K1308" s="19"/>
      <c r="L1308" s="26"/>
      <c r="M1308" s="19"/>
      <c r="N1308" s="26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19"/>
      <c r="B1309" s="99"/>
      <c r="C1309" s="26"/>
      <c r="D1309" s="19"/>
      <c r="E1309" s="26"/>
      <c r="F1309" s="26"/>
      <c r="G1309" s="26"/>
      <c r="H1309" s="26"/>
      <c r="I1309" s="26"/>
      <c r="J1309" s="26"/>
      <c r="K1309" s="19"/>
      <c r="L1309" s="26"/>
      <c r="M1309" s="19"/>
      <c r="N1309" s="26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19"/>
      <c r="B1310" s="99"/>
      <c r="C1310" s="26"/>
      <c r="D1310" s="19"/>
      <c r="E1310" s="26"/>
      <c r="F1310" s="26"/>
      <c r="G1310" s="26"/>
      <c r="H1310" s="26"/>
      <c r="I1310" s="26"/>
      <c r="J1310" s="26"/>
      <c r="K1310" s="19"/>
      <c r="L1310" s="26"/>
      <c r="M1310" s="19"/>
      <c r="N1310" s="26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19"/>
      <c r="B1311" s="99"/>
      <c r="C1311" s="26"/>
      <c r="D1311" s="19"/>
      <c r="E1311" s="26"/>
      <c r="F1311" s="26"/>
      <c r="G1311" s="26"/>
      <c r="H1311" s="26"/>
      <c r="I1311" s="26"/>
      <c r="J1311" s="26"/>
      <c r="K1311" s="19"/>
      <c r="L1311" s="26"/>
      <c r="M1311" s="19"/>
      <c r="N1311" s="26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19"/>
      <c r="B1312" s="99"/>
      <c r="C1312" s="26"/>
      <c r="D1312" s="19"/>
      <c r="E1312" s="26"/>
      <c r="F1312" s="26"/>
      <c r="G1312" s="26"/>
      <c r="H1312" s="26"/>
      <c r="I1312" s="26"/>
      <c r="J1312" s="26"/>
      <c r="K1312" s="19"/>
      <c r="L1312" s="26"/>
      <c r="M1312" s="19"/>
      <c r="N1312" s="26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19"/>
      <c r="B1313" s="99"/>
      <c r="C1313" s="26"/>
      <c r="D1313" s="19"/>
      <c r="E1313" s="26"/>
      <c r="F1313" s="26"/>
      <c r="G1313" s="26"/>
      <c r="H1313" s="26"/>
      <c r="I1313" s="26"/>
      <c r="J1313" s="26"/>
      <c r="K1313" s="19"/>
      <c r="L1313" s="26"/>
      <c r="M1313" s="19"/>
      <c r="N1313" s="26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19"/>
      <c r="B1314" s="99"/>
      <c r="C1314" s="26"/>
      <c r="D1314" s="19"/>
      <c r="E1314" s="26"/>
      <c r="F1314" s="26"/>
      <c r="G1314" s="26"/>
      <c r="H1314" s="26"/>
      <c r="I1314" s="26"/>
      <c r="J1314" s="26"/>
      <c r="K1314" s="19"/>
      <c r="L1314" s="26"/>
      <c r="M1314" s="19"/>
      <c r="N1314" s="26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19"/>
      <c r="B1315" s="99"/>
      <c r="C1315" s="26"/>
      <c r="D1315" s="19"/>
      <c r="E1315" s="26"/>
      <c r="F1315" s="26"/>
      <c r="G1315" s="26"/>
      <c r="H1315" s="26"/>
      <c r="I1315" s="26"/>
      <c r="J1315" s="26"/>
      <c r="K1315" s="19"/>
      <c r="L1315" s="26"/>
      <c r="M1315" s="19"/>
      <c r="N1315" s="26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19"/>
      <c r="B1316" s="99"/>
      <c r="C1316" s="26"/>
      <c r="D1316" s="19"/>
      <c r="E1316" s="26"/>
      <c r="F1316" s="26"/>
      <c r="G1316" s="26"/>
      <c r="H1316" s="26"/>
      <c r="I1316" s="26"/>
      <c r="J1316" s="26"/>
      <c r="K1316" s="19"/>
      <c r="L1316" s="26"/>
      <c r="M1316" s="19"/>
      <c r="N1316" s="26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19"/>
      <c r="B1317" s="99"/>
      <c r="C1317" s="26"/>
      <c r="D1317" s="19"/>
      <c r="E1317" s="26"/>
      <c r="F1317" s="26"/>
      <c r="G1317" s="26"/>
      <c r="H1317" s="26"/>
      <c r="I1317" s="26"/>
      <c r="J1317" s="26"/>
      <c r="K1317" s="19"/>
      <c r="L1317" s="26"/>
      <c r="M1317" s="19"/>
      <c r="N1317" s="26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19"/>
      <c r="B1318" s="99"/>
      <c r="C1318" s="26"/>
      <c r="D1318" s="19"/>
      <c r="E1318" s="26"/>
      <c r="F1318" s="26"/>
      <c r="G1318" s="26"/>
      <c r="H1318" s="26"/>
      <c r="I1318" s="26"/>
      <c r="J1318" s="26"/>
      <c r="K1318" s="19"/>
      <c r="L1318" s="26"/>
      <c r="M1318" s="19"/>
      <c r="N1318" s="26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19"/>
      <c r="B1319" s="99"/>
      <c r="C1319" s="26"/>
      <c r="D1319" s="19"/>
      <c r="E1319" s="26"/>
      <c r="F1319" s="26"/>
      <c r="G1319" s="26"/>
      <c r="H1319" s="26"/>
      <c r="I1319" s="26"/>
      <c r="J1319" s="26"/>
      <c r="K1319" s="19"/>
      <c r="L1319" s="26"/>
      <c r="M1319" s="19"/>
      <c r="N1319" s="26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19"/>
      <c r="B1320" s="99"/>
      <c r="C1320" s="26"/>
      <c r="D1320" s="19"/>
      <c r="E1320" s="26"/>
      <c r="F1320" s="26"/>
      <c r="G1320" s="26"/>
      <c r="H1320" s="26"/>
      <c r="I1320" s="26"/>
      <c r="J1320" s="26"/>
      <c r="K1320" s="19"/>
      <c r="L1320" s="26"/>
      <c r="M1320" s="19"/>
      <c r="N1320" s="26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19"/>
      <c r="B1321" s="99"/>
      <c r="C1321" s="26"/>
      <c r="D1321" s="19"/>
      <c r="E1321" s="26"/>
      <c r="F1321" s="26"/>
      <c r="G1321" s="26"/>
      <c r="H1321" s="26"/>
      <c r="I1321" s="26"/>
      <c r="J1321" s="26"/>
      <c r="K1321" s="19"/>
      <c r="L1321" s="26"/>
      <c r="M1321" s="19"/>
      <c r="N1321" s="26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19"/>
      <c r="B1322" s="99"/>
      <c r="C1322" s="26"/>
      <c r="D1322" s="19"/>
      <c r="E1322" s="26"/>
      <c r="F1322" s="26"/>
      <c r="G1322" s="26"/>
      <c r="H1322" s="26"/>
      <c r="I1322" s="26"/>
      <c r="J1322" s="26"/>
      <c r="K1322" s="19"/>
      <c r="L1322" s="26"/>
      <c r="M1322" s="19"/>
      <c r="N1322" s="26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19"/>
      <c r="B1323" s="99"/>
      <c r="C1323" s="26"/>
      <c r="D1323" s="19"/>
      <c r="E1323" s="26"/>
      <c r="F1323" s="26"/>
      <c r="G1323" s="26"/>
      <c r="H1323" s="26"/>
      <c r="I1323" s="26"/>
      <c r="J1323" s="26"/>
      <c r="K1323" s="19"/>
      <c r="L1323" s="26"/>
      <c r="M1323" s="19"/>
      <c r="N1323" s="26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19"/>
      <c r="B1324" s="99"/>
      <c r="C1324" s="26"/>
      <c r="D1324" s="19"/>
      <c r="E1324" s="26"/>
      <c r="F1324" s="26"/>
      <c r="G1324" s="26"/>
      <c r="H1324" s="26"/>
      <c r="I1324" s="26"/>
      <c r="J1324" s="26"/>
      <c r="K1324" s="19"/>
      <c r="L1324" s="26"/>
      <c r="M1324" s="19"/>
      <c r="N1324" s="26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19"/>
      <c r="B1325" s="99"/>
      <c r="C1325" s="26"/>
      <c r="D1325" s="19"/>
      <c r="E1325" s="26"/>
      <c r="F1325" s="26"/>
      <c r="G1325" s="26"/>
      <c r="H1325" s="26"/>
      <c r="I1325" s="26"/>
      <c r="J1325" s="26"/>
      <c r="K1325" s="19"/>
      <c r="L1325" s="26"/>
      <c r="M1325" s="19"/>
      <c r="N1325" s="26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19"/>
      <c r="B1326" s="99"/>
      <c r="C1326" s="26"/>
      <c r="D1326" s="19"/>
      <c r="E1326" s="26"/>
      <c r="F1326" s="26"/>
      <c r="G1326" s="26"/>
      <c r="H1326" s="26"/>
      <c r="I1326" s="26"/>
      <c r="J1326" s="26"/>
      <c r="K1326" s="19"/>
      <c r="L1326" s="26"/>
      <c r="M1326" s="19"/>
      <c r="N1326" s="26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19"/>
      <c r="B1327" s="99"/>
      <c r="C1327" s="26"/>
      <c r="D1327" s="19"/>
      <c r="E1327" s="26"/>
      <c r="F1327" s="26"/>
      <c r="G1327" s="26"/>
      <c r="H1327" s="26"/>
      <c r="I1327" s="26"/>
      <c r="J1327" s="26"/>
      <c r="K1327" s="19"/>
      <c r="L1327" s="26"/>
      <c r="M1327" s="19"/>
      <c r="N1327" s="26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19"/>
      <c r="B1328" s="99"/>
      <c r="C1328" s="26"/>
      <c r="D1328" s="19"/>
      <c r="E1328" s="26"/>
      <c r="F1328" s="26"/>
      <c r="G1328" s="26"/>
      <c r="H1328" s="26"/>
      <c r="I1328" s="26"/>
      <c r="J1328" s="26"/>
      <c r="K1328" s="19"/>
      <c r="L1328" s="26"/>
      <c r="M1328" s="19"/>
      <c r="N1328" s="26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19"/>
      <c r="B1329" s="99"/>
      <c r="C1329" s="26"/>
      <c r="D1329" s="19"/>
      <c r="E1329" s="26"/>
      <c r="F1329" s="26"/>
      <c r="G1329" s="26"/>
      <c r="H1329" s="26"/>
      <c r="I1329" s="26"/>
      <c r="J1329" s="26"/>
      <c r="K1329" s="19"/>
      <c r="L1329" s="26"/>
      <c r="M1329" s="19"/>
      <c r="N1329" s="26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19"/>
      <c r="B1330" s="99"/>
      <c r="C1330" s="26"/>
      <c r="D1330" s="19"/>
      <c r="E1330" s="26"/>
      <c r="F1330" s="26"/>
      <c r="G1330" s="26"/>
      <c r="H1330" s="26"/>
      <c r="I1330" s="26"/>
      <c r="J1330" s="26"/>
      <c r="K1330" s="19"/>
      <c r="L1330" s="26"/>
      <c r="M1330" s="19"/>
      <c r="N1330" s="26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19"/>
      <c r="B1331" s="99"/>
      <c r="C1331" s="26"/>
      <c r="D1331" s="19"/>
      <c r="E1331" s="26"/>
      <c r="F1331" s="26"/>
      <c r="G1331" s="26"/>
      <c r="H1331" s="26"/>
      <c r="I1331" s="26"/>
      <c r="J1331" s="26"/>
      <c r="K1331" s="19"/>
      <c r="L1331" s="26"/>
      <c r="M1331" s="19"/>
      <c r="N1331" s="26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19"/>
      <c r="B1332" s="99"/>
      <c r="C1332" s="26"/>
      <c r="D1332" s="19"/>
      <c r="E1332" s="26"/>
      <c r="F1332" s="26"/>
      <c r="G1332" s="26"/>
      <c r="H1332" s="26"/>
      <c r="I1332" s="26"/>
      <c r="J1332" s="26"/>
      <c r="K1332" s="19"/>
      <c r="L1332" s="26"/>
      <c r="M1332" s="19"/>
      <c r="N1332" s="26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19"/>
      <c r="B1333" s="99"/>
      <c r="C1333" s="26"/>
      <c r="D1333" s="19"/>
      <c r="E1333" s="26"/>
      <c r="F1333" s="26"/>
      <c r="G1333" s="26"/>
      <c r="H1333" s="26"/>
      <c r="I1333" s="26"/>
      <c r="J1333" s="26"/>
      <c r="K1333" s="19"/>
      <c r="L1333" s="26"/>
      <c r="M1333" s="19"/>
      <c r="N1333" s="26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19"/>
      <c r="B1334" s="99"/>
      <c r="C1334" s="26"/>
      <c r="D1334" s="19"/>
      <c r="E1334" s="26"/>
      <c r="F1334" s="26"/>
      <c r="G1334" s="26"/>
      <c r="H1334" s="26"/>
      <c r="I1334" s="26"/>
      <c r="J1334" s="26"/>
      <c r="K1334" s="19"/>
      <c r="L1334" s="26"/>
      <c r="M1334" s="19"/>
      <c r="N1334" s="26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19"/>
      <c r="B1335" s="99"/>
      <c r="C1335" s="26"/>
      <c r="D1335" s="19"/>
      <c r="E1335" s="26"/>
      <c r="F1335" s="26"/>
      <c r="G1335" s="26"/>
      <c r="H1335" s="26"/>
      <c r="I1335" s="26"/>
      <c r="J1335" s="26"/>
      <c r="K1335" s="19"/>
      <c r="L1335" s="26"/>
      <c r="M1335" s="19"/>
      <c r="N1335" s="26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19"/>
      <c r="B1336" s="99"/>
      <c r="C1336" s="26"/>
      <c r="D1336" s="19"/>
      <c r="E1336" s="26"/>
      <c r="F1336" s="26"/>
      <c r="G1336" s="26"/>
      <c r="H1336" s="26"/>
      <c r="I1336" s="26"/>
      <c r="J1336" s="26"/>
      <c r="K1336" s="19"/>
      <c r="L1336" s="26"/>
      <c r="M1336" s="19"/>
      <c r="N1336" s="26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19"/>
      <c r="B1337" s="99"/>
      <c r="C1337" s="26"/>
      <c r="D1337" s="19"/>
      <c r="E1337" s="26"/>
      <c r="F1337" s="26"/>
      <c r="G1337" s="26"/>
      <c r="H1337" s="26"/>
      <c r="I1337" s="26"/>
      <c r="J1337" s="26"/>
      <c r="K1337" s="19"/>
      <c r="L1337" s="26"/>
      <c r="M1337" s="19"/>
      <c r="N1337" s="26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19"/>
      <c r="B1338" s="99"/>
      <c r="C1338" s="26"/>
      <c r="D1338" s="19"/>
      <c r="E1338" s="26"/>
      <c r="F1338" s="26"/>
      <c r="G1338" s="26"/>
      <c r="H1338" s="26"/>
      <c r="I1338" s="26"/>
      <c r="J1338" s="26"/>
      <c r="K1338" s="19"/>
      <c r="L1338" s="26"/>
      <c r="M1338" s="19"/>
      <c r="N1338" s="26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19"/>
      <c r="B1339" s="99"/>
      <c r="C1339" s="26"/>
      <c r="D1339" s="19"/>
      <c r="E1339" s="26"/>
      <c r="F1339" s="26"/>
      <c r="G1339" s="26"/>
      <c r="H1339" s="26"/>
      <c r="I1339" s="26"/>
      <c r="J1339" s="26"/>
      <c r="K1339" s="19"/>
      <c r="L1339" s="26"/>
      <c r="M1339" s="19"/>
      <c r="N1339" s="26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19"/>
      <c r="B1340" s="99"/>
      <c r="C1340" s="26"/>
      <c r="D1340" s="19"/>
      <c r="E1340" s="26"/>
      <c r="F1340" s="26"/>
      <c r="G1340" s="26"/>
      <c r="H1340" s="26"/>
      <c r="I1340" s="26"/>
      <c r="J1340" s="26"/>
      <c r="K1340" s="19"/>
      <c r="L1340" s="26"/>
      <c r="M1340" s="19"/>
      <c r="N1340" s="26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19"/>
      <c r="B1341" s="99"/>
      <c r="C1341" s="26"/>
      <c r="D1341" s="19"/>
      <c r="E1341" s="26"/>
      <c r="F1341" s="26"/>
      <c r="G1341" s="26"/>
      <c r="H1341" s="26"/>
      <c r="I1341" s="26"/>
      <c r="J1341" s="26"/>
      <c r="K1341" s="19"/>
      <c r="L1341" s="26"/>
      <c r="M1341" s="19"/>
      <c r="N1341" s="26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19"/>
      <c r="B1342" s="99"/>
      <c r="C1342" s="26"/>
      <c r="D1342" s="19"/>
      <c r="E1342" s="26"/>
      <c r="F1342" s="26"/>
      <c r="G1342" s="26"/>
      <c r="H1342" s="26"/>
      <c r="I1342" s="26"/>
      <c r="J1342" s="26"/>
      <c r="K1342" s="19"/>
      <c r="L1342" s="26"/>
      <c r="M1342" s="19"/>
      <c r="N1342" s="26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19"/>
      <c r="B1343" s="99"/>
      <c r="C1343" s="26"/>
      <c r="D1343" s="19"/>
      <c r="E1343" s="26"/>
      <c r="F1343" s="26"/>
      <c r="G1343" s="26"/>
      <c r="H1343" s="26"/>
      <c r="I1343" s="26"/>
      <c r="J1343" s="26"/>
      <c r="K1343" s="19"/>
      <c r="L1343" s="26"/>
      <c r="M1343" s="19"/>
      <c r="N1343" s="26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19"/>
      <c r="B1344" s="99"/>
      <c r="C1344" s="26"/>
      <c r="D1344" s="19"/>
      <c r="E1344" s="26"/>
      <c r="F1344" s="26"/>
      <c r="G1344" s="26"/>
      <c r="H1344" s="26"/>
      <c r="I1344" s="26"/>
      <c r="J1344" s="26"/>
      <c r="K1344" s="19"/>
      <c r="L1344" s="26"/>
      <c r="M1344" s="19"/>
      <c r="N1344" s="26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19"/>
      <c r="B1345" s="99"/>
      <c r="C1345" s="26"/>
      <c r="D1345" s="19"/>
      <c r="E1345" s="26"/>
      <c r="F1345" s="26"/>
      <c r="G1345" s="26"/>
      <c r="H1345" s="26"/>
      <c r="I1345" s="26"/>
      <c r="J1345" s="26"/>
      <c r="K1345" s="19"/>
      <c r="L1345" s="26"/>
      <c r="M1345" s="19"/>
      <c r="N1345" s="26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19"/>
      <c r="B1346" s="99"/>
      <c r="C1346" s="26"/>
      <c r="D1346" s="19"/>
      <c r="E1346" s="26"/>
      <c r="F1346" s="26"/>
      <c r="G1346" s="26"/>
      <c r="H1346" s="26"/>
      <c r="I1346" s="26"/>
      <c r="J1346" s="26"/>
      <c r="K1346" s="19"/>
      <c r="L1346" s="26"/>
      <c r="M1346" s="19"/>
      <c r="N1346" s="26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19"/>
      <c r="B1347" s="99"/>
      <c r="C1347" s="26"/>
      <c r="D1347" s="19"/>
      <c r="E1347" s="26"/>
      <c r="F1347" s="26"/>
      <c r="G1347" s="26"/>
      <c r="H1347" s="26"/>
      <c r="I1347" s="26"/>
      <c r="J1347" s="26"/>
      <c r="K1347" s="19"/>
      <c r="L1347" s="26"/>
      <c r="M1347" s="19"/>
      <c r="N1347" s="26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19"/>
      <c r="B1348" s="99"/>
      <c r="C1348" s="26"/>
      <c r="D1348" s="19"/>
      <c r="E1348" s="26"/>
      <c r="F1348" s="26"/>
      <c r="G1348" s="26"/>
      <c r="H1348" s="26"/>
      <c r="I1348" s="26"/>
      <c r="J1348" s="26"/>
      <c r="K1348" s="19"/>
      <c r="L1348" s="26"/>
      <c r="M1348" s="19"/>
      <c r="N1348" s="26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19"/>
      <c r="B1349" s="99"/>
      <c r="C1349" s="26"/>
      <c r="D1349" s="19"/>
      <c r="E1349" s="26"/>
      <c r="F1349" s="26"/>
      <c r="G1349" s="26"/>
      <c r="H1349" s="26"/>
      <c r="I1349" s="26"/>
      <c r="J1349" s="26"/>
      <c r="K1349" s="19"/>
      <c r="L1349" s="26"/>
      <c r="M1349" s="19"/>
      <c r="N1349" s="26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19"/>
      <c r="B1350" s="99"/>
      <c r="C1350" s="26"/>
      <c r="D1350" s="19"/>
      <c r="E1350" s="26"/>
      <c r="F1350" s="26"/>
      <c r="G1350" s="26"/>
      <c r="H1350" s="26"/>
      <c r="I1350" s="26"/>
      <c r="J1350" s="26"/>
      <c r="K1350" s="19"/>
      <c r="L1350" s="26"/>
      <c r="M1350" s="19"/>
      <c r="N1350" s="26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19"/>
      <c r="B1351" s="99"/>
      <c r="C1351" s="26"/>
      <c r="D1351" s="19"/>
      <c r="E1351" s="26"/>
      <c r="F1351" s="26"/>
      <c r="G1351" s="26"/>
      <c r="H1351" s="26"/>
      <c r="I1351" s="26"/>
      <c r="J1351" s="26"/>
      <c r="K1351" s="19"/>
      <c r="L1351" s="26"/>
      <c r="M1351" s="19"/>
      <c r="N1351" s="26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19"/>
      <c r="B1352" s="99"/>
      <c r="C1352" s="26"/>
      <c r="D1352" s="19"/>
      <c r="E1352" s="26"/>
      <c r="F1352" s="26"/>
      <c r="G1352" s="26"/>
      <c r="H1352" s="26"/>
      <c r="I1352" s="26"/>
      <c r="J1352" s="26"/>
      <c r="K1352" s="19"/>
      <c r="L1352" s="26"/>
      <c r="M1352" s="19"/>
      <c r="N1352" s="26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19"/>
      <c r="B1353" s="99"/>
      <c r="C1353" s="26"/>
      <c r="D1353" s="19"/>
      <c r="E1353" s="26"/>
      <c r="F1353" s="26"/>
      <c r="G1353" s="26"/>
      <c r="H1353" s="26"/>
      <c r="I1353" s="26"/>
      <c r="J1353" s="26"/>
      <c r="K1353" s="19"/>
      <c r="L1353" s="26"/>
      <c r="M1353" s="19"/>
      <c r="N1353" s="26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19"/>
      <c r="B1354" s="99"/>
      <c r="C1354" s="26"/>
      <c r="D1354" s="19"/>
      <c r="E1354" s="26"/>
      <c r="F1354" s="26"/>
      <c r="G1354" s="26"/>
      <c r="H1354" s="26"/>
      <c r="I1354" s="26"/>
      <c r="J1354" s="26"/>
      <c r="K1354" s="19"/>
      <c r="L1354" s="26"/>
      <c r="M1354" s="19"/>
      <c r="N1354" s="26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19"/>
      <c r="B1355" s="99"/>
      <c r="C1355" s="26"/>
      <c r="D1355" s="19"/>
      <c r="E1355" s="26"/>
      <c r="F1355" s="26"/>
      <c r="G1355" s="26"/>
      <c r="H1355" s="26"/>
      <c r="I1355" s="26"/>
      <c r="J1355" s="26"/>
      <c r="K1355" s="19"/>
      <c r="L1355" s="26"/>
      <c r="M1355" s="19"/>
      <c r="N1355" s="26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19"/>
      <c r="B1356" s="99"/>
      <c r="C1356" s="26"/>
      <c r="D1356" s="19"/>
      <c r="E1356" s="26"/>
      <c r="F1356" s="26"/>
      <c r="G1356" s="26"/>
      <c r="H1356" s="26"/>
      <c r="I1356" s="26"/>
      <c r="J1356" s="26"/>
      <c r="K1356" s="19"/>
      <c r="L1356" s="26"/>
      <c r="M1356" s="19"/>
      <c r="N1356" s="26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19"/>
      <c r="B1357" s="99"/>
      <c r="C1357" s="26"/>
      <c r="D1357" s="19"/>
      <c r="E1357" s="26"/>
      <c r="F1357" s="26"/>
      <c r="G1357" s="26"/>
      <c r="H1357" s="26"/>
      <c r="I1357" s="26"/>
      <c r="J1357" s="26"/>
      <c r="K1357" s="19"/>
      <c r="L1357" s="26"/>
      <c r="M1357" s="19"/>
      <c r="N1357" s="26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19"/>
      <c r="B1358" s="99"/>
      <c r="C1358" s="26"/>
      <c r="D1358" s="19"/>
      <c r="E1358" s="26"/>
      <c r="F1358" s="26"/>
      <c r="G1358" s="26"/>
      <c r="H1358" s="26"/>
      <c r="I1358" s="26"/>
      <c r="J1358" s="26"/>
      <c r="K1358" s="19"/>
      <c r="L1358" s="26"/>
      <c r="M1358" s="19"/>
      <c r="N1358" s="26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19"/>
      <c r="B1359" s="99"/>
      <c r="C1359" s="26"/>
      <c r="D1359" s="19"/>
      <c r="E1359" s="26"/>
      <c r="F1359" s="26"/>
      <c r="G1359" s="26"/>
      <c r="H1359" s="26"/>
      <c r="I1359" s="26"/>
      <c r="J1359" s="26"/>
      <c r="K1359" s="19"/>
      <c r="L1359" s="26"/>
      <c r="M1359" s="19"/>
      <c r="N1359" s="26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19"/>
      <c r="B1360" s="99"/>
      <c r="C1360" s="26"/>
      <c r="D1360" s="19"/>
      <c r="E1360" s="26"/>
      <c r="F1360" s="26"/>
      <c r="G1360" s="26"/>
      <c r="H1360" s="26"/>
      <c r="I1360" s="26"/>
      <c r="J1360" s="26"/>
      <c r="K1360" s="19"/>
      <c r="L1360" s="26"/>
      <c r="M1360" s="19"/>
      <c r="N1360" s="26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19"/>
      <c r="B1361" s="99"/>
      <c r="C1361" s="26"/>
      <c r="D1361" s="19"/>
      <c r="E1361" s="26"/>
      <c r="F1361" s="26"/>
      <c r="G1361" s="26"/>
      <c r="H1361" s="26"/>
      <c r="I1361" s="26"/>
      <c r="J1361" s="26"/>
      <c r="K1361" s="19"/>
      <c r="L1361" s="26"/>
      <c r="M1361" s="19"/>
      <c r="N1361" s="26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19"/>
      <c r="B1362" s="99"/>
      <c r="C1362" s="26"/>
      <c r="D1362" s="19"/>
      <c r="E1362" s="26"/>
      <c r="F1362" s="26"/>
      <c r="G1362" s="26"/>
      <c r="H1362" s="26"/>
      <c r="I1362" s="26"/>
      <c r="J1362" s="26"/>
      <c r="K1362" s="19"/>
      <c r="L1362" s="26"/>
      <c r="M1362" s="19"/>
      <c r="N1362" s="26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19"/>
      <c r="B1363" s="99"/>
      <c r="C1363" s="26"/>
      <c r="D1363" s="19"/>
      <c r="E1363" s="26"/>
      <c r="F1363" s="26"/>
      <c r="G1363" s="26"/>
      <c r="H1363" s="26"/>
      <c r="I1363" s="26"/>
      <c r="J1363" s="26"/>
      <c r="K1363" s="19"/>
      <c r="L1363" s="26"/>
      <c r="M1363" s="19"/>
      <c r="N1363" s="26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19"/>
      <c r="B1364" s="99"/>
      <c r="C1364" s="26"/>
      <c r="D1364" s="19"/>
      <c r="E1364" s="26"/>
      <c r="F1364" s="26"/>
      <c r="G1364" s="26"/>
      <c r="H1364" s="26"/>
      <c r="I1364" s="26"/>
      <c r="J1364" s="26"/>
      <c r="K1364" s="19"/>
      <c r="L1364" s="26"/>
      <c r="M1364" s="19"/>
      <c r="N1364" s="26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19"/>
      <c r="B1365" s="99"/>
      <c r="C1365" s="26"/>
      <c r="D1365" s="19"/>
      <c r="E1365" s="26"/>
      <c r="F1365" s="26"/>
      <c r="G1365" s="26"/>
      <c r="H1365" s="26"/>
      <c r="I1365" s="26"/>
      <c r="J1365" s="26"/>
      <c r="K1365" s="19"/>
      <c r="L1365" s="26"/>
      <c r="M1365" s="19"/>
      <c r="N1365" s="26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19"/>
      <c r="B1366" s="99"/>
      <c r="C1366" s="26"/>
      <c r="D1366" s="19"/>
      <c r="E1366" s="26"/>
      <c r="F1366" s="26"/>
      <c r="G1366" s="26"/>
      <c r="H1366" s="26"/>
      <c r="I1366" s="26"/>
      <c r="J1366" s="26"/>
      <c r="K1366" s="19"/>
      <c r="L1366" s="26"/>
      <c r="M1366" s="19"/>
      <c r="N1366" s="26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19"/>
      <c r="B1367" s="99"/>
      <c r="C1367" s="26"/>
      <c r="D1367" s="19"/>
      <c r="E1367" s="26"/>
      <c r="F1367" s="26"/>
      <c r="G1367" s="26"/>
      <c r="H1367" s="26"/>
      <c r="I1367" s="26"/>
      <c r="J1367" s="26"/>
      <c r="K1367" s="19"/>
      <c r="L1367" s="26"/>
      <c r="M1367" s="19"/>
      <c r="N1367" s="26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19"/>
      <c r="B1368" s="99"/>
      <c r="C1368" s="26"/>
      <c r="D1368" s="19"/>
      <c r="E1368" s="26"/>
      <c r="F1368" s="26"/>
      <c r="G1368" s="26"/>
      <c r="H1368" s="26"/>
      <c r="I1368" s="26"/>
      <c r="J1368" s="26"/>
      <c r="K1368" s="19"/>
      <c r="L1368" s="26"/>
      <c r="M1368" s="19"/>
      <c r="N1368" s="26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19"/>
      <c r="B1369" s="99"/>
      <c r="C1369" s="26"/>
      <c r="D1369" s="19"/>
      <c r="E1369" s="26"/>
      <c r="F1369" s="26"/>
      <c r="G1369" s="26"/>
      <c r="H1369" s="26"/>
      <c r="I1369" s="26"/>
      <c r="J1369" s="26"/>
      <c r="K1369" s="19"/>
      <c r="L1369" s="26"/>
      <c r="M1369" s="19"/>
      <c r="N1369" s="26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19"/>
      <c r="B1370" s="99"/>
      <c r="C1370" s="26"/>
      <c r="D1370" s="19"/>
      <c r="E1370" s="26"/>
      <c r="F1370" s="26"/>
      <c r="G1370" s="26"/>
      <c r="H1370" s="26"/>
      <c r="I1370" s="26"/>
      <c r="J1370" s="26"/>
      <c r="K1370" s="19"/>
      <c r="L1370" s="26"/>
      <c r="M1370" s="19"/>
      <c r="N1370" s="26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19"/>
      <c r="B1371" s="99"/>
      <c r="C1371" s="26"/>
      <c r="D1371" s="19"/>
      <c r="E1371" s="26"/>
      <c r="F1371" s="26"/>
      <c r="G1371" s="26"/>
      <c r="H1371" s="26"/>
      <c r="I1371" s="26"/>
      <c r="J1371" s="26"/>
      <c r="K1371" s="19"/>
      <c r="L1371" s="26"/>
      <c r="M1371" s="19"/>
      <c r="N1371" s="26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19"/>
      <c r="B1372" s="99"/>
      <c r="C1372" s="26"/>
      <c r="D1372" s="19"/>
      <c r="E1372" s="26"/>
      <c r="F1372" s="26"/>
      <c r="G1372" s="26"/>
      <c r="H1372" s="26"/>
      <c r="I1372" s="26"/>
      <c r="J1372" s="26"/>
      <c r="K1372" s="19"/>
      <c r="L1372" s="26"/>
      <c r="M1372" s="19"/>
      <c r="N1372" s="26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19"/>
      <c r="B1373" s="99"/>
      <c r="C1373" s="26"/>
      <c r="D1373" s="19"/>
      <c r="E1373" s="26"/>
      <c r="F1373" s="26"/>
      <c r="G1373" s="26"/>
      <c r="H1373" s="26"/>
      <c r="I1373" s="26"/>
      <c r="J1373" s="26"/>
      <c r="K1373" s="19"/>
      <c r="L1373" s="26"/>
      <c r="M1373" s="19"/>
      <c r="N1373" s="26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19"/>
      <c r="B1374" s="99"/>
      <c r="C1374" s="26"/>
      <c r="D1374" s="19"/>
      <c r="E1374" s="26"/>
      <c r="F1374" s="26"/>
      <c r="G1374" s="26"/>
      <c r="H1374" s="26"/>
      <c r="I1374" s="26"/>
      <c r="J1374" s="26"/>
      <c r="K1374" s="19"/>
      <c r="L1374" s="26"/>
      <c r="M1374" s="19"/>
      <c r="N1374" s="26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19"/>
      <c r="B1375" s="99"/>
      <c r="C1375" s="26"/>
      <c r="D1375" s="19"/>
      <c r="E1375" s="26"/>
      <c r="F1375" s="26"/>
      <c r="G1375" s="26"/>
      <c r="H1375" s="26"/>
      <c r="I1375" s="26"/>
      <c r="J1375" s="26"/>
      <c r="K1375" s="19"/>
      <c r="L1375" s="26"/>
      <c r="M1375" s="19"/>
      <c r="N1375" s="26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19"/>
      <c r="B1376" s="99"/>
      <c r="C1376" s="26"/>
      <c r="D1376" s="19"/>
      <c r="E1376" s="26"/>
      <c r="F1376" s="26"/>
      <c r="G1376" s="26"/>
      <c r="H1376" s="26"/>
      <c r="I1376" s="26"/>
      <c r="J1376" s="26"/>
      <c r="K1376" s="19"/>
      <c r="L1376" s="26"/>
      <c r="M1376" s="19"/>
      <c r="N1376" s="26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19"/>
      <c r="B1377" s="99"/>
      <c r="C1377" s="26"/>
      <c r="D1377" s="19"/>
      <c r="E1377" s="26"/>
      <c r="F1377" s="26"/>
      <c r="G1377" s="26"/>
      <c r="H1377" s="26"/>
      <c r="I1377" s="26"/>
      <c r="J1377" s="26"/>
      <c r="K1377" s="19"/>
      <c r="L1377" s="26"/>
      <c r="M1377" s="19"/>
      <c r="N1377" s="26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19"/>
      <c r="B1378" s="99"/>
      <c r="C1378" s="26"/>
      <c r="D1378" s="19"/>
      <c r="E1378" s="26"/>
      <c r="F1378" s="26"/>
      <c r="G1378" s="26"/>
      <c r="H1378" s="26"/>
      <c r="I1378" s="26"/>
      <c r="J1378" s="26"/>
      <c r="K1378" s="19"/>
      <c r="L1378" s="26"/>
      <c r="M1378" s="19"/>
      <c r="N1378" s="26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19"/>
      <c r="B1379" s="99"/>
      <c r="C1379" s="26"/>
      <c r="D1379" s="19"/>
      <c r="E1379" s="26"/>
      <c r="F1379" s="26"/>
      <c r="G1379" s="26"/>
      <c r="H1379" s="26"/>
      <c r="I1379" s="26"/>
      <c r="J1379" s="26"/>
      <c r="K1379" s="19"/>
      <c r="L1379" s="26"/>
      <c r="M1379" s="19"/>
      <c r="N1379" s="26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19"/>
      <c r="B1380" s="99"/>
      <c r="C1380" s="26"/>
      <c r="D1380" s="19"/>
      <c r="E1380" s="26"/>
      <c r="F1380" s="26"/>
      <c r="G1380" s="26"/>
      <c r="H1380" s="26"/>
      <c r="I1380" s="26"/>
      <c r="J1380" s="26"/>
      <c r="K1380" s="19"/>
      <c r="L1380" s="26"/>
      <c r="M1380" s="19"/>
      <c r="N1380" s="26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19"/>
      <c r="B1381" s="99"/>
      <c r="C1381" s="26"/>
      <c r="D1381" s="19"/>
      <c r="E1381" s="26"/>
      <c r="F1381" s="26"/>
      <c r="G1381" s="26"/>
      <c r="H1381" s="26"/>
      <c r="I1381" s="26"/>
      <c r="J1381" s="26"/>
      <c r="K1381" s="19"/>
      <c r="L1381" s="26"/>
      <c r="M1381" s="19"/>
      <c r="N1381" s="26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19"/>
      <c r="B1382" s="99"/>
      <c r="C1382" s="26"/>
      <c r="D1382" s="19"/>
      <c r="E1382" s="26"/>
      <c r="F1382" s="26"/>
      <c r="G1382" s="26"/>
      <c r="H1382" s="26"/>
      <c r="I1382" s="26"/>
      <c r="J1382" s="26"/>
      <c r="K1382" s="19"/>
      <c r="L1382" s="26"/>
      <c r="M1382" s="19"/>
      <c r="N1382" s="26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19"/>
      <c r="B1383" s="99"/>
      <c r="C1383" s="26"/>
      <c r="D1383" s="19"/>
      <c r="E1383" s="26"/>
      <c r="F1383" s="26"/>
      <c r="G1383" s="26"/>
      <c r="H1383" s="26"/>
      <c r="I1383" s="26"/>
      <c r="J1383" s="26"/>
      <c r="K1383" s="19"/>
      <c r="L1383" s="26"/>
      <c r="M1383" s="19"/>
      <c r="N1383" s="26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19"/>
      <c r="B1384" s="99"/>
      <c r="C1384" s="26"/>
      <c r="D1384" s="19"/>
      <c r="E1384" s="26"/>
      <c r="F1384" s="26"/>
      <c r="G1384" s="26"/>
      <c r="H1384" s="26"/>
      <c r="I1384" s="26"/>
      <c r="J1384" s="26"/>
      <c r="K1384" s="19"/>
      <c r="L1384" s="26"/>
      <c r="M1384" s="19"/>
      <c r="N1384" s="26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19"/>
      <c r="B1385" s="99"/>
      <c r="C1385" s="26"/>
      <c r="D1385" s="19"/>
      <c r="E1385" s="26"/>
      <c r="F1385" s="26"/>
      <c r="G1385" s="26"/>
      <c r="H1385" s="26"/>
      <c r="I1385" s="26"/>
      <c r="J1385" s="26"/>
      <c r="K1385" s="19"/>
      <c r="L1385" s="26"/>
      <c r="M1385" s="19"/>
      <c r="N1385" s="26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19"/>
      <c r="B1386" s="99"/>
      <c r="C1386" s="26"/>
      <c r="D1386" s="19"/>
      <c r="E1386" s="26"/>
      <c r="F1386" s="26"/>
      <c r="G1386" s="26"/>
      <c r="H1386" s="26"/>
      <c r="I1386" s="26"/>
      <c r="J1386" s="26"/>
      <c r="K1386" s="19"/>
      <c r="L1386" s="26"/>
      <c r="M1386" s="19"/>
      <c r="N1386" s="26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19"/>
      <c r="B1387" s="99"/>
      <c r="C1387" s="26"/>
      <c r="D1387" s="19"/>
      <c r="E1387" s="26"/>
      <c r="F1387" s="26"/>
      <c r="G1387" s="26"/>
      <c r="H1387" s="26"/>
      <c r="I1387" s="26"/>
      <c r="J1387" s="26"/>
      <c r="K1387" s="19"/>
      <c r="L1387" s="26"/>
      <c r="M1387" s="19"/>
      <c r="N1387" s="26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19"/>
      <c r="B1388" s="99"/>
      <c r="C1388" s="26"/>
      <c r="D1388" s="19"/>
      <c r="E1388" s="26"/>
      <c r="F1388" s="26"/>
      <c r="G1388" s="26"/>
      <c r="H1388" s="26"/>
      <c r="I1388" s="26"/>
      <c r="J1388" s="26"/>
      <c r="K1388" s="19"/>
      <c r="L1388" s="26"/>
      <c r="M1388" s="19"/>
      <c r="N1388" s="26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19"/>
      <c r="B1389" s="99"/>
      <c r="C1389" s="26"/>
      <c r="D1389" s="19"/>
      <c r="E1389" s="26"/>
      <c r="F1389" s="26"/>
      <c r="G1389" s="26"/>
      <c r="H1389" s="26"/>
      <c r="I1389" s="26"/>
      <c r="J1389" s="26"/>
      <c r="K1389" s="19"/>
      <c r="L1389" s="26"/>
      <c r="M1389" s="19"/>
      <c r="N1389" s="26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19"/>
      <c r="B1390" s="99"/>
      <c r="C1390" s="26"/>
      <c r="D1390" s="19"/>
      <c r="E1390" s="26"/>
      <c r="F1390" s="26"/>
      <c r="G1390" s="26"/>
      <c r="H1390" s="26"/>
      <c r="I1390" s="26"/>
      <c r="J1390" s="26"/>
      <c r="K1390" s="19"/>
      <c r="L1390" s="26"/>
      <c r="M1390" s="19"/>
      <c r="N1390" s="26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19"/>
      <c r="B1391" s="99"/>
      <c r="C1391" s="26"/>
      <c r="D1391" s="19"/>
      <c r="E1391" s="26"/>
      <c r="F1391" s="26"/>
      <c r="G1391" s="26"/>
      <c r="H1391" s="26"/>
      <c r="I1391" s="26"/>
      <c r="J1391" s="26"/>
      <c r="K1391" s="19"/>
      <c r="L1391" s="26"/>
      <c r="M1391" s="19"/>
      <c r="N1391" s="26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19"/>
      <c r="B1392" s="99"/>
      <c r="C1392" s="26"/>
      <c r="D1392" s="19"/>
      <c r="E1392" s="26"/>
      <c r="F1392" s="26"/>
      <c r="G1392" s="26"/>
      <c r="H1392" s="26"/>
      <c r="I1392" s="26"/>
      <c r="J1392" s="26"/>
      <c r="K1392" s="19"/>
      <c r="L1392" s="26"/>
      <c r="M1392" s="19"/>
      <c r="N1392" s="26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19"/>
      <c r="B1393" s="99"/>
      <c r="C1393" s="26"/>
      <c r="D1393" s="19"/>
      <c r="E1393" s="26"/>
      <c r="F1393" s="26"/>
      <c r="G1393" s="26"/>
      <c r="H1393" s="26"/>
      <c r="I1393" s="26"/>
      <c r="J1393" s="26"/>
      <c r="K1393" s="19"/>
      <c r="L1393" s="26"/>
      <c r="M1393" s="19"/>
      <c r="N1393" s="26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19"/>
      <c r="B1394" s="99"/>
      <c r="C1394" s="26"/>
      <c r="D1394" s="19"/>
      <c r="E1394" s="26"/>
      <c r="F1394" s="26"/>
      <c r="G1394" s="26"/>
      <c r="H1394" s="26"/>
      <c r="I1394" s="26"/>
      <c r="J1394" s="26"/>
      <c r="K1394" s="19"/>
      <c r="L1394" s="26"/>
      <c r="M1394" s="19"/>
      <c r="N1394" s="26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19"/>
      <c r="B1395" s="99"/>
      <c r="C1395" s="26"/>
      <c r="D1395" s="19"/>
      <c r="E1395" s="26"/>
      <c r="F1395" s="26"/>
      <c r="G1395" s="26"/>
      <c r="H1395" s="26"/>
      <c r="I1395" s="26"/>
      <c r="J1395" s="26"/>
      <c r="K1395" s="19"/>
      <c r="L1395" s="26"/>
      <c r="M1395" s="19"/>
      <c r="N1395" s="26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19"/>
      <c r="B1396" s="99"/>
      <c r="C1396" s="26"/>
      <c r="D1396" s="19"/>
      <c r="E1396" s="26"/>
      <c r="F1396" s="26"/>
      <c r="G1396" s="26"/>
      <c r="H1396" s="26"/>
      <c r="I1396" s="26"/>
      <c r="J1396" s="26"/>
      <c r="K1396" s="19"/>
      <c r="L1396" s="26"/>
      <c r="M1396" s="19"/>
      <c r="N1396" s="26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19"/>
      <c r="B1397" s="99"/>
      <c r="C1397" s="26"/>
      <c r="D1397" s="19"/>
      <c r="E1397" s="26"/>
      <c r="F1397" s="26"/>
      <c r="G1397" s="26"/>
      <c r="H1397" s="26"/>
      <c r="I1397" s="26"/>
      <c r="J1397" s="26"/>
      <c r="K1397" s="19"/>
      <c r="L1397" s="26"/>
      <c r="M1397" s="19"/>
      <c r="N1397" s="26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19"/>
      <c r="B1398" s="99"/>
      <c r="C1398" s="26"/>
      <c r="D1398" s="19"/>
      <c r="E1398" s="26"/>
      <c r="F1398" s="26"/>
      <c r="G1398" s="26"/>
      <c r="H1398" s="26"/>
      <c r="I1398" s="26"/>
      <c r="J1398" s="26"/>
      <c r="K1398" s="19"/>
      <c r="L1398" s="26"/>
      <c r="M1398" s="19"/>
      <c r="N1398" s="26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19"/>
      <c r="B1399" s="99"/>
      <c r="C1399" s="26"/>
      <c r="D1399" s="19"/>
      <c r="E1399" s="26"/>
      <c r="F1399" s="26"/>
      <c r="G1399" s="26"/>
      <c r="H1399" s="26"/>
      <c r="I1399" s="26"/>
      <c r="J1399" s="26"/>
      <c r="K1399" s="19"/>
      <c r="L1399" s="26"/>
      <c r="M1399" s="19"/>
      <c r="N1399" s="26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19"/>
      <c r="B1400" s="99"/>
      <c r="C1400" s="26"/>
      <c r="D1400" s="19"/>
      <c r="E1400" s="26"/>
      <c r="F1400" s="26"/>
      <c r="G1400" s="26"/>
      <c r="H1400" s="26"/>
      <c r="I1400" s="26"/>
      <c r="J1400" s="26"/>
      <c r="K1400" s="19"/>
      <c r="L1400" s="26"/>
      <c r="M1400" s="19"/>
      <c r="N1400" s="26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19"/>
      <c r="B1401" s="99"/>
      <c r="C1401" s="26"/>
      <c r="D1401" s="19"/>
      <c r="E1401" s="26"/>
      <c r="F1401" s="26"/>
      <c r="G1401" s="26"/>
      <c r="H1401" s="26"/>
      <c r="I1401" s="26"/>
      <c r="J1401" s="26"/>
      <c r="K1401" s="19"/>
      <c r="L1401" s="26"/>
      <c r="M1401" s="19"/>
      <c r="N1401" s="26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19"/>
      <c r="B1402" s="99"/>
      <c r="C1402" s="26"/>
      <c r="D1402" s="19"/>
      <c r="E1402" s="26"/>
      <c r="F1402" s="26"/>
      <c r="G1402" s="26"/>
      <c r="H1402" s="26"/>
      <c r="I1402" s="26"/>
      <c r="J1402" s="26"/>
      <c r="K1402" s="19"/>
      <c r="L1402" s="26"/>
      <c r="M1402" s="19"/>
      <c r="N1402" s="26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19"/>
      <c r="B1403" s="99"/>
      <c r="C1403" s="26"/>
      <c r="D1403" s="19"/>
      <c r="E1403" s="26"/>
      <c r="F1403" s="26"/>
      <c r="G1403" s="26"/>
      <c r="H1403" s="26"/>
      <c r="I1403" s="26"/>
      <c r="J1403" s="26"/>
      <c r="K1403" s="19"/>
      <c r="L1403" s="26"/>
      <c r="M1403" s="19"/>
      <c r="N1403" s="26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19"/>
      <c r="B1404" s="99"/>
      <c r="C1404" s="26"/>
      <c r="D1404" s="19"/>
      <c r="E1404" s="26"/>
      <c r="F1404" s="26"/>
      <c r="G1404" s="26"/>
      <c r="H1404" s="26"/>
      <c r="I1404" s="26"/>
      <c r="J1404" s="26"/>
      <c r="K1404" s="19"/>
      <c r="L1404" s="26"/>
      <c r="M1404" s="19"/>
      <c r="N1404" s="26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19"/>
      <c r="B1405" s="99"/>
      <c r="C1405" s="26"/>
      <c r="D1405" s="19"/>
      <c r="E1405" s="26"/>
      <c r="F1405" s="26"/>
      <c r="G1405" s="26"/>
      <c r="H1405" s="26"/>
      <c r="I1405" s="26"/>
      <c r="J1405" s="26"/>
      <c r="K1405" s="19"/>
      <c r="L1405" s="26"/>
      <c r="M1405" s="19"/>
      <c r="N1405" s="26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19"/>
      <c r="B1406" s="99"/>
      <c r="C1406" s="26"/>
      <c r="D1406" s="19"/>
      <c r="E1406" s="26"/>
      <c r="F1406" s="26"/>
      <c r="G1406" s="26"/>
      <c r="H1406" s="26"/>
      <c r="I1406" s="26"/>
      <c r="J1406" s="26"/>
      <c r="K1406" s="19"/>
      <c r="L1406" s="26"/>
      <c r="M1406" s="19"/>
      <c r="N1406" s="26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19"/>
      <c r="B1407" s="99"/>
      <c r="C1407" s="26"/>
      <c r="D1407" s="19"/>
      <c r="E1407" s="26"/>
      <c r="F1407" s="26"/>
      <c r="G1407" s="26"/>
      <c r="H1407" s="26"/>
      <c r="I1407" s="26"/>
      <c r="J1407" s="26"/>
      <c r="K1407" s="19"/>
      <c r="L1407" s="26"/>
      <c r="M1407" s="19"/>
      <c r="N1407" s="26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19"/>
      <c r="B1408" s="99"/>
      <c r="C1408" s="26"/>
      <c r="D1408" s="19"/>
      <c r="E1408" s="26"/>
      <c r="F1408" s="26"/>
      <c r="G1408" s="26"/>
      <c r="H1408" s="26"/>
      <c r="I1408" s="26"/>
      <c r="J1408" s="26"/>
      <c r="K1408" s="19"/>
      <c r="L1408" s="26"/>
      <c r="M1408" s="19"/>
      <c r="N1408" s="26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19"/>
      <c r="B1409" s="99"/>
      <c r="C1409" s="26"/>
      <c r="D1409" s="19"/>
      <c r="E1409" s="26"/>
      <c r="F1409" s="26"/>
      <c r="G1409" s="26"/>
      <c r="H1409" s="26"/>
      <c r="I1409" s="26"/>
      <c r="J1409" s="26"/>
      <c r="K1409" s="19"/>
      <c r="L1409" s="26"/>
      <c r="M1409" s="19"/>
      <c r="N1409" s="26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19"/>
      <c r="B1410" s="99"/>
      <c r="C1410" s="26"/>
      <c r="D1410" s="19"/>
      <c r="E1410" s="26"/>
      <c r="F1410" s="26"/>
      <c r="G1410" s="26"/>
      <c r="H1410" s="26"/>
      <c r="I1410" s="26"/>
      <c r="J1410" s="26"/>
      <c r="K1410" s="19"/>
      <c r="L1410" s="26"/>
      <c r="M1410" s="19"/>
      <c r="N1410" s="26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19"/>
      <c r="B1411" s="99"/>
      <c r="C1411" s="26"/>
      <c r="D1411" s="19"/>
      <c r="E1411" s="26"/>
      <c r="F1411" s="26"/>
      <c r="G1411" s="26"/>
      <c r="H1411" s="26"/>
      <c r="I1411" s="26"/>
      <c r="J1411" s="26"/>
      <c r="K1411" s="19"/>
      <c r="L1411" s="26"/>
      <c r="M1411" s="19"/>
      <c r="N1411" s="26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19"/>
      <c r="B1412" s="99"/>
      <c r="C1412" s="26"/>
      <c r="D1412" s="19"/>
      <c r="E1412" s="26"/>
      <c r="F1412" s="26"/>
      <c r="G1412" s="26"/>
      <c r="H1412" s="26"/>
      <c r="I1412" s="26"/>
      <c r="J1412" s="26"/>
      <c r="K1412" s="19"/>
      <c r="L1412" s="26"/>
      <c r="M1412" s="19"/>
      <c r="N1412" s="26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19"/>
      <c r="B1413" s="99"/>
      <c r="C1413" s="26"/>
      <c r="D1413" s="19"/>
      <c r="E1413" s="26"/>
      <c r="F1413" s="26"/>
      <c r="G1413" s="26"/>
      <c r="H1413" s="26"/>
      <c r="I1413" s="26"/>
      <c r="J1413" s="26"/>
      <c r="K1413" s="19"/>
      <c r="L1413" s="26"/>
      <c r="M1413" s="19"/>
      <c r="N1413" s="26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19"/>
      <c r="B1414" s="99"/>
      <c r="C1414" s="26"/>
      <c r="D1414" s="19"/>
      <c r="E1414" s="26"/>
      <c r="F1414" s="26"/>
      <c r="G1414" s="26"/>
      <c r="H1414" s="26"/>
      <c r="I1414" s="26"/>
      <c r="J1414" s="26"/>
      <c r="K1414" s="19"/>
      <c r="L1414" s="26"/>
      <c r="M1414" s="19"/>
      <c r="N1414" s="26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19"/>
      <c r="B1415" s="99"/>
      <c r="C1415" s="26"/>
      <c r="D1415" s="19"/>
      <c r="E1415" s="26"/>
      <c r="F1415" s="26"/>
      <c r="G1415" s="26"/>
      <c r="H1415" s="26"/>
      <c r="I1415" s="26"/>
      <c r="J1415" s="26"/>
      <c r="K1415" s="19"/>
      <c r="L1415" s="26"/>
      <c r="M1415" s="19"/>
      <c r="N1415" s="26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19"/>
      <c r="B1416" s="99"/>
      <c r="C1416" s="26"/>
      <c r="D1416" s="19"/>
      <c r="E1416" s="26"/>
      <c r="F1416" s="26"/>
      <c r="G1416" s="26"/>
      <c r="H1416" s="26"/>
      <c r="I1416" s="26"/>
      <c r="J1416" s="26"/>
      <c r="K1416" s="19"/>
      <c r="L1416" s="26"/>
      <c r="M1416" s="19"/>
      <c r="N1416" s="26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19"/>
      <c r="B1417" s="99"/>
      <c r="C1417" s="26"/>
      <c r="D1417" s="19"/>
      <c r="E1417" s="26"/>
      <c r="F1417" s="26"/>
      <c r="G1417" s="26"/>
      <c r="H1417" s="26"/>
      <c r="I1417" s="26"/>
      <c r="J1417" s="26"/>
      <c r="K1417" s="19"/>
      <c r="L1417" s="26"/>
      <c r="M1417" s="19"/>
      <c r="N1417" s="26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19"/>
      <c r="B1418" s="99"/>
      <c r="C1418" s="26"/>
      <c r="D1418" s="19"/>
      <c r="E1418" s="26"/>
      <c r="F1418" s="26"/>
      <c r="G1418" s="26"/>
      <c r="H1418" s="26"/>
      <c r="I1418" s="26"/>
      <c r="J1418" s="26"/>
      <c r="K1418" s="19"/>
      <c r="L1418" s="26"/>
      <c r="M1418" s="19"/>
      <c r="N1418" s="26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19"/>
      <c r="B1419" s="99"/>
      <c r="C1419" s="26"/>
      <c r="D1419" s="19"/>
      <c r="E1419" s="26"/>
      <c r="F1419" s="26"/>
      <c r="G1419" s="26"/>
      <c r="H1419" s="26"/>
      <c r="I1419" s="26"/>
      <c r="J1419" s="26"/>
      <c r="K1419" s="19"/>
      <c r="L1419" s="26"/>
      <c r="M1419" s="19"/>
      <c r="N1419" s="26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19"/>
      <c r="B1420" s="99"/>
      <c r="C1420" s="26"/>
      <c r="D1420" s="19"/>
      <c r="E1420" s="26"/>
      <c r="F1420" s="26"/>
      <c r="G1420" s="26"/>
      <c r="H1420" s="26"/>
      <c r="I1420" s="26"/>
      <c r="J1420" s="26"/>
      <c r="K1420" s="19"/>
      <c r="L1420" s="26"/>
      <c r="M1420" s="19"/>
      <c r="N1420" s="26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19"/>
      <c r="B1421" s="99"/>
      <c r="C1421" s="26"/>
      <c r="D1421" s="19"/>
      <c r="E1421" s="26"/>
      <c r="F1421" s="26"/>
      <c r="G1421" s="26"/>
      <c r="H1421" s="26"/>
      <c r="I1421" s="26"/>
      <c r="J1421" s="26"/>
      <c r="K1421" s="19"/>
      <c r="L1421" s="26"/>
      <c r="M1421" s="19"/>
      <c r="N1421" s="26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19"/>
      <c r="B1422" s="99"/>
      <c r="C1422" s="26"/>
      <c r="D1422" s="19"/>
      <c r="E1422" s="26"/>
      <c r="F1422" s="26"/>
      <c r="G1422" s="26"/>
      <c r="H1422" s="26"/>
      <c r="I1422" s="26"/>
      <c r="J1422" s="26"/>
      <c r="K1422" s="19"/>
      <c r="L1422" s="26"/>
      <c r="M1422" s="19"/>
      <c r="N1422" s="26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19"/>
      <c r="B1423" s="99"/>
      <c r="C1423" s="26"/>
      <c r="D1423" s="19"/>
      <c r="E1423" s="26"/>
      <c r="F1423" s="26"/>
      <c r="G1423" s="26"/>
      <c r="H1423" s="26"/>
      <c r="I1423" s="26"/>
      <c r="J1423" s="26"/>
      <c r="K1423" s="19"/>
      <c r="L1423" s="26"/>
      <c r="M1423" s="19"/>
      <c r="N1423" s="26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19"/>
      <c r="B1424" s="99"/>
      <c r="C1424" s="26"/>
      <c r="D1424" s="19"/>
      <c r="E1424" s="26"/>
      <c r="F1424" s="26"/>
      <c r="G1424" s="26"/>
      <c r="H1424" s="26"/>
      <c r="I1424" s="26"/>
      <c r="J1424" s="26"/>
      <c r="K1424" s="19"/>
      <c r="L1424" s="26"/>
      <c r="M1424" s="19"/>
      <c r="N1424" s="26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19"/>
      <c r="B1425" s="99"/>
      <c r="C1425" s="26"/>
      <c r="D1425" s="19"/>
      <c r="E1425" s="26"/>
      <c r="F1425" s="26"/>
      <c r="G1425" s="26"/>
      <c r="H1425" s="26"/>
      <c r="I1425" s="26"/>
      <c r="J1425" s="26"/>
      <c r="K1425" s="19"/>
      <c r="L1425" s="26"/>
      <c r="M1425" s="19"/>
      <c r="N1425" s="26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19"/>
      <c r="B1426" s="99"/>
      <c r="C1426" s="26"/>
      <c r="D1426" s="19"/>
      <c r="E1426" s="26"/>
      <c r="F1426" s="26"/>
      <c r="G1426" s="26"/>
      <c r="H1426" s="26"/>
      <c r="I1426" s="26"/>
      <c r="J1426" s="26"/>
      <c r="K1426" s="19"/>
      <c r="L1426" s="26"/>
      <c r="M1426" s="19"/>
      <c r="N1426" s="26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19"/>
      <c r="B1427" s="99"/>
      <c r="C1427" s="26"/>
      <c r="D1427" s="19"/>
      <c r="E1427" s="26"/>
      <c r="F1427" s="26"/>
      <c r="G1427" s="26"/>
      <c r="H1427" s="26"/>
      <c r="I1427" s="26"/>
      <c r="J1427" s="26"/>
      <c r="K1427" s="19"/>
      <c r="L1427" s="26"/>
      <c r="M1427" s="19"/>
      <c r="N1427" s="26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19"/>
      <c r="B1428" s="99"/>
      <c r="C1428" s="26"/>
      <c r="D1428" s="19"/>
      <c r="E1428" s="26"/>
      <c r="F1428" s="26"/>
      <c r="G1428" s="26"/>
      <c r="H1428" s="26"/>
      <c r="I1428" s="26"/>
      <c r="J1428" s="26"/>
      <c r="K1428" s="19"/>
      <c r="L1428" s="26"/>
      <c r="M1428" s="19"/>
      <c r="N1428" s="26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19"/>
      <c r="B1429" s="99"/>
      <c r="C1429" s="26"/>
      <c r="D1429" s="19"/>
      <c r="E1429" s="26"/>
      <c r="F1429" s="26"/>
      <c r="G1429" s="26"/>
      <c r="H1429" s="26"/>
      <c r="I1429" s="26"/>
      <c r="J1429" s="26"/>
      <c r="K1429" s="19"/>
      <c r="L1429" s="26"/>
      <c r="M1429" s="19"/>
      <c r="N1429" s="26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19"/>
      <c r="B1430" s="99"/>
      <c r="C1430" s="26"/>
      <c r="D1430" s="19"/>
      <c r="E1430" s="26"/>
      <c r="F1430" s="26"/>
      <c r="G1430" s="26"/>
      <c r="H1430" s="26"/>
      <c r="I1430" s="26"/>
      <c r="J1430" s="26"/>
      <c r="K1430" s="19"/>
      <c r="L1430" s="26"/>
      <c r="M1430" s="19"/>
      <c r="N1430" s="26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19"/>
      <c r="B1431" s="99"/>
      <c r="C1431" s="26"/>
      <c r="D1431" s="19"/>
      <c r="E1431" s="26"/>
      <c r="F1431" s="26"/>
      <c r="G1431" s="26"/>
      <c r="H1431" s="26"/>
      <c r="I1431" s="26"/>
      <c r="J1431" s="26"/>
      <c r="K1431" s="19"/>
      <c r="L1431" s="26"/>
      <c r="M1431" s="19"/>
      <c r="N1431" s="26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19"/>
      <c r="B1432" s="99"/>
      <c r="C1432" s="26"/>
      <c r="D1432" s="19"/>
      <c r="E1432" s="26"/>
      <c r="F1432" s="26"/>
      <c r="G1432" s="26"/>
      <c r="H1432" s="26"/>
      <c r="I1432" s="26"/>
      <c r="J1432" s="26"/>
      <c r="K1432" s="19"/>
      <c r="L1432" s="26"/>
      <c r="M1432" s="19"/>
      <c r="N1432" s="26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19"/>
      <c r="B1433" s="99"/>
      <c r="C1433" s="26"/>
      <c r="D1433" s="19"/>
      <c r="E1433" s="26"/>
      <c r="F1433" s="26"/>
      <c r="G1433" s="26"/>
      <c r="H1433" s="26"/>
      <c r="I1433" s="26"/>
      <c r="J1433" s="26"/>
      <c r="K1433" s="19"/>
      <c r="L1433" s="26"/>
      <c r="M1433" s="19"/>
      <c r="N1433" s="26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19"/>
      <c r="B1434" s="99"/>
      <c r="C1434" s="26"/>
      <c r="D1434" s="19"/>
      <c r="E1434" s="26"/>
      <c r="F1434" s="26"/>
      <c r="G1434" s="26"/>
      <c r="H1434" s="26"/>
      <c r="I1434" s="26"/>
      <c r="J1434" s="26"/>
      <c r="K1434" s="19"/>
      <c r="L1434" s="26"/>
      <c r="M1434" s="19"/>
      <c r="N1434" s="26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19"/>
      <c r="B1435" s="99"/>
      <c r="C1435" s="26"/>
      <c r="D1435" s="19"/>
      <c r="E1435" s="26"/>
      <c r="F1435" s="26"/>
      <c r="G1435" s="26"/>
      <c r="H1435" s="26"/>
      <c r="I1435" s="26"/>
      <c r="J1435" s="26"/>
      <c r="K1435" s="19"/>
      <c r="L1435" s="26"/>
      <c r="M1435" s="19"/>
      <c r="N1435" s="26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19"/>
      <c r="B1436" s="99"/>
      <c r="C1436" s="26"/>
      <c r="D1436" s="19"/>
      <c r="E1436" s="26"/>
      <c r="F1436" s="26"/>
      <c r="G1436" s="26"/>
      <c r="H1436" s="26"/>
      <c r="I1436" s="26"/>
      <c r="J1436" s="26"/>
      <c r="K1436" s="19"/>
      <c r="L1436" s="26"/>
      <c r="M1436" s="19"/>
      <c r="N1436" s="26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19"/>
      <c r="B1437" s="99"/>
      <c r="C1437" s="26"/>
      <c r="D1437" s="19"/>
      <c r="E1437" s="26"/>
      <c r="F1437" s="26"/>
      <c r="G1437" s="26"/>
      <c r="H1437" s="26"/>
      <c r="I1437" s="26"/>
      <c r="J1437" s="26"/>
      <c r="K1437" s="19"/>
      <c r="L1437" s="26"/>
      <c r="M1437" s="19"/>
      <c r="N1437" s="26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19"/>
      <c r="B1438" s="99"/>
      <c r="C1438" s="26"/>
      <c r="D1438" s="19"/>
      <c r="E1438" s="26"/>
      <c r="F1438" s="26"/>
      <c r="G1438" s="26"/>
      <c r="H1438" s="26"/>
      <c r="I1438" s="26"/>
      <c r="J1438" s="26"/>
      <c r="K1438" s="19"/>
      <c r="L1438" s="26"/>
      <c r="M1438" s="19"/>
      <c r="N1438" s="26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19"/>
      <c r="B1439" s="99"/>
      <c r="C1439" s="26"/>
      <c r="D1439" s="19"/>
      <c r="E1439" s="26"/>
      <c r="F1439" s="26"/>
      <c r="G1439" s="26"/>
      <c r="H1439" s="26"/>
      <c r="I1439" s="26"/>
      <c r="J1439" s="26"/>
      <c r="K1439" s="19"/>
      <c r="L1439" s="26"/>
      <c r="M1439" s="19"/>
      <c r="N1439" s="26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19"/>
      <c r="B1440" s="99"/>
      <c r="C1440" s="26"/>
      <c r="D1440" s="19"/>
      <c r="E1440" s="26"/>
      <c r="F1440" s="26"/>
      <c r="G1440" s="26"/>
      <c r="H1440" s="26"/>
      <c r="I1440" s="26"/>
      <c r="J1440" s="26"/>
      <c r="K1440" s="19"/>
      <c r="L1440" s="26"/>
      <c r="M1440" s="19"/>
      <c r="N1440" s="26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19"/>
      <c r="B1441" s="99"/>
      <c r="C1441" s="26"/>
      <c r="D1441" s="19"/>
      <c r="E1441" s="26"/>
      <c r="F1441" s="26"/>
      <c r="G1441" s="26"/>
      <c r="H1441" s="26"/>
      <c r="I1441" s="26"/>
      <c r="J1441" s="26"/>
      <c r="K1441" s="19"/>
      <c r="L1441" s="26"/>
      <c r="M1441" s="19"/>
      <c r="N1441" s="26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19"/>
      <c r="B1442" s="99"/>
      <c r="C1442" s="26"/>
      <c r="D1442" s="19"/>
      <c r="E1442" s="26"/>
      <c r="F1442" s="26"/>
      <c r="G1442" s="26"/>
      <c r="H1442" s="26"/>
      <c r="I1442" s="26"/>
      <c r="J1442" s="26"/>
      <c r="K1442" s="19"/>
      <c r="L1442" s="26"/>
      <c r="M1442" s="19"/>
      <c r="N1442" s="26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19"/>
      <c r="B1443" s="99"/>
      <c r="C1443" s="26"/>
      <c r="D1443" s="19"/>
      <c r="E1443" s="26"/>
      <c r="F1443" s="26"/>
      <c r="G1443" s="26"/>
      <c r="H1443" s="26"/>
      <c r="I1443" s="26"/>
      <c r="J1443" s="26"/>
      <c r="K1443" s="19"/>
      <c r="L1443" s="26"/>
      <c r="M1443" s="19"/>
      <c r="N1443" s="26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19"/>
      <c r="B1444" s="99"/>
      <c r="C1444" s="26"/>
      <c r="D1444" s="19"/>
      <c r="E1444" s="26"/>
      <c r="F1444" s="26"/>
      <c r="G1444" s="26"/>
      <c r="H1444" s="26"/>
      <c r="I1444" s="26"/>
      <c r="J1444" s="26"/>
      <c r="K1444" s="19"/>
      <c r="L1444" s="26"/>
      <c r="M1444" s="19"/>
      <c r="N1444" s="26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19"/>
      <c r="B1445" s="99"/>
      <c r="C1445" s="26"/>
      <c r="D1445" s="19"/>
      <c r="E1445" s="26"/>
      <c r="F1445" s="26"/>
      <c r="G1445" s="26"/>
      <c r="H1445" s="26"/>
      <c r="I1445" s="26"/>
      <c r="J1445" s="26"/>
      <c r="K1445" s="19"/>
      <c r="L1445" s="26"/>
      <c r="M1445" s="19"/>
      <c r="N1445" s="26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19"/>
      <c r="B1446" s="99"/>
      <c r="C1446" s="26"/>
      <c r="D1446" s="19"/>
      <c r="E1446" s="26"/>
      <c r="F1446" s="26"/>
      <c r="G1446" s="26"/>
      <c r="H1446" s="26"/>
      <c r="I1446" s="26"/>
      <c r="J1446" s="26"/>
      <c r="K1446" s="19"/>
      <c r="L1446" s="26"/>
      <c r="M1446" s="19"/>
      <c r="N1446" s="26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19"/>
      <c r="B1447" s="99"/>
      <c r="C1447" s="26"/>
      <c r="D1447" s="19"/>
      <c r="E1447" s="26"/>
      <c r="F1447" s="26"/>
      <c r="G1447" s="26"/>
      <c r="H1447" s="26"/>
      <c r="I1447" s="26"/>
      <c r="J1447" s="26"/>
      <c r="K1447" s="19"/>
      <c r="L1447" s="26"/>
      <c r="M1447" s="19"/>
      <c r="N1447" s="26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19"/>
      <c r="B1448" s="99"/>
      <c r="C1448" s="26"/>
      <c r="D1448" s="19"/>
      <c r="E1448" s="26"/>
      <c r="F1448" s="26"/>
      <c r="G1448" s="26"/>
      <c r="H1448" s="26"/>
      <c r="I1448" s="26"/>
      <c r="J1448" s="26"/>
      <c r="K1448" s="19"/>
      <c r="L1448" s="26"/>
      <c r="M1448" s="19"/>
      <c r="N1448" s="26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19"/>
      <c r="B1449" s="99"/>
      <c r="C1449" s="26"/>
      <c r="D1449" s="19"/>
      <c r="E1449" s="26"/>
      <c r="F1449" s="26"/>
      <c r="G1449" s="26"/>
      <c r="H1449" s="26"/>
      <c r="I1449" s="26"/>
      <c r="J1449" s="26"/>
      <c r="K1449" s="19"/>
      <c r="L1449" s="26"/>
      <c r="M1449" s="19"/>
      <c r="N1449" s="26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19"/>
      <c r="B1450" s="99"/>
      <c r="C1450" s="26"/>
      <c r="D1450" s="19"/>
      <c r="E1450" s="26"/>
      <c r="F1450" s="26"/>
      <c r="G1450" s="26"/>
      <c r="H1450" s="26"/>
      <c r="I1450" s="26"/>
      <c r="J1450" s="26"/>
      <c r="K1450" s="19"/>
      <c r="L1450" s="26"/>
      <c r="M1450" s="19"/>
      <c r="N1450" s="26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19"/>
      <c r="B1451" s="99"/>
      <c r="C1451" s="26"/>
      <c r="D1451" s="19"/>
      <c r="E1451" s="26"/>
      <c r="F1451" s="26"/>
      <c r="G1451" s="26"/>
      <c r="H1451" s="26"/>
      <c r="I1451" s="26"/>
      <c r="J1451" s="26"/>
      <c r="K1451" s="19"/>
      <c r="L1451" s="26"/>
      <c r="M1451" s="19"/>
      <c r="N1451" s="26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19"/>
      <c r="B1452" s="99"/>
      <c r="C1452" s="26"/>
      <c r="D1452" s="19"/>
      <c r="E1452" s="26"/>
      <c r="F1452" s="26"/>
      <c r="G1452" s="26"/>
      <c r="H1452" s="26"/>
      <c r="I1452" s="26"/>
      <c r="J1452" s="26"/>
      <c r="K1452" s="19"/>
      <c r="L1452" s="26"/>
      <c r="M1452" s="19"/>
      <c r="N1452" s="26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19"/>
      <c r="B1453" s="99"/>
      <c r="C1453" s="26"/>
      <c r="D1453" s="19"/>
      <c r="E1453" s="26"/>
      <c r="F1453" s="26"/>
      <c r="G1453" s="26"/>
      <c r="H1453" s="26"/>
      <c r="I1453" s="26"/>
      <c r="J1453" s="26"/>
      <c r="K1453" s="19"/>
      <c r="L1453" s="26"/>
      <c r="M1453" s="19"/>
      <c r="N1453" s="26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19"/>
      <c r="B1454" s="99"/>
      <c r="C1454" s="26"/>
      <c r="D1454" s="19"/>
      <c r="E1454" s="26"/>
      <c r="F1454" s="26"/>
      <c r="G1454" s="26"/>
      <c r="H1454" s="26"/>
      <c r="I1454" s="26"/>
      <c r="J1454" s="26"/>
      <c r="K1454" s="19"/>
      <c r="L1454" s="26"/>
      <c r="M1454" s="19"/>
      <c r="N1454" s="26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19"/>
      <c r="B1455" s="99"/>
      <c r="C1455" s="26"/>
      <c r="D1455" s="19"/>
      <c r="E1455" s="26"/>
      <c r="F1455" s="26"/>
      <c r="G1455" s="26"/>
      <c r="H1455" s="26"/>
      <c r="I1455" s="26"/>
      <c r="J1455" s="26"/>
      <c r="K1455" s="19"/>
      <c r="L1455" s="26"/>
      <c r="M1455" s="19"/>
      <c r="N1455" s="26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19"/>
      <c r="B1456" s="99"/>
      <c r="C1456" s="26"/>
      <c r="D1456" s="19"/>
      <c r="E1456" s="26"/>
      <c r="F1456" s="26"/>
      <c r="G1456" s="26"/>
      <c r="H1456" s="26"/>
      <c r="I1456" s="26"/>
      <c r="J1456" s="26"/>
      <c r="K1456" s="19"/>
      <c r="L1456" s="26"/>
      <c r="M1456" s="19"/>
      <c r="N1456" s="26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19"/>
      <c r="B1457" s="99"/>
      <c r="C1457" s="26"/>
      <c r="D1457" s="19"/>
      <c r="E1457" s="26"/>
      <c r="F1457" s="26"/>
      <c r="G1457" s="26"/>
      <c r="H1457" s="26"/>
      <c r="I1457" s="26"/>
      <c r="J1457" s="26"/>
      <c r="K1457" s="19"/>
      <c r="L1457" s="26"/>
      <c r="M1457" s="19"/>
      <c r="N1457" s="26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19"/>
      <c r="B1458" s="99"/>
      <c r="C1458" s="26"/>
      <c r="D1458" s="19"/>
      <c r="E1458" s="26"/>
      <c r="F1458" s="26"/>
      <c r="G1458" s="26"/>
      <c r="H1458" s="26"/>
      <c r="I1458" s="26"/>
      <c r="J1458" s="26"/>
      <c r="K1458" s="19"/>
      <c r="L1458" s="26"/>
      <c r="M1458" s="19"/>
      <c r="N1458" s="26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19"/>
      <c r="B1459" s="99"/>
      <c r="C1459" s="26"/>
      <c r="D1459" s="19"/>
      <c r="E1459" s="26"/>
      <c r="F1459" s="26"/>
      <c r="G1459" s="26"/>
      <c r="H1459" s="26"/>
      <c r="I1459" s="26"/>
      <c r="J1459" s="26"/>
      <c r="K1459" s="19"/>
      <c r="L1459" s="26"/>
      <c r="M1459" s="19"/>
      <c r="N1459" s="26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19"/>
      <c r="B1460" s="99"/>
      <c r="C1460" s="26"/>
      <c r="D1460" s="19"/>
      <c r="E1460" s="26"/>
      <c r="F1460" s="26"/>
      <c r="G1460" s="26"/>
      <c r="H1460" s="26"/>
      <c r="I1460" s="26"/>
      <c r="J1460" s="26"/>
      <c r="K1460" s="19"/>
      <c r="L1460" s="26"/>
      <c r="M1460" s="19"/>
      <c r="N1460" s="26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19"/>
      <c r="B1461" s="99"/>
      <c r="C1461" s="26"/>
      <c r="D1461" s="19"/>
      <c r="E1461" s="26"/>
      <c r="F1461" s="26"/>
      <c r="G1461" s="26"/>
      <c r="H1461" s="26"/>
      <c r="I1461" s="26"/>
      <c r="J1461" s="26"/>
      <c r="K1461" s="19"/>
      <c r="L1461" s="26"/>
      <c r="M1461" s="19"/>
      <c r="N1461" s="26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19"/>
      <c r="B1462" s="99"/>
      <c r="C1462" s="26"/>
      <c r="D1462" s="19"/>
      <c r="E1462" s="26"/>
      <c r="F1462" s="26"/>
      <c r="G1462" s="26"/>
      <c r="H1462" s="26"/>
      <c r="I1462" s="26"/>
      <c r="J1462" s="26"/>
      <c r="K1462" s="19"/>
      <c r="L1462" s="26"/>
      <c r="M1462" s="19"/>
      <c r="N1462" s="26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19"/>
      <c r="B1463" s="99"/>
      <c r="C1463" s="26"/>
      <c r="D1463" s="19"/>
      <c r="E1463" s="26"/>
      <c r="F1463" s="26"/>
      <c r="G1463" s="26"/>
      <c r="H1463" s="26"/>
      <c r="I1463" s="26"/>
      <c r="J1463" s="26"/>
      <c r="K1463" s="19"/>
      <c r="L1463" s="26"/>
      <c r="M1463" s="19"/>
      <c r="N1463" s="26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19"/>
      <c r="B1464" s="99"/>
      <c r="C1464" s="26"/>
      <c r="D1464" s="19"/>
      <c r="E1464" s="26"/>
      <c r="F1464" s="26"/>
      <c r="G1464" s="26"/>
      <c r="H1464" s="26"/>
      <c r="I1464" s="26"/>
      <c r="J1464" s="26"/>
      <c r="K1464" s="19"/>
      <c r="L1464" s="26"/>
      <c r="M1464" s="19"/>
      <c r="N1464" s="26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19"/>
      <c r="B1465" s="99"/>
      <c r="C1465" s="26"/>
      <c r="D1465" s="19"/>
      <c r="E1465" s="26"/>
      <c r="F1465" s="26"/>
      <c r="G1465" s="26"/>
      <c r="H1465" s="26"/>
      <c r="I1465" s="26"/>
      <c r="J1465" s="26"/>
      <c r="K1465" s="19"/>
      <c r="L1465" s="26"/>
      <c r="M1465" s="19"/>
      <c r="N1465" s="26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19"/>
      <c r="B1466" s="99"/>
      <c r="C1466" s="26"/>
      <c r="D1466" s="19"/>
      <c r="E1466" s="26"/>
      <c r="F1466" s="26"/>
      <c r="G1466" s="26"/>
      <c r="H1466" s="26"/>
      <c r="I1466" s="26"/>
      <c r="J1466" s="26"/>
      <c r="K1466" s="19"/>
      <c r="L1466" s="26"/>
      <c r="M1466" s="19"/>
      <c r="N1466" s="26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19"/>
      <c r="B1467" s="99"/>
      <c r="C1467" s="26"/>
      <c r="D1467" s="19"/>
      <c r="E1467" s="26"/>
      <c r="F1467" s="26"/>
      <c r="G1467" s="26"/>
      <c r="H1467" s="26"/>
      <c r="I1467" s="26"/>
      <c r="J1467" s="26"/>
      <c r="K1467" s="19"/>
      <c r="L1467" s="26"/>
      <c r="M1467" s="19"/>
      <c r="N1467" s="26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19"/>
      <c r="B1468" s="99"/>
      <c r="C1468" s="26"/>
      <c r="D1468" s="19"/>
      <c r="E1468" s="26"/>
      <c r="F1468" s="26"/>
      <c r="G1468" s="26"/>
      <c r="H1468" s="26"/>
      <c r="I1468" s="26"/>
      <c r="J1468" s="26"/>
      <c r="K1468" s="19"/>
      <c r="L1468" s="26"/>
      <c r="M1468" s="19"/>
      <c r="N1468" s="26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19"/>
      <c r="B1469" s="99"/>
      <c r="C1469" s="26"/>
      <c r="D1469" s="19"/>
      <c r="E1469" s="26"/>
      <c r="F1469" s="26"/>
      <c r="G1469" s="26"/>
      <c r="H1469" s="26"/>
      <c r="I1469" s="26"/>
      <c r="J1469" s="26"/>
      <c r="K1469" s="19"/>
      <c r="L1469" s="26"/>
      <c r="M1469" s="19"/>
      <c r="N1469" s="26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19"/>
      <c r="B1470" s="99"/>
      <c r="C1470" s="26"/>
      <c r="D1470" s="19"/>
      <c r="E1470" s="26"/>
      <c r="F1470" s="26"/>
      <c r="G1470" s="26"/>
      <c r="H1470" s="26"/>
      <c r="I1470" s="26"/>
      <c r="J1470" s="26"/>
      <c r="K1470" s="19"/>
      <c r="L1470" s="26"/>
      <c r="M1470" s="19"/>
      <c r="N1470" s="26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19"/>
      <c r="B1471" s="99"/>
      <c r="C1471" s="26"/>
      <c r="D1471" s="19"/>
      <c r="E1471" s="26"/>
      <c r="F1471" s="26"/>
      <c r="G1471" s="26"/>
      <c r="H1471" s="26"/>
      <c r="I1471" s="26"/>
      <c r="J1471" s="26"/>
      <c r="K1471" s="19"/>
      <c r="L1471" s="26"/>
      <c r="M1471" s="19"/>
      <c r="N1471" s="26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19"/>
      <c r="B1472" s="99"/>
      <c r="C1472" s="26"/>
      <c r="D1472" s="19"/>
      <c r="E1472" s="26"/>
      <c r="F1472" s="26"/>
      <c r="G1472" s="26"/>
      <c r="H1472" s="26"/>
      <c r="I1472" s="26"/>
      <c r="J1472" s="26"/>
      <c r="K1472" s="19"/>
      <c r="L1472" s="26"/>
      <c r="M1472" s="19"/>
      <c r="N1472" s="26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19"/>
      <c r="B1473" s="99"/>
      <c r="C1473" s="26"/>
      <c r="D1473" s="19"/>
      <c r="E1473" s="26"/>
      <c r="F1473" s="26"/>
      <c r="G1473" s="26"/>
      <c r="H1473" s="26"/>
      <c r="I1473" s="26"/>
      <c r="J1473" s="26"/>
      <c r="K1473" s="19"/>
      <c r="L1473" s="26"/>
      <c r="M1473" s="19"/>
      <c r="N1473" s="26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19"/>
      <c r="B1474" s="99"/>
      <c r="C1474" s="26"/>
      <c r="D1474" s="19"/>
      <c r="E1474" s="26"/>
      <c r="F1474" s="26"/>
      <c r="G1474" s="26"/>
      <c r="H1474" s="26"/>
      <c r="I1474" s="26"/>
      <c r="J1474" s="26"/>
      <c r="K1474" s="19"/>
      <c r="L1474" s="26"/>
      <c r="M1474" s="19"/>
      <c r="N1474" s="26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19"/>
      <c r="B1475" s="99"/>
      <c r="C1475" s="26"/>
      <c r="D1475" s="19"/>
      <c r="E1475" s="26"/>
      <c r="F1475" s="26"/>
      <c r="G1475" s="26"/>
      <c r="H1475" s="26"/>
      <c r="I1475" s="26"/>
      <c r="J1475" s="26"/>
      <c r="K1475" s="19"/>
      <c r="L1475" s="26"/>
      <c r="M1475" s="19"/>
      <c r="N1475" s="26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19"/>
      <c r="B1476" s="99"/>
      <c r="C1476" s="26"/>
      <c r="D1476" s="19"/>
      <c r="E1476" s="26"/>
      <c r="F1476" s="26"/>
      <c r="G1476" s="26"/>
      <c r="H1476" s="26"/>
      <c r="I1476" s="26"/>
      <c r="J1476" s="26"/>
      <c r="K1476" s="19"/>
      <c r="L1476" s="26"/>
      <c r="M1476" s="19"/>
      <c r="N1476" s="26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19"/>
      <c r="B1477" s="99"/>
      <c r="C1477" s="26"/>
      <c r="D1477" s="19"/>
      <c r="E1477" s="26"/>
      <c r="F1477" s="26"/>
      <c r="G1477" s="26"/>
      <c r="H1477" s="26"/>
      <c r="I1477" s="26"/>
      <c r="J1477" s="26"/>
      <c r="K1477" s="19"/>
      <c r="L1477" s="26"/>
      <c r="M1477" s="19"/>
      <c r="N1477" s="26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19"/>
      <c r="B1478" s="99"/>
      <c r="C1478" s="26"/>
      <c r="D1478" s="19"/>
      <c r="E1478" s="26"/>
      <c r="F1478" s="26"/>
      <c r="G1478" s="26"/>
      <c r="H1478" s="26"/>
      <c r="I1478" s="26"/>
      <c r="J1478" s="26"/>
      <c r="K1478" s="19"/>
      <c r="L1478" s="26"/>
      <c r="M1478" s="19"/>
      <c r="N1478" s="26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19"/>
      <c r="B1479" s="99"/>
      <c r="C1479" s="26"/>
      <c r="D1479" s="19"/>
      <c r="E1479" s="26"/>
      <c r="F1479" s="26"/>
      <c r="G1479" s="26"/>
      <c r="H1479" s="26"/>
      <c r="I1479" s="26"/>
      <c r="J1479" s="26"/>
      <c r="K1479" s="19"/>
      <c r="L1479" s="26"/>
      <c r="M1479" s="19"/>
      <c r="N1479" s="26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19"/>
      <c r="B1480" s="99"/>
      <c r="C1480" s="26"/>
      <c r="D1480" s="19"/>
      <c r="E1480" s="26"/>
      <c r="F1480" s="26"/>
      <c r="G1480" s="26"/>
      <c r="H1480" s="26"/>
      <c r="I1480" s="26"/>
      <c r="J1480" s="26"/>
      <c r="K1480" s="19"/>
      <c r="L1480" s="26"/>
      <c r="M1480" s="19"/>
      <c r="N1480" s="26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19"/>
      <c r="B1481" s="99"/>
      <c r="C1481" s="26"/>
      <c r="D1481" s="19"/>
      <c r="E1481" s="26"/>
      <c r="F1481" s="26"/>
      <c r="G1481" s="26"/>
      <c r="H1481" s="26"/>
      <c r="I1481" s="26"/>
      <c r="J1481" s="26"/>
      <c r="K1481" s="19"/>
      <c r="L1481" s="26"/>
      <c r="M1481" s="19"/>
      <c r="N1481" s="26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19"/>
      <c r="B1482" s="99"/>
      <c r="C1482" s="26"/>
      <c r="D1482" s="19"/>
      <c r="E1482" s="26"/>
      <c r="F1482" s="26"/>
      <c r="G1482" s="26"/>
      <c r="H1482" s="26"/>
      <c r="I1482" s="26"/>
      <c r="J1482" s="26"/>
      <c r="K1482" s="19"/>
      <c r="L1482" s="26"/>
      <c r="M1482" s="19"/>
      <c r="N1482" s="26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19"/>
      <c r="B1483" s="99"/>
      <c r="C1483" s="26"/>
      <c r="D1483" s="19"/>
      <c r="E1483" s="26"/>
      <c r="F1483" s="26"/>
      <c r="G1483" s="26"/>
      <c r="H1483" s="26"/>
      <c r="I1483" s="26"/>
      <c r="J1483" s="26"/>
      <c r="K1483" s="19"/>
      <c r="L1483" s="26"/>
      <c r="M1483" s="19"/>
      <c r="N1483" s="26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19"/>
      <c r="B1484" s="99"/>
      <c r="C1484" s="26"/>
      <c r="D1484" s="19"/>
      <c r="E1484" s="26"/>
      <c r="F1484" s="26"/>
      <c r="G1484" s="26"/>
      <c r="H1484" s="26"/>
      <c r="I1484" s="26"/>
      <c r="J1484" s="26"/>
      <c r="K1484" s="19"/>
      <c r="L1484" s="26"/>
      <c r="M1484" s="19"/>
      <c r="N1484" s="26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19"/>
      <c r="B1485" s="99"/>
      <c r="C1485" s="26"/>
      <c r="D1485" s="19"/>
      <c r="E1485" s="26"/>
      <c r="F1485" s="26"/>
      <c r="G1485" s="26"/>
      <c r="H1485" s="26"/>
      <c r="I1485" s="26"/>
      <c r="J1485" s="26"/>
      <c r="K1485" s="19"/>
      <c r="L1485" s="26"/>
      <c r="M1485" s="19"/>
      <c r="N1485" s="26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19"/>
      <c r="B1486" s="99"/>
      <c r="C1486" s="26"/>
      <c r="D1486" s="19"/>
      <c r="E1486" s="26"/>
      <c r="F1486" s="26"/>
      <c r="G1486" s="26"/>
      <c r="H1486" s="26"/>
      <c r="I1486" s="26"/>
      <c r="J1486" s="26"/>
      <c r="K1486" s="19"/>
      <c r="L1486" s="26"/>
      <c r="M1486" s="19"/>
      <c r="N1486" s="26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19"/>
      <c r="B1487" s="99"/>
      <c r="C1487" s="26"/>
      <c r="D1487" s="19"/>
      <c r="E1487" s="26"/>
      <c r="F1487" s="26"/>
      <c r="G1487" s="26"/>
      <c r="H1487" s="26"/>
      <c r="I1487" s="26"/>
      <c r="J1487" s="26"/>
      <c r="K1487" s="19"/>
      <c r="L1487" s="26"/>
      <c r="M1487" s="19"/>
      <c r="N1487" s="26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19"/>
      <c r="B1488" s="99"/>
      <c r="C1488" s="26"/>
      <c r="D1488" s="19"/>
      <c r="E1488" s="26"/>
      <c r="F1488" s="26"/>
      <c r="G1488" s="26"/>
      <c r="H1488" s="26"/>
      <c r="I1488" s="26"/>
      <c r="J1488" s="26"/>
      <c r="K1488" s="19"/>
      <c r="L1488" s="26"/>
      <c r="M1488" s="19"/>
      <c r="N1488" s="26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19"/>
      <c r="B1489" s="99"/>
      <c r="C1489" s="26"/>
      <c r="D1489" s="19"/>
      <c r="E1489" s="26"/>
      <c r="F1489" s="26"/>
      <c r="G1489" s="26"/>
      <c r="H1489" s="26"/>
      <c r="I1489" s="26"/>
      <c r="J1489" s="26"/>
      <c r="K1489" s="19"/>
      <c r="L1489" s="26"/>
      <c r="M1489" s="19"/>
      <c r="N1489" s="26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19"/>
      <c r="B1490" s="99"/>
      <c r="C1490" s="26"/>
      <c r="D1490" s="19"/>
      <c r="E1490" s="26"/>
      <c r="F1490" s="26"/>
      <c r="G1490" s="26"/>
      <c r="H1490" s="26"/>
      <c r="I1490" s="26"/>
      <c r="J1490" s="26"/>
      <c r="K1490" s="19"/>
      <c r="L1490" s="26"/>
      <c r="M1490" s="19"/>
      <c r="N1490" s="26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19"/>
      <c r="B1491" s="99"/>
      <c r="C1491" s="26"/>
      <c r="D1491" s="19"/>
      <c r="E1491" s="26"/>
      <c r="F1491" s="26"/>
      <c r="G1491" s="26"/>
      <c r="H1491" s="26"/>
      <c r="I1491" s="26"/>
      <c r="J1491" s="26"/>
      <c r="K1491" s="19"/>
      <c r="L1491" s="26"/>
      <c r="M1491" s="19"/>
      <c r="N1491" s="26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19"/>
      <c r="B1492" s="99"/>
      <c r="C1492" s="26"/>
      <c r="D1492" s="19"/>
      <c r="E1492" s="26"/>
      <c r="F1492" s="26"/>
      <c r="G1492" s="26"/>
      <c r="H1492" s="26"/>
      <c r="I1492" s="26"/>
      <c r="J1492" s="26"/>
      <c r="K1492" s="19"/>
      <c r="L1492" s="26"/>
      <c r="M1492" s="19"/>
      <c r="N1492" s="26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19"/>
      <c r="B1493" s="99"/>
      <c r="C1493" s="26"/>
      <c r="D1493" s="19"/>
      <c r="E1493" s="26"/>
      <c r="F1493" s="26"/>
      <c r="G1493" s="26"/>
      <c r="H1493" s="26"/>
      <c r="I1493" s="26"/>
      <c r="J1493" s="26"/>
      <c r="K1493" s="19"/>
      <c r="L1493" s="26"/>
      <c r="M1493" s="19"/>
      <c r="N1493" s="26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19"/>
      <c r="B1494" s="99"/>
      <c r="C1494" s="26"/>
      <c r="D1494" s="19"/>
      <c r="E1494" s="26"/>
      <c r="F1494" s="26"/>
      <c r="G1494" s="26"/>
      <c r="H1494" s="26"/>
      <c r="I1494" s="26"/>
      <c r="J1494" s="26"/>
      <c r="K1494" s="19"/>
      <c r="L1494" s="26"/>
      <c r="M1494" s="19"/>
      <c r="N1494" s="26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19"/>
      <c r="B1495" s="99"/>
      <c r="C1495" s="26"/>
      <c r="D1495" s="19"/>
      <c r="E1495" s="26"/>
      <c r="F1495" s="26"/>
      <c r="G1495" s="26"/>
      <c r="H1495" s="26"/>
      <c r="I1495" s="26"/>
      <c r="J1495" s="26"/>
      <c r="K1495" s="19"/>
      <c r="L1495" s="26"/>
      <c r="M1495" s="19"/>
      <c r="N1495" s="26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19"/>
      <c r="B1496" s="99"/>
      <c r="C1496" s="26"/>
      <c r="D1496" s="19"/>
      <c r="E1496" s="26"/>
      <c r="F1496" s="26"/>
      <c r="G1496" s="26"/>
      <c r="H1496" s="26"/>
      <c r="I1496" s="26"/>
      <c r="J1496" s="26"/>
      <c r="K1496" s="19"/>
      <c r="L1496" s="26"/>
      <c r="M1496" s="19"/>
      <c r="N1496" s="26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19"/>
      <c r="B1497" s="99"/>
      <c r="C1497" s="26"/>
      <c r="D1497" s="19"/>
      <c r="E1497" s="26"/>
      <c r="F1497" s="26"/>
      <c r="G1497" s="26"/>
      <c r="H1497" s="26"/>
      <c r="I1497" s="26"/>
      <c r="J1497" s="26"/>
      <c r="K1497" s="19"/>
      <c r="L1497" s="26"/>
      <c r="M1497" s="19"/>
      <c r="N1497" s="26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19"/>
      <c r="B1498" s="99"/>
      <c r="C1498" s="26"/>
      <c r="D1498" s="19"/>
      <c r="E1498" s="26"/>
      <c r="F1498" s="26"/>
      <c r="G1498" s="26"/>
      <c r="H1498" s="26"/>
      <c r="I1498" s="26"/>
      <c r="J1498" s="26"/>
      <c r="K1498" s="19"/>
      <c r="L1498" s="26"/>
      <c r="M1498" s="19"/>
      <c r="N1498" s="26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19"/>
      <c r="B1499" s="99"/>
      <c r="C1499" s="26"/>
      <c r="D1499" s="19"/>
      <c r="E1499" s="26"/>
      <c r="F1499" s="26"/>
      <c r="G1499" s="26"/>
      <c r="H1499" s="26"/>
      <c r="I1499" s="26"/>
      <c r="J1499" s="26"/>
      <c r="K1499" s="19"/>
      <c r="L1499" s="26"/>
      <c r="M1499" s="19"/>
      <c r="N1499" s="26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19"/>
      <c r="B1500" s="99"/>
      <c r="C1500" s="26"/>
      <c r="D1500" s="19"/>
      <c r="E1500" s="26"/>
      <c r="F1500" s="26"/>
      <c r="G1500" s="26"/>
      <c r="H1500" s="26"/>
      <c r="I1500" s="26"/>
      <c r="J1500" s="26"/>
      <c r="K1500" s="19"/>
      <c r="L1500" s="26"/>
      <c r="M1500" s="19"/>
      <c r="N1500" s="26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19"/>
      <c r="B1501" s="99"/>
      <c r="C1501" s="26"/>
      <c r="D1501" s="19"/>
      <c r="E1501" s="26"/>
      <c r="F1501" s="26"/>
      <c r="G1501" s="26"/>
      <c r="H1501" s="26"/>
      <c r="I1501" s="26"/>
      <c r="J1501" s="26"/>
      <c r="K1501" s="19"/>
      <c r="L1501" s="26"/>
      <c r="M1501" s="19"/>
      <c r="N1501" s="26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19"/>
      <c r="B1502" s="99"/>
      <c r="C1502" s="26"/>
      <c r="D1502" s="19"/>
      <c r="E1502" s="26"/>
      <c r="F1502" s="26"/>
      <c r="G1502" s="26"/>
      <c r="H1502" s="26"/>
      <c r="I1502" s="26"/>
      <c r="J1502" s="26"/>
      <c r="K1502" s="19"/>
      <c r="L1502" s="26"/>
      <c r="M1502" s="19"/>
      <c r="N1502" s="26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19"/>
      <c r="B1503" s="99"/>
      <c r="C1503" s="26"/>
      <c r="D1503" s="19"/>
      <c r="E1503" s="26"/>
      <c r="F1503" s="26"/>
      <c r="G1503" s="26"/>
      <c r="H1503" s="26"/>
      <c r="I1503" s="26"/>
      <c r="J1503" s="26"/>
      <c r="K1503" s="19"/>
      <c r="L1503" s="26"/>
      <c r="M1503" s="19"/>
      <c r="N1503" s="26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19"/>
      <c r="B1504" s="99"/>
      <c r="C1504" s="26"/>
      <c r="D1504" s="19"/>
      <c r="E1504" s="26"/>
      <c r="F1504" s="26"/>
      <c r="G1504" s="26"/>
      <c r="H1504" s="26"/>
      <c r="I1504" s="26"/>
      <c r="J1504" s="26"/>
      <c r="K1504" s="19"/>
      <c r="L1504" s="26"/>
      <c r="M1504" s="19"/>
      <c r="N1504" s="26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19"/>
      <c r="B1505" s="99"/>
      <c r="C1505" s="26"/>
      <c r="D1505" s="19"/>
      <c r="E1505" s="26"/>
      <c r="F1505" s="26"/>
      <c r="G1505" s="26"/>
      <c r="H1505" s="26"/>
      <c r="I1505" s="26"/>
      <c r="J1505" s="26"/>
      <c r="K1505" s="19"/>
      <c r="L1505" s="26"/>
      <c r="M1505" s="19"/>
      <c r="N1505" s="26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19"/>
      <c r="B1506" s="99"/>
      <c r="C1506" s="26"/>
      <c r="D1506" s="19"/>
      <c r="E1506" s="26"/>
      <c r="F1506" s="26"/>
      <c r="G1506" s="26"/>
      <c r="H1506" s="26"/>
      <c r="I1506" s="26"/>
      <c r="J1506" s="26"/>
      <c r="K1506" s="19"/>
      <c r="L1506" s="26"/>
      <c r="M1506" s="19"/>
      <c r="N1506" s="26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19"/>
      <c r="B1507" s="99"/>
      <c r="C1507" s="26"/>
      <c r="D1507" s="19"/>
      <c r="E1507" s="26"/>
      <c r="F1507" s="26"/>
      <c r="G1507" s="26"/>
      <c r="H1507" s="26"/>
      <c r="I1507" s="26"/>
      <c r="J1507" s="26"/>
      <c r="K1507" s="19"/>
      <c r="L1507" s="26"/>
      <c r="M1507" s="19"/>
      <c r="N1507" s="26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19"/>
      <c r="B1508" s="99"/>
      <c r="C1508" s="26"/>
      <c r="D1508" s="19"/>
      <c r="E1508" s="26"/>
      <c r="F1508" s="26"/>
      <c r="G1508" s="26"/>
      <c r="H1508" s="26"/>
      <c r="I1508" s="26"/>
      <c r="J1508" s="26"/>
      <c r="K1508" s="19"/>
      <c r="L1508" s="26"/>
      <c r="M1508" s="19"/>
      <c r="N1508" s="26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19"/>
      <c r="B1509" s="99"/>
      <c r="C1509" s="26"/>
      <c r="D1509" s="19"/>
      <c r="E1509" s="26"/>
      <c r="F1509" s="26"/>
      <c r="G1509" s="26"/>
      <c r="H1509" s="26"/>
      <c r="I1509" s="26"/>
      <c r="J1509" s="26"/>
      <c r="K1509" s="19"/>
      <c r="L1509" s="26"/>
      <c r="M1509" s="19"/>
      <c r="N1509" s="26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19"/>
      <c r="B1510" s="99"/>
      <c r="C1510" s="26"/>
      <c r="D1510" s="19"/>
      <c r="E1510" s="26"/>
      <c r="F1510" s="26"/>
      <c r="G1510" s="26"/>
      <c r="H1510" s="26"/>
      <c r="I1510" s="26"/>
      <c r="J1510" s="26"/>
      <c r="K1510" s="19"/>
      <c r="L1510" s="26"/>
      <c r="M1510" s="19"/>
      <c r="N1510" s="26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19"/>
      <c r="B1511" s="99"/>
      <c r="C1511" s="26"/>
      <c r="D1511" s="19"/>
      <c r="E1511" s="26"/>
      <c r="F1511" s="26"/>
      <c r="G1511" s="26"/>
      <c r="H1511" s="26"/>
      <c r="I1511" s="26"/>
      <c r="J1511" s="26"/>
      <c r="K1511" s="19"/>
      <c r="L1511" s="26"/>
      <c r="M1511" s="19"/>
      <c r="N1511" s="26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19"/>
      <c r="B1512" s="99"/>
      <c r="C1512" s="26"/>
      <c r="D1512" s="19"/>
      <c r="E1512" s="26"/>
      <c r="F1512" s="26"/>
      <c r="G1512" s="26"/>
      <c r="H1512" s="26"/>
      <c r="I1512" s="26"/>
      <c r="J1512" s="26"/>
      <c r="K1512" s="19"/>
      <c r="L1512" s="26"/>
      <c r="M1512" s="19"/>
      <c r="N1512" s="26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19"/>
      <c r="B1513" s="99"/>
      <c r="C1513" s="26"/>
      <c r="D1513" s="19"/>
      <c r="E1513" s="26"/>
      <c r="F1513" s="26"/>
      <c r="G1513" s="26"/>
      <c r="H1513" s="26"/>
      <c r="I1513" s="26"/>
      <c r="J1513" s="26"/>
      <c r="K1513" s="19"/>
      <c r="L1513" s="26"/>
      <c r="M1513" s="19"/>
      <c r="N1513" s="26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19"/>
      <c r="B1514" s="99"/>
      <c r="C1514" s="26"/>
      <c r="D1514" s="19"/>
      <c r="E1514" s="26"/>
      <c r="F1514" s="26"/>
      <c r="G1514" s="26"/>
      <c r="H1514" s="26"/>
      <c r="I1514" s="26"/>
      <c r="J1514" s="26"/>
      <c r="K1514" s="19"/>
      <c r="L1514" s="26"/>
      <c r="M1514" s="19"/>
      <c r="N1514" s="26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19"/>
      <c r="B1515" s="99"/>
      <c r="C1515" s="26"/>
      <c r="D1515" s="19"/>
      <c r="E1515" s="26"/>
      <c r="F1515" s="26"/>
      <c r="G1515" s="26"/>
      <c r="H1515" s="26"/>
      <c r="I1515" s="26"/>
      <c r="J1515" s="26"/>
      <c r="K1515" s="19"/>
      <c r="L1515" s="26"/>
      <c r="M1515" s="19"/>
      <c r="N1515" s="26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19"/>
      <c r="B1516" s="99"/>
      <c r="C1516" s="26"/>
      <c r="D1516" s="19"/>
      <c r="E1516" s="26"/>
      <c r="F1516" s="26"/>
      <c r="G1516" s="26"/>
      <c r="H1516" s="26"/>
      <c r="I1516" s="26"/>
      <c r="J1516" s="26"/>
      <c r="K1516" s="19"/>
      <c r="L1516" s="26"/>
      <c r="M1516" s="19"/>
      <c r="N1516" s="26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19"/>
      <c r="B1517" s="99"/>
      <c r="C1517" s="26"/>
      <c r="D1517" s="19"/>
      <c r="E1517" s="26"/>
      <c r="F1517" s="26"/>
      <c r="G1517" s="26"/>
      <c r="H1517" s="26"/>
      <c r="I1517" s="26"/>
      <c r="J1517" s="26"/>
      <c r="K1517" s="19"/>
      <c r="L1517" s="26"/>
      <c r="M1517" s="19"/>
      <c r="N1517" s="26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19"/>
      <c r="B1518" s="99"/>
      <c r="C1518" s="26"/>
      <c r="D1518" s="19"/>
      <c r="E1518" s="26"/>
      <c r="F1518" s="26"/>
      <c r="G1518" s="26"/>
      <c r="H1518" s="26"/>
      <c r="I1518" s="26"/>
      <c r="J1518" s="26"/>
      <c r="K1518" s="19"/>
      <c r="L1518" s="26"/>
      <c r="M1518" s="19"/>
      <c r="N1518" s="26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19"/>
      <c r="B1519" s="99"/>
      <c r="C1519" s="26"/>
      <c r="D1519" s="19"/>
      <c r="E1519" s="26"/>
      <c r="F1519" s="26"/>
      <c r="G1519" s="26"/>
      <c r="H1519" s="26"/>
      <c r="I1519" s="26"/>
      <c r="J1519" s="26"/>
      <c r="K1519" s="19"/>
      <c r="L1519" s="26"/>
      <c r="M1519" s="19"/>
      <c r="N1519" s="26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19"/>
      <c r="B1520" s="99"/>
      <c r="C1520" s="26"/>
      <c r="D1520" s="19"/>
      <c r="E1520" s="26"/>
      <c r="F1520" s="26"/>
      <c r="G1520" s="26"/>
      <c r="H1520" s="26"/>
      <c r="I1520" s="26"/>
      <c r="J1520" s="26"/>
      <c r="K1520" s="19"/>
      <c r="L1520" s="26"/>
      <c r="M1520" s="19"/>
      <c r="N1520" s="26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19"/>
      <c r="B1521" s="99"/>
      <c r="C1521" s="26"/>
      <c r="D1521" s="19"/>
      <c r="E1521" s="26"/>
      <c r="F1521" s="26"/>
      <c r="G1521" s="26"/>
      <c r="H1521" s="26"/>
      <c r="I1521" s="26"/>
      <c r="J1521" s="26"/>
      <c r="K1521" s="19"/>
      <c r="L1521" s="26"/>
      <c r="M1521" s="19"/>
      <c r="N1521" s="26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19"/>
      <c r="B1522" s="99"/>
      <c r="C1522" s="26"/>
      <c r="D1522" s="19"/>
      <c r="E1522" s="26"/>
      <c r="F1522" s="26"/>
      <c r="G1522" s="26"/>
      <c r="H1522" s="26"/>
      <c r="I1522" s="26"/>
      <c r="J1522" s="26"/>
      <c r="K1522" s="19"/>
      <c r="L1522" s="26"/>
      <c r="M1522" s="19"/>
      <c r="N1522" s="26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19"/>
      <c r="B1523" s="99"/>
      <c r="C1523" s="26"/>
      <c r="D1523" s="19"/>
      <c r="E1523" s="26"/>
      <c r="F1523" s="26"/>
      <c r="G1523" s="26"/>
      <c r="H1523" s="26"/>
      <c r="I1523" s="26"/>
      <c r="J1523" s="26"/>
      <c r="K1523" s="19"/>
      <c r="L1523" s="26"/>
      <c r="M1523" s="19"/>
      <c r="N1523" s="26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19"/>
      <c r="B1524" s="99"/>
      <c r="C1524" s="26"/>
      <c r="D1524" s="19"/>
      <c r="E1524" s="26"/>
      <c r="F1524" s="26"/>
      <c r="G1524" s="26"/>
      <c r="H1524" s="26"/>
      <c r="I1524" s="26"/>
      <c r="J1524" s="26"/>
      <c r="K1524" s="19"/>
      <c r="L1524" s="26"/>
      <c r="M1524" s="19"/>
      <c r="N1524" s="26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19"/>
      <c r="B1525" s="99"/>
      <c r="C1525" s="26"/>
      <c r="D1525" s="19"/>
      <c r="E1525" s="26"/>
      <c r="F1525" s="26"/>
      <c r="G1525" s="26"/>
      <c r="H1525" s="26"/>
      <c r="I1525" s="26"/>
      <c r="J1525" s="26"/>
      <c r="K1525" s="19"/>
      <c r="L1525" s="26"/>
      <c r="M1525" s="19"/>
      <c r="N1525" s="26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19"/>
      <c r="B1526" s="99"/>
      <c r="C1526" s="26"/>
      <c r="D1526" s="19"/>
      <c r="E1526" s="26"/>
      <c r="F1526" s="26"/>
      <c r="G1526" s="26"/>
      <c r="H1526" s="26"/>
      <c r="I1526" s="26"/>
      <c r="J1526" s="26"/>
      <c r="K1526" s="19"/>
      <c r="L1526" s="26"/>
      <c r="M1526" s="19"/>
      <c r="N1526" s="26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19"/>
      <c r="B1527" s="99"/>
      <c r="C1527" s="26"/>
      <c r="D1527" s="19"/>
      <c r="E1527" s="26"/>
      <c r="F1527" s="26"/>
      <c r="G1527" s="26"/>
      <c r="H1527" s="26"/>
      <c r="I1527" s="26"/>
      <c r="J1527" s="26"/>
      <c r="K1527" s="19"/>
      <c r="L1527" s="26"/>
      <c r="M1527" s="19"/>
      <c r="N1527" s="26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19"/>
      <c r="B1528" s="99"/>
      <c r="C1528" s="26"/>
      <c r="D1528" s="19"/>
      <c r="E1528" s="26"/>
      <c r="F1528" s="26"/>
      <c r="G1528" s="26"/>
      <c r="H1528" s="26"/>
      <c r="I1528" s="26"/>
      <c r="J1528" s="26"/>
      <c r="K1528" s="19"/>
      <c r="L1528" s="26"/>
      <c r="M1528" s="19"/>
      <c r="N1528" s="26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19"/>
      <c r="B1529" s="99"/>
      <c r="C1529" s="26"/>
      <c r="D1529" s="19"/>
      <c r="E1529" s="26"/>
      <c r="F1529" s="26"/>
      <c r="G1529" s="26"/>
      <c r="H1529" s="26"/>
      <c r="I1529" s="26"/>
      <c r="J1529" s="26"/>
      <c r="K1529" s="19"/>
      <c r="L1529" s="26"/>
      <c r="M1529" s="19"/>
      <c r="N1529" s="26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19"/>
      <c r="B1530" s="99"/>
      <c r="C1530" s="26"/>
      <c r="D1530" s="19"/>
      <c r="E1530" s="26"/>
      <c r="F1530" s="26"/>
      <c r="G1530" s="26"/>
      <c r="H1530" s="26"/>
      <c r="I1530" s="26"/>
      <c r="J1530" s="26"/>
      <c r="K1530" s="19"/>
      <c r="L1530" s="26"/>
      <c r="M1530" s="19"/>
      <c r="N1530" s="26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19"/>
      <c r="B1531" s="99"/>
      <c r="C1531" s="26"/>
      <c r="D1531" s="19"/>
      <c r="E1531" s="26"/>
      <c r="F1531" s="26"/>
      <c r="G1531" s="26"/>
      <c r="H1531" s="26"/>
      <c r="I1531" s="26"/>
      <c r="J1531" s="26"/>
      <c r="K1531" s="19"/>
      <c r="L1531" s="26"/>
      <c r="M1531" s="19"/>
      <c r="N1531" s="26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19"/>
      <c r="B1532" s="99"/>
      <c r="C1532" s="26"/>
      <c r="D1532" s="19"/>
      <c r="E1532" s="26"/>
      <c r="F1532" s="26"/>
      <c r="G1532" s="26"/>
      <c r="H1532" s="26"/>
      <c r="I1532" s="26"/>
      <c r="J1532" s="26"/>
      <c r="K1532" s="19"/>
      <c r="L1532" s="26"/>
      <c r="M1532" s="19"/>
      <c r="N1532" s="26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19"/>
      <c r="B1533" s="99"/>
      <c r="C1533" s="26"/>
      <c r="D1533" s="19"/>
      <c r="E1533" s="26"/>
      <c r="F1533" s="26"/>
      <c r="G1533" s="26"/>
      <c r="H1533" s="26"/>
      <c r="I1533" s="26"/>
      <c r="J1533" s="26"/>
      <c r="K1533" s="19"/>
      <c r="L1533" s="26"/>
      <c r="M1533" s="19"/>
      <c r="N1533" s="26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19"/>
      <c r="B1534" s="99"/>
      <c r="C1534" s="26"/>
      <c r="D1534" s="19"/>
      <c r="E1534" s="26"/>
      <c r="F1534" s="26"/>
      <c r="G1534" s="26"/>
      <c r="H1534" s="26"/>
      <c r="I1534" s="26"/>
      <c r="J1534" s="26"/>
      <c r="K1534" s="19"/>
      <c r="L1534" s="26"/>
      <c r="M1534" s="19"/>
      <c r="N1534" s="26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19"/>
      <c r="B1535" s="99"/>
      <c r="C1535" s="26"/>
      <c r="D1535" s="19"/>
      <c r="E1535" s="26"/>
      <c r="F1535" s="26"/>
      <c r="G1535" s="26"/>
      <c r="H1535" s="26"/>
      <c r="I1535" s="26"/>
      <c r="J1535" s="26"/>
      <c r="K1535" s="19"/>
      <c r="L1535" s="26"/>
      <c r="M1535" s="19"/>
      <c r="N1535" s="26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19"/>
      <c r="B1536" s="99"/>
      <c r="C1536" s="26"/>
      <c r="D1536" s="19"/>
      <c r="E1536" s="26"/>
      <c r="F1536" s="26"/>
      <c r="G1536" s="26"/>
      <c r="H1536" s="26"/>
      <c r="I1536" s="26"/>
      <c r="J1536" s="26"/>
      <c r="K1536" s="19"/>
      <c r="L1536" s="26"/>
      <c r="M1536" s="19"/>
      <c r="N1536" s="26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19"/>
      <c r="B1537" s="99"/>
      <c r="C1537" s="26"/>
      <c r="D1537" s="19"/>
      <c r="E1537" s="26"/>
      <c r="F1537" s="26"/>
      <c r="G1537" s="26"/>
      <c r="H1537" s="26"/>
      <c r="I1537" s="26"/>
      <c r="J1537" s="26"/>
      <c r="K1537" s="19"/>
      <c r="L1537" s="26"/>
      <c r="M1537" s="19"/>
      <c r="N1537" s="26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19"/>
      <c r="B1538" s="99"/>
      <c r="C1538" s="26"/>
      <c r="D1538" s="19"/>
      <c r="E1538" s="26"/>
      <c r="F1538" s="26"/>
      <c r="G1538" s="26"/>
      <c r="H1538" s="26"/>
      <c r="I1538" s="26"/>
      <c r="J1538" s="26"/>
      <c r="K1538" s="19"/>
      <c r="L1538" s="26"/>
      <c r="M1538" s="19"/>
      <c r="N1538" s="26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19"/>
      <c r="B1539" s="99"/>
      <c r="C1539" s="26"/>
      <c r="D1539" s="19"/>
      <c r="E1539" s="26"/>
      <c r="F1539" s="26"/>
      <c r="G1539" s="26"/>
      <c r="H1539" s="26"/>
      <c r="I1539" s="26"/>
      <c r="J1539" s="26"/>
      <c r="K1539" s="19"/>
      <c r="L1539" s="26"/>
      <c r="M1539" s="19"/>
      <c r="N1539" s="26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19"/>
      <c r="B1540" s="99"/>
      <c r="C1540" s="26"/>
      <c r="D1540" s="19"/>
      <c r="E1540" s="26"/>
      <c r="F1540" s="26"/>
      <c r="G1540" s="26"/>
      <c r="H1540" s="26"/>
      <c r="I1540" s="26"/>
      <c r="J1540" s="26"/>
      <c r="K1540" s="19"/>
      <c r="L1540" s="26"/>
      <c r="M1540" s="19"/>
      <c r="N1540" s="26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19"/>
      <c r="B1541" s="99"/>
      <c r="C1541" s="26"/>
      <c r="D1541" s="19"/>
      <c r="E1541" s="26"/>
      <c r="F1541" s="26"/>
      <c r="G1541" s="26"/>
      <c r="H1541" s="26"/>
      <c r="I1541" s="26"/>
      <c r="J1541" s="26"/>
      <c r="K1541" s="19"/>
      <c r="L1541" s="26"/>
      <c r="M1541" s="19"/>
      <c r="N1541" s="26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19"/>
      <c r="B1542" s="99"/>
      <c r="C1542" s="26"/>
      <c r="D1542" s="19"/>
      <c r="E1542" s="26"/>
      <c r="F1542" s="26"/>
      <c r="G1542" s="26"/>
      <c r="H1542" s="26"/>
      <c r="I1542" s="26"/>
      <c r="J1542" s="26"/>
      <c r="K1542" s="19"/>
      <c r="L1542" s="26"/>
      <c r="M1542" s="19"/>
      <c r="N1542" s="26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19"/>
      <c r="B1543" s="99"/>
      <c r="C1543" s="26"/>
      <c r="D1543" s="19"/>
      <c r="E1543" s="26"/>
      <c r="F1543" s="26"/>
      <c r="G1543" s="26"/>
      <c r="H1543" s="26"/>
      <c r="I1543" s="26"/>
      <c r="J1543" s="26"/>
      <c r="K1543" s="19"/>
      <c r="L1543" s="26"/>
      <c r="M1543" s="19"/>
      <c r="N1543" s="26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19"/>
      <c r="B1544" s="99"/>
      <c r="C1544" s="26"/>
      <c r="D1544" s="19"/>
      <c r="E1544" s="26"/>
      <c r="F1544" s="26"/>
      <c r="G1544" s="26"/>
      <c r="H1544" s="26"/>
      <c r="I1544" s="26"/>
      <c r="J1544" s="26"/>
      <c r="K1544" s="19"/>
      <c r="L1544" s="26"/>
      <c r="M1544" s="19"/>
      <c r="N1544" s="26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19"/>
      <c r="B1545" s="99"/>
      <c r="C1545" s="26"/>
      <c r="D1545" s="19"/>
      <c r="E1545" s="26"/>
      <c r="F1545" s="26"/>
      <c r="G1545" s="26"/>
      <c r="H1545" s="26"/>
      <c r="I1545" s="26"/>
      <c r="J1545" s="26"/>
      <c r="K1545" s="19"/>
      <c r="L1545" s="26"/>
      <c r="M1545" s="19"/>
      <c r="N1545" s="26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19"/>
      <c r="B1546" s="99"/>
      <c r="C1546" s="26"/>
      <c r="D1546" s="19"/>
      <c r="E1546" s="26"/>
      <c r="F1546" s="26"/>
      <c r="G1546" s="26"/>
      <c r="H1546" s="26"/>
      <c r="I1546" s="26"/>
      <c r="J1546" s="26"/>
      <c r="K1546" s="19"/>
      <c r="L1546" s="26"/>
      <c r="M1546" s="19"/>
      <c r="N1546" s="26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19"/>
      <c r="B1547" s="99"/>
      <c r="C1547" s="26"/>
      <c r="D1547" s="19"/>
      <c r="E1547" s="26"/>
      <c r="F1547" s="26"/>
      <c r="G1547" s="26"/>
      <c r="H1547" s="26"/>
      <c r="I1547" s="26"/>
      <c r="J1547" s="26"/>
      <c r="K1547" s="19"/>
      <c r="L1547" s="26"/>
      <c r="M1547" s="19"/>
      <c r="N1547" s="26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19"/>
      <c r="B1548" s="99"/>
      <c r="C1548" s="26"/>
      <c r="D1548" s="19"/>
      <c r="E1548" s="26"/>
      <c r="F1548" s="26"/>
      <c r="G1548" s="26"/>
      <c r="H1548" s="26"/>
      <c r="I1548" s="26"/>
      <c r="J1548" s="26"/>
      <c r="K1548" s="19"/>
      <c r="L1548" s="26"/>
      <c r="M1548" s="19"/>
      <c r="N1548" s="26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19"/>
      <c r="B1549" s="99"/>
      <c r="C1549" s="26"/>
      <c r="D1549" s="19"/>
      <c r="E1549" s="26"/>
      <c r="F1549" s="26"/>
      <c r="G1549" s="26"/>
      <c r="H1549" s="26"/>
      <c r="I1549" s="26"/>
      <c r="J1549" s="26"/>
      <c r="K1549" s="19"/>
      <c r="L1549" s="26"/>
      <c r="M1549" s="19"/>
      <c r="N1549" s="26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19"/>
      <c r="B1550" s="99"/>
      <c r="C1550" s="26"/>
      <c r="D1550" s="19"/>
      <c r="E1550" s="26"/>
      <c r="F1550" s="26"/>
      <c r="G1550" s="26"/>
      <c r="H1550" s="26"/>
      <c r="I1550" s="26"/>
      <c r="J1550" s="26"/>
      <c r="K1550" s="19"/>
      <c r="L1550" s="26"/>
      <c r="M1550" s="19"/>
      <c r="N1550" s="26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19"/>
      <c r="B1551" s="99"/>
      <c r="C1551" s="26"/>
      <c r="D1551" s="19"/>
      <c r="E1551" s="26"/>
      <c r="F1551" s="26"/>
      <c r="G1551" s="26"/>
      <c r="H1551" s="26"/>
      <c r="I1551" s="26"/>
      <c r="J1551" s="26"/>
      <c r="K1551" s="19"/>
      <c r="L1551" s="26"/>
      <c r="M1551" s="19"/>
      <c r="N1551" s="26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19"/>
      <c r="B1552" s="99"/>
      <c r="C1552" s="26"/>
      <c r="D1552" s="19"/>
      <c r="E1552" s="26"/>
      <c r="F1552" s="26"/>
      <c r="G1552" s="26"/>
      <c r="H1552" s="26"/>
      <c r="I1552" s="26"/>
      <c r="J1552" s="26"/>
      <c r="K1552" s="19"/>
      <c r="L1552" s="26"/>
      <c r="M1552" s="19"/>
      <c r="N1552" s="26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19"/>
      <c r="B1553" s="99"/>
      <c r="C1553" s="26"/>
      <c r="D1553" s="19"/>
      <c r="E1553" s="26"/>
      <c r="F1553" s="26"/>
      <c r="G1553" s="26"/>
      <c r="H1553" s="26"/>
      <c r="I1553" s="26"/>
      <c r="J1553" s="26"/>
      <c r="K1553" s="19"/>
      <c r="L1553" s="26"/>
      <c r="M1553" s="19"/>
      <c r="N1553" s="26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19"/>
      <c r="B1554" s="99"/>
      <c r="C1554" s="26"/>
      <c r="D1554" s="19"/>
      <c r="E1554" s="26"/>
      <c r="F1554" s="26"/>
      <c r="G1554" s="26"/>
      <c r="H1554" s="26"/>
      <c r="I1554" s="26"/>
      <c r="J1554" s="26"/>
      <c r="K1554" s="19"/>
      <c r="L1554" s="26"/>
      <c r="M1554" s="19"/>
      <c r="N1554" s="26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19"/>
      <c r="B1555" s="99"/>
      <c r="C1555" s="26"/>
      <c r="D1555" s="19"/>
      <c r="E1555" s="26"/>
      <c r="F1555" s="26"/>
      <c r="G1555" s="26"/>
      <c r="H1555" s="26"/>
      <c r="I1555" s="26"/>
      <c r="J1555" s="26"/>
      <c r="K1555" s="19"/>
      <c r="L1555" s="26"/>
      <c r="M1555" s="19"/>
      <c r="N1555" s="26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19"/>
      <c r="B1556" s="99"/>
      <c r="C1556" s="26"/>
      <c r="D1556" s="19"/>
      <c r="E1556" s="26"/>
      <c r="F1556" s="26"/>
      <c r="G1556" s="26"/>
      <c r="H1556" s="26"/>
      <c r="I1556" s="26"/>
      <c r="J1556" s="26"/>
      <c r="K1556" s="19"/>
      <c r="L1556" s="26"/>
      <c r="M1556" s="19"/>
      <c r="N1556" s="26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19"/>
      <c r="B1557" s="99"/>
      <c r="C1557" s="26"/>
      <c r="D1557" s="19"/>
      <c r="E1557" s="26"/>
      <c r="F1557" s="26"/>
      <c r="G1557" s="26"/>
      <c r="H1557" s="26"/>
      <c r="I1557" s="26"/>
      <c r="J1557" s="26"/>
      <c r="K1557" s="19"/>
      <c r="L1557" s="26"/>
      <c r="M1557" s="19"/>
      <c r="N1557" s="26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19"/>
      <c r="B1558" s="99"/>
      <c r="C1558" s="26"/>
      <c r="D1558" s="19"/>
      <c r="E1558" s="26"/>
      <c r="F1558" s="26"/>
      <c r="G1558" s="26"/>
      <c r="H1558" s="26"/>
      <c r="I1558" s="26"/>
      <c r="J1558" s="26"/>
      <c r="K1558" s="19"/>
      <c r="L1558" s="26"/>
      <c r="M1558" s="19"/>
      <c r="N1558" s="26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19"/>
      <c r="B1559" s="99"/>
      <c r="C1559" s="26"/>
      <c r="D1559" s="19"/>
      <c r="E1559" s="26"/>
      <c r="F1559" s="26"/>
      <c r="G1559" s="26"/>
      <c r="H1559" s="26"/>
      <c r="I1559" s="26"/>
      <c r="J1559" s="26"/>
      <c r="K1559" s="19"/>
      <c r="L1559" s="26"/>
      <c r="M1559" s="19"/>
      <c r="N1559" s="26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19"/>
      <c r="B1560" s="99"/>
      <c r="C1560" s="26"/>
      <c r="D1560" s="19"/>
      <c r="E1560" s="26"/>
      <c r="F1560" s="26"/>
      <c r="G1560" s="26"/>
      <c r="H1560" s="26"/>
      <c r="I1560" s="26"/>
      <c r="J1560" s="26"/>
      <c r="K1560" s="19"/>
      <c r="L1560" s="26"/>
      <c r="M1560" s="19"/>
      <c r="N1560" s="26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19"/>
      <c r="B1561" s="99"/>
      <c r="C1561" s="26"/>
      <c r="D1561" s="19"/>
      <c r="E1561" s="26"/>
      <c r="F1561" s="26"/>
      <c r="G1561" s="26"/>
      <c r="H1561" s="26"/>
      <c r="I1561" s="26"/>
      <c r="J1561" s="26"/>
      <c r="K1561" s="19"/>
      <c r="L1561" s="26"/>
      <c r="M1561" s="19"/>
      <c r="N1561" s="26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19"/>
      <c r="B1562" s="99"/>
      <c r="C1562" s="26"/>
      <c r="D1562" s="19"/>
      <c r="E1562" s="26"/>
      <c r="F1562" s="26"/>
      <c r="G1562" s="26"/>
      <c r="H1562" s="26"/>
      <c r="I1562" s="26"/>
      <c r="J1562" s="26"/>
      <c r="K1562" s="19"/>
      <c r="L1562" s="26"/>
      <c r="M1562" s="19"/>
      <c r="N1562" s="26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19"/>
      <c r="B1563" s="99"/>
      <c r="C1563" s="26"/>
      <c r="D1563" s="19"/>
      <c r="E1563" s="26"/>
      <c r="F1563" s="26"/>
      <c r="G1563" s="26"/>
      <c r="H1563" s="26"/>
      <c r="I1563" s="26"/>
      <c r="J1563" s="26"/>
      <c r="K1563" s="19"/>
      <c r="L1563" s="26"/>
      <c r="M1563" s="19"/>
      <c r="N1563" s="26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19"/>
      <c r="B1564" s="99"/>
      <c r="C1564" s="26"/>
      <c r="D1564" s="19"/>
      <c r="E1564" s="26"/>
      <c r="F1564" s="26"/>
      <c r="G1564" s="26"/>
      <c r="H1564" s="26"/>
      <c r="I1564" s="26"/>
      <c r="J1564" s="26"/>
      <c r="K1564" s="19"/>
      <c r="L1564" s="26"/>
      <c r="M1564" s="19"/>
      <c r="N1564" s="26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19"/>
      <c r="B1565" s="99"/>
      <c r="C1565" s="26"/>
      <c r="D1565" s="19"/>
      <c r="E1565" s="26"/>
      <c r="F1565" s="26"/>
      <c r="G1565" s="26"/>
      <c r="H1565" s="26"/>
      <c r="I1565" s="26"/>
      <c r="J1565" s="26"/>
      <c r="K1565" s="19"/>
      <c r="L1565" s="26"/>
      <c r="M1565" s="19"/>
      <c r="N1565" s="26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19"/>
      <c r="B1566" s="99"/>
      <c r="C1566" s="26"/>
      <c r="D1566" s="19"/>
      <c r="E1566" s="26"/>
      <c r="F1566" s="26"/>
      <c r="G1566" s="26"/>
      <c r="H1566" s="26"/>
      <c r="I1566" s="26"/>
      <c r="J1566" s="26"/>
      <c r="K1566" s="19"/>
      <c r="L1566" s="26"/>
      <c r="M1566" s="19"/>
      <c r="N1566" s="26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19"/>
      <c r="B1567" s="99"/>
      <c r="C1567" s="26"/>
      <c r="D1567" s="19"/>
      <c r="E1567" s="26"/>
      <c r="F1567" s="26"/>
      <c r="G1567" s="26"/>
      <c r="H1567" s="26"/>
      <c r="I1567" s="26"/>
      <c r="J1567" s="26"/>
      <c r="K1567" s="19"/>
      <c r="L1567" s="26"/>
      <c r="M1567" s="19"/>
      <c r="N1567" s="26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19"/>
      <c r="B1568" s="99"/>
      <c r="C1568" s="26"/>
      <c r="D1568" s="19"/>
      <c r="E1568" s="26"/>
      <c r="F1568" s="26"/>
      <c r="G1568" s="26"/>
      <c r="H1568" s="26"/>
      <c r="I1568" s="26"/>
      <c r="J1568" s="26"/>
      <c r="K1568" s="19"/>
      <c r="L1568" s="26"/>
      <c r="M1568" s="19"/>
      <c r="N1568" s="26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19"/>
      <c r="B1569" s="99"/>
      <c r="C1569" s="26"/>
      <c r="D1569" s="19"/>
      <c r="E1569" s="26"/>
      <c r="F1569" s="26"/>
      <c r="G1569" s="26"/>
      <c r="H1569" s="26"/>
      <c r="I1569" s="26"/>
      <c r="J1569" s="26"/>
      <c r="K1569" s="19"/>
      <c r="L1569" s="26"/>
      <c r="M1569" s="19"/>
      <c r="N1569" s="26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19"/>
      <c r="B1570" s="99"/>
      <c r="C1570" s="26"/>
      <c r="D1570" s="19"/>
      <c r="E1570" s="26"/>
      <c r="F1570" s="26"/>
      <c r="G1570" s="26"/>
      <c r="H1570" s="26"/>
      <c r="I1570" s="26"/>
      <c r="J1570" s="26"/>
      <c r="K1570" s="19"/>
      <c r="L1570" s="26"/>
      <c r="M1570" s="19"/>
      <c r="N1570" s="26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19"/>
      <c r="B1571" s="99"/>
      <c r="C1571" s="26"/>
      <c r="D1571" s="19"/>
      <c r="E1571" s="26"/>
      <c r="F1571" s="26"/>
      <c r="G1571" s="26"/>
      <c r="H1571" s="26"/>
      <c r="I1571" s="26"/>
      <c r="J1571" s="26"/>
      <c r="K1571" s="19"/>
      <c r="L1571" s="26"/>
      <c r="M1571" s="19"/>
      <c r="N1571" s="26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19"/>
      <c r="B1572" s="99"/>
      <c r="C1572" s="26"/>
      <c r="D1572" s="19"/>
      <c r="E1572" s="26"/>
      <c r="F1572" s="26"/>
      <c r="G1572" s="26"/>
      <c r="H1572" s="26"/>
      <c r="I1572" s="26"/>
      <c r="J1572" s="26"/>
      <c r="K1572" s="19"/>
      <c r="L1572" s="26"/>
      <c r="M1572" s="19"/>
      <c r="N1572" s="26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19"/>
      <c r="B1573" s="99"/>
      <c r="C1573" s="26"/>
      <c r="D1573" s="19"/>
      <c r="E1573" s="26"/>
      <c r="F1573" s="26"/>
      <c r="G1573" s="26"/>
      <c r="H1573" s="26"/>
      <c r="I1573" s="26"/>
      <c r="J1573" s="26"/>
      <c r="K1573" s="19"/>
      <c r="L1573" s="26"/>
      <c r="M1573" s="19"/>
      <c r="N1573" s="26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19"/>
      <c r="B1574" s="99"/>
      <c r="C1574" s="26"/>
      <c r="D1574" s="19"/>
      <c r="E1574" s="26"/>
      <c r="F1574" s="26"/>
      <c r="G1574" s="26"/>
      <c r="H1574" s="26"/>
      <c r="I1574" s="26"/>
      <c r="J1574" s="26"/>
      <c r="K1574" s="19"/>
      <c r="L1574" s="26"/>
      <c r="M1574" s="19"/>
      <c r="N1574" s="26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19"/>
      <c r="B1575" s="99"/>
      <c r="C1575" s="26"/>
      <c r="D1575" s="19"/>
      <c r="E1575" s="26"/>
      <c r="F1575" s="26"/>
      <c r="G1575" s="26"/>
      <c r="H1575" s="26"/>
      <c r="I1575" s="26"/>
      <c r="J1575" s="26"/>
      <c r="K1575" s="19"/>
      <c r="L1575" s="26"/>
      <c r="M1575" s="19"/>
      <c r="N1575" s="26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19"/>
      <c r="B1576" s="99"/>
      <c r="C1576" s="26"/>
      <c r="D1576" s="19"/>
      <c r="E1576" s="26"/>
      <c r="F1576" s="26"/>
      <c r="G1576" s="26"/>
      <c r="H1576" s="26"/>
      <c r="I1576" s="26"/>
      <c r="J1576" s="26"/>
      <c r="K1576" s="19"/>
      <c r="L1576" s="26"/>
      <c r="M1576" s="19"/>
      <c r="N1576" s="26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19"/>
      <c r="B1577" s="99"/>
      <c r="C1577" s="26"/>
      <c r="D1577" s="19"/>
      <c r="E1577" s="26"/>
      <c r="F1577" s="26"/>
      <c r="G1577" s="26"/>
      <c r="H1577" s="26"/>
      <c r="I1577" s="26"/>
      <c r="J1577" s="26"/>
      <c r="K1577" s="19"/>
      <c r="L1577" s="26"/>
      <c r="M1577" s="19"/>
      <c r="N1577" s="26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19"/>
      <c r="B1578" s="99"/>
      <c r="C1578" s="26"/>
      <c r="D1578" s="19"/>
      <c r="E1578" s="26"/>
      <c r="F1578" s="26"/>
      <c r="G1578" s="26"/>
      <c r="H1578" s="26"/>
      <c r="I1578" s="26"/>
      <c r="J1578" s="26"/>
      <c r="K1578" s="19"/>
      <c r="L1578" s="26"/>
      <c r="M1578" s="19"/>
      <c r="N1578" s="26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19"/>
      <c r="B1579" s="99"/>
      <c r="C1579" s="26"/>
      <c r="D1579" s="19"/>
      <c r="E1579" s="26"/>
      <c r="F1579" s="26"/>
      <c r="G1579" s="26"/>
      <c r="H1579" s="26"/>
      <c r="I1579" s="26"/>
      <c r="J1579" s="26"/>
      <c r="K1579" s="19"/>
      <c r="L1579" s="26"/>
      <c r="M1579" s="19"/>
      <c r="N1579" s="26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19"/>
      <c r="B1580" s="99"/>
      <c r="C1580" s="26"/>
      <c r="D1580" s="19"/>
      <c r="E1580" s="26"/>
      <c r="F1580" s="26"/>
      <c r="G1580" s="26"/>
      <c r="H1580" s="26"/>
      <c r="I1580" s="26"/>
      <c r="J1580" s="26"/>
      <c r="K1580" s="19"/>
      <c r="L1580" s="26"/>
      <c r="M1580" s="19"/>
      <c r="N1580" s="26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19"/>
      <c r="B1581" s="99"/>
      <c r="C1581" s="26"/>
      <c r="D1581" s="19"/>
      <c r="E1581" s="26"/>
      <c r="F1581" s="26"/>
      <c r="G1581" s="26"/>
      <c r="H1581" s="26"/>
      <c r="I1581" s="26"/>
      <c r="J1581" s="26"/>
      <c r="K1581" s="19"/>
      <c r="L1581" s="26"/>
      <c r="M1581" s="19"/>
      <c r="N1581" s="26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19"/>
      <c r="B1582" s="99"/>
      <c r="C1582" s="26"/>
      <c r="D1582" s="19"/>
      <c r="E1582" s="26"/>
      <c r="F1582" s="26"/>
      <c r="G1582" s="26"/>
      <c r="H1582" s="26"/>
      <c r="I1582" s="26"/>
      <c r="J1582" s="26"/>
      <c r="K1582" s="19"/>
      <c r="L1582" s="26"/>
      <c r="M1582" s="19"/>
      <c r="N1582" s="26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19"/>
      <c r="B1583" s="99"/>
      <c r="C1583" s="26"/>
      <c r="D1583" s="19"/>
      <c r="E1583" s="26"/>
      <c r="F1583" s="26"/>
      <c r="G1583" s="26"/>
      <c r="H1583" s="26"/>
      <c r="I1583" s="26"/>
      <c r="J1583" s="26"/>
      <c r="K1583" s="19"/>
      <c r="L1583" s="26"/>
      <c r="M1583" s="19"/>
      <c r="N1583" s="26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19"/>
      <c r="B1584" s="99"/>
      <c r="C1584" s="26"/>
      <c r="D1584" s="19"/>
      <c r="E1584" s="26"/>
      <c r="F1584" s="26"/>
      <c r="G1584" s="26"/>
      <c r="H1584" s="26"/>
      <c r="I1584" s="26"/>
      <c r="J1584" s="26"/>
      <c r="K1584" s="19"/>
      <c r="L1584" s="26"/>
      <c r="M1584" s="19"/>
      <c r="N1584" s="26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19"/>
      <c r="B1585" s="99"/>
      <c r="C1585" s="26"/>
      <c r="D1585" s="19"/>
      <c r="E1585" s="26"/>
      <c r="F1585" s="26"/>
      <c r="G1585" s="26"/>
      <c r="H1585" s="26"/>
      <c r="I1585" s="26"/>
      <c r="J1585" s="26"/>
      <c r="K1585" s="19"/>
      <c r="L1585" s="26"/>
      <c r="M1585" s="19"/>
      <c r="N1585" s="26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19"/>
      <c r="B1586" s="99"/>
      <c r="C1586" s="26"/>
      <c r="D1586" s="19"/>
      <c r="E1586" s="26"/>
      <c r="F1586" s="26"/>
      <c r="G1586" s="26"/>
      <c r="H1586" s="26"/>
      <c r="I1586" s="26"/>
      <c r="J1586" s="26"/>
      <c r="K1586" s="19"/>
      <c r="L1586" s="26"/>
      <c r="M1586" s="19"/>
      <c r="N1586" s="26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19"/>
      <c r="B1587" s="99"/>
      <c r="C1587" s="26"/>
      <c r="D1587" s="19"/>
      <c r="E1587" s="26"/>
      <c r="F1587" s="26"/>
      <c r="G1587" s="26"/>
      <c r="H1587" s="26"/>
      <c r="I1587" s="26"/>
      <c r="J1587" s="26"/>
      <c r="K1587" s="19"/>
      <c r="L1587" s="26"/>
      <c r="M1587" s="19"/>
      <c r="N1587" s="26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19"/>
      <c r="B1588" s="99"/>
      <c r="C1588" s="26"/>
      <c r="D1588" s="19"/>
      <c r="E1588" s="26"/>
      <c r="F1588" s="26"/>
      <c r="G1588" s="26"/>
      <c r="H1588" s="26"/>
      <c r="I1588" s="26"/>
      <c r="J1588" s="26"/>
      <c r="K1588" s="19"/>
      <c r="L1588" s="26"/>
      <c r="M1588" s="19"/>
      <c r="N1588" s="26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19"/>
      <c r="B1589" s="99"/>
      <c r="C1589" s="26"/>
      <c r="D1589" s="19"/>
      <c r="E1589" s="26"/>
      <c r="F1589" s="26"/>
      <c r="G1589" s="26"/>
      <c r="H1589" s="26"/>
      <c r="I1589" s="26"/>
      <c r="J1589" s="26"/>
      <c r="K1589" s="19"/>
      <c r="L1589" s="26"/>
      <c r="M1589" s="19"/>
      <c r="N1589" s="26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19"/>
      <c r="B1590" s="99"/>
      <c r="C1590" s="26"/>
      <c r="D1590" s="19"/>
      <c r="E1590" s="26"/>
      <c r="F1590" s="26"/>
      <c r="G1590" s="26"/>
      <c r="H1590" s="26"/>
      <c r="I1590" s="26"/>
      <c r="J1590" s="26"/>
      <c r="K1590" s="19"/>
      <c r="L1590" s="26"/>
      <c r="M1590" s="19"/>
      <c r="N1590" s="26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19"/>
      <c r="B1591" s="99"/>
      <c r="C1591" s="26"/>
      <c r="D1591" s="19"/>
      <c r="E1591" s="26"/>
      <c r="F1591" s="26"/>
      <c r="G1591" s="26"/>
      <c r="H1591" s="26"/>
      <c r="I1591" s="26"/>
      <c r="J1591" s="26"/>
      <c r="K1591" s="19"/>
      <c r="L1591" s="26"/>
      <c r="M1591" s="19"/>
      <c r="N1591" s="26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19"/>
      <c r="B1592" s="99"/>
      <c r="C1592" s="26"/>
      <c r="D1592" s="19"/>
      <c r="E1592" s="26"/>
      <c r="F1592" s="26"/>
      <c r="G1592" s="26"/>
      <c r="H1592" s="26"/>
      <c r="I1592" s="26"/>
      <c r="J1592" s="26"/>
      <c r="K1592" s="19"/>
      <c r="L1592" s="26"/>
      <c r="M1592" s="19"/>
      <c r="N1592" s="26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19"/>
      <c r="B1593" s="99"/>
      <c r="C1593" s="26"/>
      <c r="D1593" s="19"/>
      <c r="E1593" s="26"/>
      <c r="F1593" s="26"/>
      <c r="G1593" s="26"/>
      <c r="H1593" s="26"/>
      <c r="I1593" s="26"/>
      <c r="J1593" s="26"/>
      <c r="K1593" s="19"/>
      <c r="L1593" s="26"/>
      <c r="M1593" s="19"/>
      <c r="N1593" s="26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19"/>
      <c r="B1594" s="99"/>
      <c r="C1594" s="26"/>
      <c r="D1594" s="19"/>
      <c r="E1594" s="26"/>
      <c r="F1594" s="26"/>
      <c r="G1594" s="26"/>
      <c r="H1594" s="26"/>
      <c r="I1594" s="26"/>
      <c r="J1594" s="26"/>
      <c r="K1594" s="19"/>
      <c r="L1594" s="26"/>
      <c r="M1594" s="19"/>
      <c r="N1594" s="26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19"/>
      <c r="B1595" s="99"/>
      <c r="C1595" s="26"/>
      <c r="D1595" s="19"/>
      <c r="E1595" s="26"/>
      <c r="F1595" s="26"/>
      <c r="G1595" s="26"/>
      <c r="H1595" s="26"/>
      <c r="I1595" s="26"/>
      <c r="J1595" s="26"/>
      <c r="K1595" s="19"/>
      <c r="L1595" s="26"/>
      <c r="M1595" s="19"/>
      <c r="N1595" s="26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19"/>
      <c r="B1596" s="99"/>
      <c r="C1596" s="26"/>
      <c r="D1596" s="19"/>
      <c r="E1596" s="26"/>
      <c r="F1596" s="26"/>
      <c r="G1596" s="26"/>
      <c r="H1596" s="26"/>
      <c r="I1596" s="26"/>
      <c r="J1596" s="26"/>
      <c r="K1596" s="19"/>
      <c r="L1596" s="26"/>
      <c r="M1596" s="19"/>
      <c r="N1596" s="26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19"/>
      <c r="B1597" s="99"/>
      <c r="C1597" s="26"/>
      <c r="D1597" s="19"/>
      <c r="E1597" s="26"/>
      <c r="F1597" s="26"/>
      <c r="G1597" s="26"/>
      <c r="H1597" s="26"/>
      <c r="I1597" s="26"/>
      <c r="J1597" s="26"/>
      <c r="K1597" s="19"/>
      <c r="L1597" s="26"/>
      <c r="M1597" s="19"/>
      <c r="N1597" s="26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19"/>
      <c r="B1598" s="99"/>
      <c r="C1598" s="26"/>
      <c r="D1598" s="19"/>
      <c r="E1598" s="26"/>
      <c r="F1598" s="26"/>
      <c r="G1598" s="26"/>
      <c r="H1598" s="26"/>
      <c r="I1598" s="26"/>
      <c r="J1598" s="26"/>
      <c r="K1598" s="19"/>
      <c r="L1598" s="26"/>
      <c r="M1598" s="19"/>
      <c r="N1598" s="26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19"/>
      <c r="B1599" s="99"/>
      <c r="C1599" s="26"/>
      <c r="D1599" s="19"/>
      <c r="E1599" s="26"/>
      <c r="F1599" s="26"/>
      <c r="G1599" s="26"/>
      <c r="H1599" s="26"/>
      <c r="I1599" s="26"/>
      <c r="J1599" s="26"/>
      <c r="K1599" s="19"/>
      <c r="L1599" s="26"/>
      <c r="M1599" s="19"/>
      <c r="N1599" s="26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19"/>
      <c r="B1600" s="99"/>
      <c r="C1600" s="26"/>
      <c r="D1600" s="19"/>
      <c r="E1600" s="26"/>
      <c r="F1600" s="26"/>
      <c r="G1600" s="26"/>
      <c r="H1600" s="26"/>
      <c r="I1600" s="26"/>
      <c r="J1600" s="26"/>
      <c r="K1600" s="19"/>
      <c r="L1600" s="26"/>
      <c r="M1600" s="19"/>
      <c r="N1600" s="26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19"/>
      <c r="B1601" s="99"/>
      <c r="C1601" s="26"/>
      <c r="D1601" s="19"/>
      <c r="E1601" s="26"/>
      <c r="F1601" s="26"/>
      <c r="G1601" s="26"/>
      <c r="H1601" s="26"/>
      <c r="I1601" s="26"/>
      <c r="J1601" s="26"/>
      <c r="K1601" s="19"/>
      <c r="L1601" s="26"/>
      <c r="M1601" s="19"/>
      <c r="N1601" s="26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19"/>
      <c r="B1602" s="99"/>
      <c r="C1602" s="26"/>
      <c r="D1602" s="19"/>
      <c r="E1602" s="26"/>
      <c r="F1602" s="26"/>
      <c r="G1602" s="26"/>
      <c r="H1602" s="26"/>
      <c r="I1602" s="26"/>
      <c r="J1602" s="26"/>
      <c r="K1602" s="19"/>
      <c r="L1602" s="26"/>
      <c r="M1602" s="19"/>
      <c r="N1602" s="26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19"/>
      <c r="B1603" s="99"/>
      <c r="C1603" s="26"/>
      <c r="D1603" s="19"/>
      <c r="E1603" s="26"/>
      <c r="F1603" s="26"/>
      <c r="G1603" s="26"/>
      <c r="H1603" s="26"/>
      <c r="I1603" s="26"/>
      <c r="J1603" s="26"/>
      <c r="K1603" s="19"/>
      <c r="L1603" s="26"/>
      <c r="M1603" s="19"/>
      <c r="N1603" s="26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19"/>
      <c r="B1604" s="99"/>
      <c r="C1604" s="26"/>
      <c r="D1604" s="19"/>
      <c r="E1604" s="26"/>
      <c r="F1604" s="26"/>
      <c r="G1604" s="26"/>
      <c r="H1604" s="26"/>
      <c r="I1604" s="26"/>
      <c r="J1604" s="26"/>
      <c r="K1604" s="19"/>
      <c r="L1604" s="26"/>
      <c r="M1604" s="19"/>
      <c r="N1604" s="26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19"/>
      <c r="B1605" s="99"/>
      <c r="C1605" s="26"/>
      <c r="D1605" s="19"/>
      <c r="E1605" s="26"/>
      <c r="F1605" s="26"/>
      <c r="G1605" s="26"/>
      <c r="H1605" s="26"/>
      <c r="I1605" s="26"/>
      <c r="J1605" s="26"/>
      <c r="K1605" s="19"/>
      <c r="L1605" s="26"/>
      <c r="M1605" s="19"/>
      <c r="N1605" s="26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19"/>
      <c r="B1606" s="99"/>
      <c r="C1606" s="26"/>
      <c r="D1606" s="19"/>
      <c r="E1606" s="26"/>
      <c r="F1606" s="26"/>
      <c r="G1606" s="26"/>
      <c r="H1606" s="26"/>
      <c r="I1606" s="26"/>
      <c r="J1606" s="26"/>
      <c r="K1606" s="19"/>
      <c r="L1606" s="26"/>
      <c r="M1606" s="19"/>
      <c r="N1606" s="26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19"/>
      <c r="B1607" s="99"/>
      <c r="C1607" s="26"/>
      <c r="D1607" s="19"/>
      <c r="E1607" s="26"/>
      <c r="F1607" s="26"/>
      <c r="G1607" s="26"/>
      <c r="H1607" s="26"/>
      <c r="I1607" s="26"/>
      <c r="J1607" s="26"/>
      <c r="K1607" s="19"/>
      <c r="L1607" s="26"/>
      <c r="M1607" s="19"/>
      <c r="N1607" s="26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19"/>
      <c r="B1608" s="99"/>
      <c r="C1608" s="26"/>
      <c r="D1608" s="19"/>
      <c r="E1608" s="26"/>
      <c r="F1608" s="26"/>
      <c r="G1608" s="26"/>
      <c r="H1608" s="26"/>
      <c r="I1608" s="26"/>
      <c r="J1608" s="26"/>
      <c r="K1608" s="19"/>
      <c r="L1608" s="26"/>
      <c r="M1608" s="19"/>
      <c r="N1608" s="26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19"/>
      <c r="B1609" s="99"/>
      <c r="C1609" s="26"/>
      <c r="D1609" s="19"/>
      <c r="E1609" s="26"/>
      <c r="F1609" s="26"/>
      <c r="G1609" s="26"/>
      <c r="H1609" s="26"/>
      <c r="I1609" s="26"/>
      <c r="J1609" s="26"/>
      <c r="K1609" s="19"/>
      <c r="L1609" s="26"/>
      <c r="M1609" s="19"/>
      <c r="N1609" s="26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19"/>
      <c r="B1610" s="99"/>
      <c r="C1610" s="26"/>
      <c r="D1610" s="19"/>
      <c r="E1610" s="26"/>
      <c r="F1610" s="26"/>
      <c r="G1610" s="26"/>
      <c r="H1610" s="26"/>
      <c r="I1610" s="26"/>
      <c r="J1610" s="26"/>
      <c r="K1610" s="19"/>
      <c r="L1610" s="26"/>
      <c r="M1610" s="19"/>
      <c r="N1610" s="26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19"/>
      <c r="B1611" s="99"/>
      <c r="C1611" s="26"/>
      <c r="D1611" s="19"/>
      <c r="E1611" s="26"/>
      <c r="F1611" s="26"/>
      <c r="G1611" s="26"/>
      <c r="H1611" s="26"/>
      <c r="I1611" s="26"/>
      <c r="J1611" s="26"/>
      <c r="K1611" s="19"/>
      <c r="L1611" s="26"/>
      <c r="M1611" s="19"/>
      <c r="N1611" s="26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19"/>
      <c r="B1612" s="99"/>
      <c r="C1612" s="26"/>
      <c r="D1612" s="19"/>
      <c r="E1612" s="26"/>
      <c r="F1612" s="26"/>
      <c r="G1612" s="26"/>
      <c r="H1612" s="26"/>
      <c r="I1612" s="26"/>
      <c r="J1612" s="26"/>
      <c r="K1612" s="19"/>
      <c r="L1612" s="26"/>
      <c r="M1612" s="19"/>
      <c r="N1612" s="26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19"/>
      <c r="B1613" s="99"/>
      <c r="C1613" s="26"/>
      <c r="D1613" s="19"/>
      <c r="E1613" s="26"/>
      <c r="F1613" s="26"/>
      <c r="G1613" s="26"/>
      <c r="H1613" s="26"/>
      <c r="I1613" s="26"/>
      <c r="J1613" s="26"/>
      <c r="K1613" s="19"/>
      <c r="L1613" s="26"/>
      <c r="M1613" s="19"/>
      <c r="N1613" s="26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19"/>
      <c r="B1614" s="99"/>
      <c r="C1614" s="26"/>
      <c r="D1614" s="19"/>
      <c r="E1614" s="26"/>
      <c r="F1614" s="26"/>
      <c r="G1614" s="26"/>
      <c r="H1614" s="26"/>
      <c r="I1614" s="26"/>
      <c r="J1614" s="26"/>
      <c r="K1614" s="19"/>
      <c r="L1614" s="26"/>
      <c r="M1614" s="19"/>
      <c r="N1614" s="26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19"/>
      <c r="B1615" s="99"/>
      <c r="C1615" s="26"/>
      <c r="D1615" s="19"/>
      <c r="E1615" s="26"/>
      <c r="F1615" s="26"/>
      <c r="G1615" s="26"/>
      <c r="H1615" s="26"/>
      <c r="I1615" s="26"/>
      <c r="J1615" s="26"/>
      <c r="K1615" s="19"/>
      <c r="L1615" s="26"/>
      <c r="M1615" s="19"/>
      <c r="N1615" s="26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19"/>
      <c r="B1616" s="99"/>
      <c r="C1616" s="26"/>
      <c r="D1616" s="19"/>
      <c r="E1616" s="26"/>
      <c r="F1616" s="26"/>
      <c r="G1616" s="26"/>
      <c r="H1616" s="26"/>
      <c r="I1616" s="26"/>
      <c r="J1616" s="26"/>
      <c r="K1616" s="19"/>
      <c r="L1616" s="26"/>
      <c r="M1616" s="19"/>
      <c r="N1616" s="26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19"/>
      <c r="B1617" s="99"/>
      <c r="C1617" s="26"/>
      <c r="D1617" s="19"/>
      <c r="E1617" s="26"/>
      <c r="F1617" s="26"/>
      <c r="G1617" s="26"/>
      <c r="H1617" s="26"/>
      <c r="I1617" s="26"/>
      <c r="J1617" s="26"/>
      <c r="K1617" s="19"/>
      <c r="L1617" s="26"/>
      <c r="M1617" s="19"/>
      <c r="N1617" s="26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19"/>
      <c r="B1618" s="99"/>
      <c r="C1618" s="26"/>
      <c r="D1618" s="19"/>
      <c r="E1618" s="26"/>
      <c r="F1618" s="26"/>
      <c r="G1618" s="26"/>
      <c r="H1618" s="26"/>
      <c r="I1618" s="26"/>
      <c r="J1618" s="26"/>
      <c r="K1618" s="19"/>
      <c r="L1618" s="26"/>
      <c r="M1618" s="19"/>
      <c r="N1618" s="26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19"/>
      <c r="B1619" s="99"/>
      <c r="C1619" s="26"/>
      <c r="D1619" s="19"/>
      <c r="E1619" s="26"/>
      <c r="F1619" s="26"/>
      <c r="G1619" s="26"/>
      <c r="H1619" s="26"/>
      <c r="I1619" s="26"/>
      <c r="J1619" s="26"/>
      <c r="K1619" s="19"/>
      <c r="L1619" s="26"/>
      <c r="M1619" s="19"/>
      <c r="N1619" s="26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19"/>
      <c r="B1620" s="99"/>
      <c r="C1620" s="26"/>
      <c r="D1620" s="19"/>
      <c r="E1620" s="26"/>
      <c r="F1620" s="26"/>
      <c r="G1620" s="26"/>
      <c r="H1620" s="26"/>
      <c r="I1620" s="26"/>
      <c r="J1620" s="26"/>
      <c r="K1620" s="19"/>
      <c r="L1620" s="26"/>
      <c r="M1620" s="19"/>
      <c r="N1620" s="26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19"/>
      <c r="B1621" s="99"/>
      <c r="C1621" s="26"/>
      <c r="D1621" s="19"/>
      <c r="E1621" s="26"/>
      <c r="F1621" s="26"/>
      <c r="G1621" s="26"/>
      <c r="H1621" s="26"/>
      <c r="I1621" s="26"/>
      <c r="J1621" s="26"/>
      <c r="K1621" s="19"/>
      <c r="L1621" s="26"/>
      <c r="M1621" s="19"/>
      <c r="N1621" s="26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19"/>
      <c r="B1622" s="99"/>
      <c r="C1622" s="26"/>
      <c r="D1622" s="19"/>
      <c r="E1622" s="26"/>
      <c r="F1622" s="26"/>
      <c r="G1622" s="26"/>
      <c r="H1622" s="26"/>
      <c r="I1622" s="26"/>
      <c r="J1622" s="26"/>
      <c r="K1622" s="19"/>
      <c r="L1622" s="26"/>
      <c r="M1622" s="19"/>
      <c r="N1622" s="26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19"/>
      <c r="B1623" s="99"/>
      <c r="C1623" s="26"/>
      <c r="D1623" s="19"/>
      <c r="E1623" s="26"/>
      <c r="F1623" s="26"/>
      <c r="G1623" s="26"/>
      <c r="H1623" s="26"/>
      <c r="I1623" s="26"/>
      <c r="J1623" s="26"/>
      <c r="K1623" s="19"/>
      <c r="L1623" s="26"/>
      <c r="M1623" s="19"/>
      <c r="N1623" s="26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19"/>
      <c r="B1624" s="99"/>
      <c r="C1624" s="26"/>
      <c r="D1624" s="19"/>
      <c r="E1624" s="26"/>
      <c r="F1624" s="26"/>
      <c r="G1624" s="26"/>
      <c r="H1624" s="26"/>
      <c r="I1624" s="26"/>
      <c r="J1624" s="26"/>
      <c r="K1624" s="19"/>
      <c r="L1624" s="26"/>
      <c r="M1624" s="19"/>
      <c r="N1624" s="26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19"/>
      <c r="B1625" s="99"/>
      <c r="C1625" s="26"/>
      <c r="D1625" s="19"/>
      <c r="E1625" s="26"/>
      <c r="F1625" s="26"/>
      <c r="G1625" s="26"/>
      <c r="H1625" s="26"/>
      <c r="I1625" s="26"/>
      <c r="J1625" s="26"/>
      <c r="K1625" s="19"/>
      <c r="L1625" s="26"/>
      <c r="M1625" s="19"/>
      <c r="N1625" s="26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19"/>
      <c r="B1626" s="99"/>
      <c r="C1626" s="26"/>
      <c r="D1626" s="19"/>
      <c r="E1626" s="26"/>
      <c r="F1626" s="26"/>
      <c r="G1626" s="26"/>
      <c r="H1626" s="26"/>
      <c r="I1626" s="26"/>
      <c r="J1626" s="26"/>
      <c r="K1626" s="19"/>
      <c r="L1626" s="26"/>
      <c r="M1626" s="19"/>
      <c r="N1626" s="26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19"/>
      <c r="B1627" s="99"/>
      <c r="C1627" s="26"/>
      <c r="D1627" s="19"/>
      <c r="E1627" s="26"/>
      <c r="F1627" s="26"/>
      <c r="G1627" s="26"/>
      <c r="H1627" s="26"/>
      <c r="I1627" s="26"/>
      <c r="J1627" s="26"/>
      <c r="K1627" s="19"/>
      <c r="L1627" s="26"/>
      <c r="M1627" s="19"/>
      <c r="N1627" s="26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19"/>
      <c r="B1628" s="99"/>
      <c r="C1628" s="26"/>
      <c r="D1628" s="19"/>
      <c r="E1628" s="26"/>
      <c r="F1628" s="26"/>
      <c r="G1628" s="26"/>
      <c r="H1628" s="26"/>
      <c r="I1628" s="26"/>
      <c r="J1628" s="26"/>
      <c r="K1628" s="19"/>
      <c r="L1628" s="26"/>
      <c r="M1628" s="19"/>
      <c r="N1628" s="26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19"/>
      <c r="B1629" s="99"/>
      <c r="C1629" s="26"/>
      <c r="D1629" s="19"/>
      <c r="E1629" s="26"/>
      <c r="F1629" s="26"/>
      <c r="G1629" s="26"/>
      <c r="H1629" s="26"/>
      <c r="I1629" s="26"/>
      <c r="J1629" s="26"/>
      <c r="K1629" s="19"/>
      <c r="L1629" s="26"/>
      <c r="M1629" s="19"/>
      <c r="N1629" s="26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19"/>
      <c r="B1630" s="99"/>
      <c r="C1630" s="26"/>
      <c r="D1630" s="19"/>
      <c r="E1630" s="26"/>
      <c r="F1630" s="26"/>
      <c r="G1630" s="26"/>
      <c r="H1630" s="26"/>
      <c r="I1630" s="26"/>
      <c r="J1630" s="26"/>
      <c r="K1630" s="19"/>
      <c r="L1630" s="26"/>
      <c r="M1630" s="19"/>
      <c r="N1630" s="26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19"/>
      <c r="B1631" s="99"/>
      <c r="C1631" s="26"/>
      <c r="D1631" s="19"/>
      <c r="E1631" s="26"/>
      <c r="F1631" s="26"/>
      <c r="G1631" s="26"/>
      <c r="H1631" s="26"/>
      <c r="I1631" s="26"/>
      <c r="J1631" s="26"/>
      <c r="K1631" s="19"/>
      <c r="L1631" s="26"/>
      <c r="M1631" s="19"/>
      <c r="N1631" s="26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19"/>
      <c r="B1632" s="99"/>
      <c r="C1632" s="26"/>
      <c r="D1632" s="19"/>
      <c r="E1632" s="26"/>
      <c r="F1632" s="26"/>
      <c r="G1632" s="26"/>
      <c r="H1632" s="26"/>
      <c r="I1632" s="26"/>
      <c r="J1632" s="26"/>
      <c r="K1632" s="19"/>
      <c r="L1632" s="26"/>
      <c r="M1632" s="19"/>
      <c r="N1632" s="26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19"/>
      <c r="B1633" s="99"/>
      <c r="C1633" s="26"/>
      <c r="D1633" s="19"/>
      <c r="E1633" s="26"/>
      <c r="F1633" s="26"/>
      <c r="G1633" s="26"/>
      <c r="H1633" s="26"/>
      <c r="I1633" s="26"/>
      <c r="J1633" s="26"/>
      <c r="K1633" s="19"/>
      <c r="L1633" s="26"/>
      <c r="M1633" s="19"/>
      <c r="N1633" s="26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19"/>
      <c r="B1634" s="99"/>
      <c r="C1634" s="26"/>
      <c r="D1634" s="19"/>
      <c r="E1634" s="26"/>
      <c r="F1634" s="26"/>
      <c r="G1634" s="26"/>
      <c r="H1634" s="26"/>
      <c r="I1634" s="26"/>
      <c r="J1634" s="26"/>
      <c r="K1634" s="19"/>
      <c r="L1634" s="26"/>
      <c r="M1634" s="19"/>
      <c r="N1634" s="26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19"/>
      <c r="B1635" s="99"/>
      <c r="C1635" s="26"/>
      <c r="D1635" s="19"/>
      <c r="E1635" s="26"/>
      <c r="F1635" s="26"/>
      <c r="G1635" s="26"/>
      <c r="H1635" s="26"/>
      <c r="I1635" s="26"/>
      <c r="J1635" s="26"/>
      <c r="K1635" s="19"/>
      <c r="L1635" s="26"/>
      <c r="M1635" s="19"/>
      <c r="N1635" s="26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19"/>
      <c r="B1636" s="99"/>
      <c r="C1636" s="26"/>
      <c r="D1636" s="19"/>
      <c r="E1636" s="26"/>
      <c r="F1636" s="26"/>
      <c r="G1636" s="26"/>
      <c r="H1636" s="26"/>
      <c r="I1636" s="26"/>
      <c r="J1636" s="26"/>
      <c r="K1636" s="19"/>
      <c r="L1636" s="26"/>
      <c r="M1636" s="19"/>
      <c r="N1636" s="26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19"/>
      <c r="B1637" s="99"/>
      <c r="C1637" s="26"/>
      <c r="D1637" s="19"/>
      <c r="E1637" s="26"/>
      <c r="F1637" s="26"/>
      <c r="G1637" s="26"/>
      <c r="H1637" s="26"/>
      <c r="I1637" s="26"/>
      <c r="J1637" s="26"/>
      <c r="K1637" s="19"/>
      <c r="L1637" s="26"/>
      <c r="M1637" s="19"/>
      <c r="N1637" s="26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19"/>
      <c r="B1638" s="99"/>
      <c r="C1638" s="26"/>
      <c r="D1638" s="19"/>
      <c r="E1638" s="26"/>
      <c r="F1638" s="26"/>
      <c r="G1638" s="26"/>
      <c r="H1638" s="26"/>
      <c r="I1638" s="26"/>
      <c r="J1638" s="26"/>
      <c r="K1638" s="19"/>
      <c r="L1638" s="26"/>
      <c r="M1638" s="19"/>
      <c r="N1638" s="26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19"/>
      <c r="B1639" s="99"/>
      <c r="C1639" s="26"/>
      <c r="D1639" s="19"/>
      <c r="E1639" s="26"/>
      <c r="F1639" s="26"/>
      <c r="G1639" s="26"/>
      <c r="H1639" s="26"/>
      <c r="I1639" s="26"/>
      <c r="J1639" s="26"/>
      <c r="K1639" s="19"/>
      <c r="L1639" s="26"/>
      <c r="M1639" s="19"/>
      <c r="N1639" s="26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19"/>
      <c r="B1640" s="99"/>
      <c r="C1640" s="26"/>
      <c r="D1640" s="19"/>
      <c r="E1640" s="26"/>
      <c r="F1640" s="26"/>
      <c r="G1640" s="26"/>
      <c r="H1640" s="26"/>
      <c r="I1640" s="26"/>
      <c r="J1640" s="26"/>
      <c r="K1640" s="19"/>
      <c r="L1640" s="26"/>
      <c r="M1640" s="19"/>
      <c r="N1640" s="26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19"/>
      <c r="B1641" s="99"/>
      <c r="C1641" s="26"/>
      <c r="D1641" s="19"/>
      <c r="E1641" s="26"/>
      <c r="F1641" s="26"/>
      <c r="G1641" s="26"/>
      <c r="H1641" s="26"/>
      <c r="I1641" s="26"/>
      <c r="J1641" s="26"/>
      <c r="K1641" s="19"/>
      <c r="L1641" s="26"/>
      <c r="M1641" s="19"/>
      <c r="N1641" s="26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19"/>
      <c r="B1642" s="99"/>
      <c r="C1642" s="26"/>
      <c r="D1642" s="19"/>
      <c r="E1642" s="26"/>
      <c r="F1642" s="26"/>
      <c r="G1642" s="26"/>
      <c r="H1642" s="26"/>
      <c r="I1642" s="26"/>
      <c r="J1642" s="26"/>
      <c r="K1642" s="19"/>
      <c r="L1642" s="26"/>
      <c r="M1642" s="19"/>
      <c r="N1642" s="26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19"/>
      <c r="B1643" s="99"/>
      <c r="C1643" s="26"/>
      <c r="D1643" s="19"/>
      <c r="E1643" s="26"/>
      <c r="F1643" s="26"/>
      <c r="G1643" s="26"/>
      <c r="H1643" s="26"/>
      <c r="I1643" s="26"/>
      <c r="J1643" s="26"/>
      <c r="K1643" s="19"/>
      <c r="L1643" s="26"/>
      <c r="M1643" s="19"/>
      <c r="N1643" s="26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19"/>
      <c r="B1644" s="99"/>
      <c r="C1644" s="26"/>
      <c r="D1644" s="19"/>
      <c r="E1644" s="26"/>
      <c r="F1644" s="26"/>
      <c r="G1644" s="26"/>
      <c r="H1644" s="26"/>
      <c r="I1644" s="26"/>
      <c r="J1644" s="26"/>
      <c r="K1644" s="19"/>
      <c r="L1644" s="26"/>
      <c r="M1644" s="19"/>
      <c r="N1644" s="26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19"/>
      <c r="B1645" s="99"/>
      <c r="C1645" s="26"/>
      <c r="D1645" s="19"/>
      <c r="E1645" s="26"/>
      <c r="F1645" s="26"/>
      <c r="G1645" s="26"/>
      <c r="H1645" s="26"/>
      <c r="I1645" s="26"/>
      <c r="J1645" s="26"/>
      <c r="K1645" s="19"/>
      <c r="L1645" s="26"/>
      <c r="M1645" s="19"/>
      <c r="N1645" s="26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19"/>
      <c r="B1646" s="99"/>
      <c r="C1646" s="26"/>
      <c r="D1646" s="19"/>
      <c r="E1646" s="26"/>
      <c r="F1646" s="26"/>
      <c r="G1646" s="26"/>
      <c r="H1646" s="26"/>
      <c r="I1646" s="26"/>
      <c r="J1646" s="26"/>
      <c r="K1646" s="19"/>
      <c r="L1646" s="26"/>
      <c r="M1646" s="19"/>
      <c r="N1646" s="26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19"/>
      <c r="B1647" s="99"/>
      <c r="C1647" s="26"/>
      <c r="D1647" s="19"/>
      <c r="E1647" s="26"/>
      <c r="F1647" s="26"/>
      <c r="G1647" s="26"/>
      <c r="H1647" s="26"/>
      <c r="I1647" s="26"/>
      <c r="J1647" s="26"/>
      <c r="K1647" s="19"/>
      <c r="L1647" s="26"/>
      <c r="M1647" s="19"/>
      <c r="N1647" s="26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19"/>
      <c r="B1648" s="99"/>
      <c r="C1648" s="26"/>
      <c r="D1648" s="19"/>
      <c r="E1648" s="26"/>
      <c r="F1648" s="26"/>
      <c r="G1648" s="26"/>
      <c r="H1648" s="26"/>
      <c r="I1648" s="26"/>
      <c r="J1648" s="26"/>
      <c r="K1648" s="19"/>
      <c r="L1648" s="26"/>
      <c r="M1648" s="19"/>
      <c r="N1648" s="26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19"/>
      <c r="B1649" s="99"/>
      <c r="C1649" s="26"/>
      <c r="D1649" s="19"/>
      <c r="E1649" s="26"/>
      <c r="F1649" s="26"/>
      <c r="G1649" s="26"/>
      <c r="H1649" s="26"/>
      <c r="I1649" s="26"/>
      <c r="J1649" s="26"/>
      <c r="K1649" s="19"/>
      <c r="L1649" s="26"/>
      <c r="M1649" s="19"/>
      <c r="N1649" s="26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19"/>
      <c r="B1650" s="99"/>
      <c r="C1650" s="26"/>
      <c r="D1650" s="19"/>
      <c r="E1650" s="26"/>
      <c r="F1650" s="26"/>
      <c r="G1650" s="26"/>
      <c r="H1650" s="26"/>
      <c r="I1650" s="26"/>
      <c r="J1650" s="26"/>
      <c r="K1650" s="19"/>
      <c r="L1650" s="26"/>
      <c r="M1650" s="19"/>
      <c r="N1650" s="26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19"/>
      <c r="B1651" s="99"/>
      <c r="C1651" s="26"/>
      <c r="D1651" s="19"/>
      <c r="E1651" s="26"/>
      <c r="F1651" s="26"/>
      <c r="G1651" s="26"/>
      <c r="H1651" s="26"/>
      <c r="I1651" s="26"/>
      <c r="J1651" s="26"/>
      <c r="K1651" s="19"/>
      <c r="L1651" s="26"/>
      <c r="M1651" s="19"/>
      <c r="N1651" s="26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19"/>
      <c r="B1652" s="99"/>
      <c r="C1652" s="26"/>
      <c r="D1652" s="19"/>
      <c r="E1652" s="26"/>
      <c r="F1652" s="26"/>
      <c r="G1652" s="26"/>
      <c r="H1652" s="26"/>
      <c r="I1652" s="26"/>
      <c r="J1652" s="26"/>
      <c r="K1652" s="19"/>
      <c r="L1652" s="26"/>
      <c r="M1652" s="19"/>
      <c r="N1652" s="26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19"/>
      <c r="B1653" s="99"/>
      <c r="C1653" s="26"/>
      <c r="D1653" s="19"/>
      <c r="E1653" s="26"/>
      <c r="F1653" s="26"/>
      <c r="G1653" s="26"/>
      <c r="H1653" s="26"/>
      <c r="I1653" s="26"/>
      <c r="J1653" s="26"/>
      <c r="K1653" s="19"/>
      <c r="L1653" s="26"/>
      <c r="M1653" s="19"/>
      <c r="N1653" s="26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19"/>
      <c r="B1654" s="99"/>
      <c r="C1654" s="26"/>
      <c r="D1654" s="19"/>
      <c r="E1654" s="26"/>
      <c r="F1654" s="26"/>
      <c r="G1654" s="26"/>
      <c r="H1654" s="26"/>
      <c r="I1654" s="26"/>
      <c r="J1654" s="26"/>
      <c r="K1654" s="19"/>
      <c r="L1654" s="26"/>
      <c r="M1654" s="19"/>
      <c r="N1654" s="26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19"/>
      <c r="B1655" s="99"/>
      <c r="C1655" s="26"/>
      <c r="D1655" s="19"/>
      <c r="E1655" s="26"/>
      <c r="F1655" s="26"/>
      <c r="G1655" s="26"/>
      <c r="H1655" s="26"/>
      <c r="I1655" s="26"/>
      <c r="J1655" s="26"/>
      <c r="K1655" s="19"/>
      <c r="L1655" s="26"/>
      <c r="M1655" s="19"/>
      <c r="N1655" s="26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19"/>
      <c r="B1656" s="99"/>
      <c r="C1656" s="26"/>
      <c r="D1656" s="19"/>
      <c r="E1656" s="26"/>
      <c r="F1656" s="26"/>
      <c r="G1656" s="26"/>
      <c r="H1656" s="26"/>
      <c r="I1656" s="26"/>
      <c r="J1656" s="26"/>
      <c r="K1656" s="19"/>
      <c r="L1656" s="26"/>
      <c r="M1656" s="19"/>
      <c r="N1656" s="26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19"/>
      <c r="B1657" s="99"/>
      <c r="C1657" s="26"/>
      <c r="D1657" s="19"/>
      <c r="E1657" s="26"/>
      <c r="F1657" s="26"/>
      <c r="G1657" s="26"/>
      <c r="H1657" s="26"/>
      <c r="I1657" s="26"/>
      <c r="J1657" s="26"/>
      <c r="K1657" s="19"/>
      <c r="L1657" s="26"/>
      <c r="M1657" s="19"/>
      <c r="N1657" s="26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19"/>
      <c r="B1658" s="99"/>
      <c r="C1658" s="26"/>
      <c r="D1658" s="19"/>
      <c r="E1658" s="26"/>
      <c r="F1658" s="26"/>
      <c r="G1658" s="26"/>
      <c r="H1658" s="26"/>
      <c r="I1658" s="26"/>
      <c r="J1658" s="26"/>
      <c r="K1658" s="19"/>
      <c r="L1658" s="26"/>
      <c r="M1658" s="19"/>
      <c r="N1658" s="26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19"/>
      <c r="B1659" s="99"/>
      <c r="C1659" s="26"/>
      <c r="D1659" s="19"/>
      <c r="E1659" s="26"/>
      <c r="F1659" s="26"/>
      <c r="G1659" s="26"/>
      <c r="H1659" s="26"/>
      <c r="I1659" s="26"/>
      <c r="J1659" s="26"/>
      <c r="K1659" s="19"/>
      <c r="L1659" s="26"/>
      <c r="M1659" s="19"/>
      <c r="N1659" s="26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19"/>
      <c r="B1660" s="99"/>
      <c r="C1660" s="26"/>
      <c r="D1660" s="19"/>
      <c r="E1660" s="26"/>
      <c r="F1660" s="26"/>
      <c r="G1660" s="26"/>
      <c r="H1660" s="26"/>
      <c r="I1660" s="26"/>
      <c r="J1660" s="26"/>
      <c r="K1660" s="19"/>
      <c r="L1660" s="26"/>
      <c r="M1660" s="19"/>
      <c r="N1660" s="26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19"/>
      <c r="B1661" s="99"/>
      <c r="C1661" s="26"/>
      <c r="D1661" s="19"/>
      <c r="E1661" s="26"/>
      <c r="F1661" s="26"/>
      <c r="G1661" s="26"/>
      <c r="H1661" s="26"/>
      <c r="I1661" s="26"/>
      <c r="J1661" s="26"/>
      <c r="K1661" s="19"/>
      <c r="L1661" s="26"/>
      <c r="M1661" s="19"/>
      <c r="N1661" s="26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19"/>
      <c r="B1662" s="99"/>
      <c r="C1662" s="26"/>
      <c r="D1662" s="19"/>
      <c r="E1662" s="26"/>
      <c r="F1662" s="26"/>
      <c r="G1662" s="26"/>
      <c r="H1662" s="26"/>
      <c r="I1662" s="26"/>
      <c r="J1662" s="26"/>
      <c r="K1662" s="19"/>
      <c r="L1662" s="26"/>
      <c r="M1662" s="19"/>
      <c r="N1662" s="26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19"/>
      <c r="B1663" s="99"/>
      <c r="C1663" s="26"/>
      <c r="D1663" s="19"/>
      <c r="E1663" s="26"/>
      <c r="F1663" s="26"/>
      <c r="G1663" s="26"/>
      <c r="H1663" s="26"/>
      <c r="I1663" s="26"/>
      <c r="J1663" s="26"/>
      <c r="K1663" s="19"/>
      <c r="L1663" s="26"/>
      <c r="M1663" s="19"/>
      <c r="N1663" s="26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19"/>
      <c r="B1664" s="99"/>
      <c r="C1664" s="26"/>
      <c r="D1664" s="19"/>
      <c r="E1664" s="26"/>
      <c r="F1664" s="26"/>
      <c r="G1664" s="26"/>
      <c r="H1664" s="26"/>
      <c r="I1664" s="26"/>
      <c r="J1664" s="26"/>
      <c r="K1664" s="19"/>
      <c r="L1664" s="26"/>
      <c r="M1664" s="19"/>
      <c r="N1664" s="26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19"/>
      <c r="B1665" s="99"/>
      <c r="C1665" s="26"/>
      <c r="D1665" s="19"/>
      <c r="E1665" s="26"/>
      <c r="F1665" s="26"/>
      <c r="G1665" s="26"/>
      <c r="H1665" s="26"/>
      <c r="I1665" s="26"/>
      <c r="J1665" s="26"/>
      <c r="K1665" s="19"/>
      <c r="L1665" s="26"/>
      <c r="M1665" s="19"/>
      <c r="N1665" s="26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19"/>
      <c r="B1666" s="99"/>
      <c r="C1666" s="26"/>
      <c r="D1666" s="19"/>
      <c r="E1666" s="26"/>
      <c r="F1666" s="26"/>
      <c r="G1666" s="26"/>
      <c r="H1666" s="26"/>
      <c r="I1666" s="26"/>
      <c r="J1666" s="26"/>
      <c r="K1666" s="19"/>
      <c r="L1666" s="26"/>
      <c r="M1666" s="19"/>
      <c r="N1666" s="26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19"/>
      <c r="B1667" s="99"/>
      <c r="C1667" s="26"/>
      <c r="D1667" s="19"/>
      <c r="E1667" s="26"/>
      <c r="F1667" s="26"/>
      <c r="G1667" s="26"/>
      <c r="H1667" s="26"/>
      <c r="I1667" s="26"/>
      <c r="J1667" s="26"/>
      <c r="K1667" s="19"/>
      <c r="L1667" s="26"/>
      <c r="M1667" s="19"/>
      <c r="N1667" s="26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19"/>
      <c r="B1668" s="99"/>
      <c r="C1668" s="26"/>
      <c r="D1668" s="19"/>
      <c r="E1668" s="26"/>
      <c r="F1668" s="26"/>
      <c r="G1668" s="26"/>
      <c r="H1668" s="26"/>
      <c r="I1668" s="26"/>
      <c r="J1668" s="26"/>
      <c r="K1668" s="19"/>
      <c r="L1668" s="26"/>
      <c r="M1668" s="19"/>
      <c r="N1668" s="26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19"/>
      <c r="B1669" s="99"/>
      <c r="C1669" s="26"/>
      <c r="D1669" s="19"/>
      <c r="E1669" s="26"/>
      <c r="F1669" s="26"/>
      <c r="G1669" s="26"/>
      <c r="H1669" s="26"/>
      <c r="I1669" s="26"/>
      <c r="J1669" s="26"/>
      <c r="K1669" s="19"/>
      <c r="L1669" s="26"/>
      <c r="M1669" s="19"/>
      <c r="N1669" s="26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19"/>
      <c r="B1670" s="99"/>
      <c r="C1670" s="26"/>
      <c r="D1670" s="19"/>
      <c r="E1670" s="26"/>
      <c r="F1670" s="26"/>
      <c r="G1670" s="26"/>
      <c r="H1670" s="26"/>
      <c r="I1670" s="26"/>
      <c r="J1670" s="26"/>
      <c r="K1670" s="19"/>
      <c r="L1670" s="26"/>
      <c r="M1670" s="19"/>
      <c r="N1670" s="26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19"/>
      <c r="B1671" s="99"/>
      <c r="C1671" s="26"/>
      <c r="D1671" s="19"/>
      <c r="E1671" s="26"/>
      <c r="F1671" s="26"/>
      <c r="G1671" s="26"/>
      <c r="H1671" s="26"/>
      <c r="I1671" s="26"/>
      <c r="J1671" s="26"/>
      <c r="K1671" s="19"/>
      <c r="L1671" s="26"/>
      <c r="M1671" s="19"/>
      <c r="N1671" s="26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19"/>
      <c r="B1672" s="99"/>
      <c r="C1672" s="26"/>
      <c r="D1672" s="19"/>
      <c r="E1672" s="26"/>
      <c r="F1672" s="26"/>
      <c r="G1672" s="26"/>
      <c r="H1672" s="26"/>
      <c r="I1672" s="26"/>
      <c r="J1672" s="26"/>
      <c r="K1672" s="19"/>
      <c r="L1672" s="26"/>
      <c r="M1672" s="19"/>
      <c r="N1672" s="26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19"/>
      <c r="B1673" s="99"/>
      <c r="C1673" s="26"/>
      <c r="D1673" s="19"/>
      <c r="E1673" s="26"/>
      <c r="F1673" s="26"/>
      <c r="G1673" s="26"/>
      <c r="H1673" s="26"/>
      <c r="I1673" s="26"/>
      <c r="J1673" s="26"/>
      <c r="K1673" s="19"/>
      <c r="L1673" s="26"/>
      <c r="M1673" s="19"/>
      <c r="N1673" s="26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19"/>
      <c r="B1674" s="99"/>
      <c r="C1674" s="26"/>
      <c r="D1674" s="19"/>
      <c r="E1674" s="26"/>
      <c r="F1674" s="26"/>
      <c r="G1674" s="26"/>
      <c r="H1674" s="26"/>
      <c r="I1674" s="26"/>
      <c r="J1674" s="26"/>
      <c r="K1674" s="19"/>
      <c r="L1674" s="26"/>
      <c r="M1674" s="19"/>
      <c r="N1674" s="26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19"/>
      <c r="B1675" s="99"/>
      <c r="C1675" s="26"/>
      <c r="D1675" s="19"/>
      <c r="E1675" s="26"/>
      <c r="F1675" s="26"/>
      <c r="G1675" s="26"/>
      <c r="H1675" s="26"/>
      <c r="I1675" s="26"/>
      <c r="J1675" s="26"/>
      <c r="K1675" s="19"/>
      <c r="L1675" s="26"/>
      <c r="M1675" s="19"/>
      <c r="N1675" s="26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19"/>
      <c r="B1676" s="99"/>
      <c r="C1676" s="26"/>
      <c r="D1676" s="19"/>
      <c r="E1676" s="26"/>
      <c r="F1676" s="26"/>
      <c r="G1676" s="26"/>
      <c r="H1676" s="26"/>
      <c r="I1676" s="26"/>
      <c r="J1676" s="26"/>
      <c r="K1676" s="19"/>
      <c r="L1676" s="26"/>
      <c r="M1676" s="19"/>
      <c r="N1676" s="26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19"/>
      <c r="B1677" s="99"/>
      <c r="C1677" s="26"/>
      <c r="D1677" s="19"/>
      <c r="E1677" s="26"/>
      <c r="F1677" s="26"/>
      <c r="G1677" s="26"/>
      <c r="H1677" s="26"/>
      <c r="I1677" s="26"/>
      <c r="J1677" s="26"/>
      <c r="K1677" s="19"/>
      <c r="L1677" s="26"/>
      <c r="M1677" s="19"/>
      <c r="N1677" s="26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19"/>
      <c r="B1678" s="99"/>
      <c r="C1678" s="26"/>
      <c r="D1678" s="19"/>
      <c r="E1678" s="26"/>
      <c r="F1678" s="26"/>
      <c r="G1678" s="26"/>
      <c r="H1678" s="26"/>
      <c r="I1678" s="26"/>
      <c r="J1678" s="26"/>
      <c r="K1678" s="19"/>
      <c r="L1678" s="26"/>
      <c r="M1678" s="19"/>
      <c r="N1678" s="26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19"/>
      <c r="B1679" s="99"/>
      <c r="C1679" s="26"/>
      <c r="D1679" s="19"/>
      <c r="E1679" s="26"/>
      <c r="F1679" s="26"/>
      <c r="G1679" s="26"/>
      <c r="H1679" s="26"/>
      <c r="I1679" s="26"/>
      <c r="J1679" s="26"/>
      <c r="K1679" s="19"/>
      <c r="L1679" s="26"/>
      <c r="M1679" s="19"/>
      <c r="N1679" s="26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19"/>
      <c r="B1680" s="99"/>
      <c r="C1680" s="26"/>
      <c r="D1680" s="19"/>
      <c r="E1680" s="26"/>
      <c r="F1680" s="26"/>
      <c r="G1680" s="26"/>
      <c r="H1680" s="26"/>
      <c r="I1680" s="26"/>
      <c r="J1680" s="26"/>
      <c r="K1680" s="19"/>
      <c r="L1680" s="26"/>
      <c r="M1680" s="19"/>
      <c r="N1680" s="26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19"/>
      <c r="B1681" s="99"/>
      <c r="C1681" s="26"/>
      <c r="D1681" s="19"/>
      <c r="E1681" s="26"/>
      <c r="F1681" s="26"/>
      <c r="G1681" s="26"/>
      <c r="H1681" s="26"/>
      <c r="I1681" s="26"/>
      <c r="J1681" s="26"/>
      <c r="K1681" s="19"/>
      <c r="L1681" s="26"/>
      <c r="M1681" s="19"/>
      <c r="N1681" s="26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19"/>
      <c r="B1682" s="99"/>
      <c r="C1682" s="26"/>
      <c r="D1682" s="19"/>
      <c r="E1682" s="26"/>
      <c r="F1682" s="26"/>
      <c r="G1682" s="26"/>
      <c r="H1682" s="26"/>
      <c r="I1682" s="26"/>
      <c r="J1682" s="26"/>
      <c r="K1682" s="19"/>
      <c r="L1682" s="26"/>
      <c r="M1682" s="19"/>
      <c r="N1682" s="26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19"/>
      <c r="B1683" s="99"/>
      <c r="C1683" s="26"/>
      <c r="D1683" s="19"/>
      <c r="E1683" s="26"/>
      <c r="F1683" s="26"/>
      <c r="G1683" s="26"/>
      <c r="H1683" s="26"/>
      <c r="I1683" s="26"/>
      <c r="J1683" s="26"/>
      <c r="K1683" s="19"/>
      <c r="L1683" s="26"/>
      <c r="M1683" s="19"/>
      <c r="N1683" s="26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19"/>
      <c r="B1684" s="99"/>
      <c r="C1684" s="26"/>
      <c r="D1684" s="19"/>
      <c r="E1684" s="26"/>
      <c r="F1684" s="26"/>
      <c r="G1684" s="26"/>
      <c r="H1684" s="26"/>
      <c r="I1684" s="26"/>
      <c r="J1684" s="26"/>
      <c r="K1684" s="19"/>
      <c r="L1684" s="26"/>
      <c r="M1684" s="19"/>
      <c r="N1684" s="26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19"/>
      <c r="B1685" s="99"/>
      <c r="C1685" s="26"/>
      <c r="D1685" s="19"/>
      <c r="E1685" s="26"/>
      <c r="F1685" s="26"/>
      <c r="G1685" s="26"/>
      <c r="H1685" s="26"/>
      <c r="I1685" s="26"/>
      <c r="J1685" s="26"/>
      <c r="K1685" s="19"/>
      <c r="L1685" s="26"/>
      <c r="M1685" s="19"/>
      <c r="N1685" s="26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19"/>
      <c r="B1686" s="99"/>
      <c r="C1686" s="26"/>
      <c r="D1686" s="19"/>
      <c r="E1686" s="26"/>
      <c r="F1686" s="26"/>
      <c r="G1686" s="26"/>
      <c r="H1686" s="26"/>
      <c r="I1686" s="26"/>
      <c r="J1686" s="26"/>
      <c r="K1686" s="19"/>
      <c r="L1686" s="26"/>
      <c r="M1686" s="19"/>
      <c r="N1686" s="26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19"/>
      <c r="B1687" s="99"/>
      <c r="C1687" s="26"/>
      <c r="D1687" s="19"/>
      <c r="E1687" s="26"/>
      <c r="F1687" s="26"/>
      <c r="G1687" s="26"/>
      <c r="H1687" s="26"/>
      <c r="I1687" s="26"/>
      <c r="J1687" s="26"/>
      <c r="K1687" s="19"/>
      <c r="L1687" s="26"/>
      <c r="M1687" s="19"/>
      <c r="N1687" s="26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19"/>
      <c r="B1688" s="99"/>
      <c r="C1688" s="26"/>
      <c r="D1688" s="19"/>
      <c r="E1688" s="26"/>
      <c r="F1688" s="26"/>
      <c r="G1688" s="26"/>
      <c r="H1688" s="26"/>
      <c r="I1688" s="26"/>
      <c r="J1688" s="26"/>
      <c r="K1688" s="19"/>
      <c r="L1688" s="26"/>
      <c r="M1688" s="19"/>
      <c r="N1688" s="26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19"/>
      <c r="B1689" s="99"/>
      <c r="C1689" s="26"/>
      <c r="D1689" s="19"/>
      <c r="E1689" s="26"/>
      <c r="F1689" s="26"/>
      <c r="G1689" s="26"/>
      <c r="H1689" s="26"/>
      <c r="I1689" s="26"/>
      <c r="J1689" s="26"/>
      <c r="K1689" s="19"/>
      <c r="L1689" s="26"/>
      <c r="M1689" s="19"/>
      <c r="N1689" s="26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19"/>
      <c r="B1690" s="99"/>
      <c r="C1690" s="26"/>
      <c r="D1690" s="19"/>
      <c r="E1690" s="26"/>
      <c r="F1690" s="26"/>
      <c r="G1690" s="26"/>
      <c r="H1690" s="26"/>
      <c r="I1690" s="26"/>
      <c r="J1690" s="26"/>
      <c r="K1690" s="19"/>
      <c r="L1690" s="26"/>
      <c r="M1690" s="19"/>
      <c r="N1690" s="26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19"/>
      <c r="B1691" s="99"/>
      <c r="C1691" s="26"/>
      <c r="D1691" s="19"/>
      <c r="E1691" s="26"/>
      <c r="F1691" s="26"/>
      <c r="G1691" s="26"/>
      <c r="H1691" s="26"/>
      <c r="I1691" s="26"/>
      <c r="J1691" s="26"/>
      <c r="K1691" s="19"/>
      <c r="L1691" s="26"/>
      <c r="M1691" s="19"/>
      <c r="N1691" s="26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19"/>
      <c r="B1692" s="99"/>
      <c r="C1692" s="26"/>
      <c r="D1692" s="19"/>
      <c r="E1692" s="26"/>
      <c r="F1692" s="26"/>
      <c r="G1692" s="26"/>
      <c r="H1692" s="26"/>
      <c r="I1692" s="26"/>
      <c r="J1692" s="26"/>
      <c r="K1692" s="19"/>
      <c r="L1692" s="26"/>
      <c r="M1692" s="19"/>
      <c r="N1692" s="26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19"/>
      <c r="B1693" s="99"/>
      <c r="C1693" s="26"/>
      <c r="D1693" s="19"/>
      <c r="E1693" s="26"/>
      <c r="F1693" s="26"/>
      <c r="G1693" s="26"/>
      <c r="H1693" s="26"/>
      <c r="I1693" s="26"/>
      <c r="J1693" s="26"/>
      <c r="K1693" s="19"/>
      <c r="L1693" s="26"/>
      <c r="M1693" s="19"/>
      <c r="N1693" s="26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19"/>
      <c r="B1694" s="99"/>
      <c r="C1694" s="26"/>
      <c r="D1694" s="19"/>
      <c r="E1694" s="26"/>
      <c r="F1694" s="26"/>
      <c r="G1694" s="26"/>
      <c r="H1694" s="26"/>
      <c r="I1694" s="26"/>
      <c r="J1694" s="26"/>
      <c r="K1694" s="19"/>
      <c r="L1694" s="26"/>
      <c r="M1694" s="19"/>
      <c r="N1694" s="26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19"/>
      <c r="B1695" s="99"/>
      <c r="C1695" s="26"/>
      <c r="D1695" s="19"/>
      <c r="E1695" s="26"/>
      <c r="F1695" s="26"/>
      <c r="G1695" s="26"/>
      <c r="H1695" s="26"/>
      <c r="I1695" s="26"/>
      <c r="J1695" s="26"/>
      <c r="K1695" s="19"/>
      <c r="L1695" s="26"/>
      <c r="M1695" s="19"/>
      <c r="N1695" s="26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19"/>
      <c r="B1696" s="99"/>
      <c r="C1696" s="26"/>
      <c r="D1696" s="19"/>
      <c r="E1696" s="26"/>
      <c r="F1696" s="26"/>
      <c r="G1696" s="26"/>
      <c r="H1696" s="26"/>
      <c r="I1696" s="26"/>
      <c r="J1696" s="26"/>
      <c r="K1696" s="19"/>
      <c r="L1696" s="26"/>
      <c r="M1696" s="19"/>
      <c r="N1696" s="26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19"/>
      <c r="B1697" s="99"/>
      <c r="C1697" s="26"/>
      <c r="D1697" s="19"/>
      <c r="E1697" s="26"/>
      <c r="F1697" s="26"/>
      <c r="G1697" s="26"/>
      <c r="H1697" s="26"/>
      <c r="I1697" s="26"/>
      <c r="J1697" s="26"/>
      <c r="K1697" s="19"/>
      <c r="L1697" s="26"/>
      <c r="M1697" s="19"/>
      <c r="N1697" s="26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19"/>
      <c r="B1698" s="99"/>
      <c r="C1698" s="26"/>
      <c r="D1698" s="19"/>
      <c r="E1698" s="26"/>
      <c r="F1698" s="26"/>
      <c r="G1698" s="26"/>
      <c r="H1698" s="26"/>
      <c r="I1698" s="26"/>
      <c r="J1698" s="26"/>
      <c r="K1698" s="19"/>
      <c r="L1698" s="26"/>
      <c r="M1698" s="19"/>
      <c r="N1698" s="26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19"/>
      <c r="B1699" s="99"/>
      <c r="C1699" s="26"/>
      <c r="D1699" s="19"/>
      <c r="E1699" s="26"/>
      <c r="F1699" s="26"/>
      <c r="G1699" s="26"/>
      <c r="H1699" s="26"/>
      <c r="I1699" s="26"/>
      <c r="J1699" s="26"/>
      <c r="K1699" s="19"/>
      <c r="L1699" s="26"/>
      <c r="M1699" s="19"/>
      <c r="N1699" s="26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19"/>
      <c r="B1700" s="99"/>
      <c r="C1700" s="26"/>
      <c r="D1700" s="19"/>
      <c r="E1700" s="26"/>
      <c r="F1700" s="26"/>
      <c r="G1700" s="26"/>
      <c r="H1700" s="26"/>
      <c r="I1700" s="26"/>
      <c r="J1700" s="26"/>
      <c r="K1700" s="19"/>
      <c r="L1700" s="26"/>
      <c r="M1700" s="19"/>
      <c r="N1700" s="26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19"/>
      <c r="B1701" s="99"/>
      <c r="C1701" s="26"/>
      <c r="D1701" s="19"/>
      <c r="E1701" s="26"/>
      <c r="F1701" s="26"/>
      <c r="G1701" s="26"/>
      <c r="H1701" s="26"/>
      <c r="I1701" s="26"/>
      <c r="J1701" s="26"/>
      <c r="K1701" s="19"/>
      <c r="L1701" s="26"/>
      <c r="M1701" s="19"/>
      <c r="N1701" s="26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19"/>
      <c r="B1702" s="99"/>
      <c r="C1702" s="26"/>
      <c r="D1702" s="19"/>
      <c r="E1702" s="26"/>
      <c r="F1702" s="26"/>
      <c r="G1702" s="26"/>
      <c r="H1702" s="26"/>
      <c r="I1702" s="26"/>
      <c r="J1702" s="26"/>
      <c r="K1702" s="19"/>
      <c r="L1702" s="26"/>
      <c r="M1702" s="19"/>
      <c r="N1702" s="26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19"/>
      <c r="B1703" s="99"/>
      <c r="C1703" s="26"/>
      <c r="D1703" s="19"/>
      <c r="E1703" s="26"/>
      <c r="F1703" s="26"/>
      <c r="G1703" s="26"/>
      <c r="H1703" s="26"/>
      <c r="I1703" s="26"/>
      <c r="J1703" s="26"/>
      <c r="K1703" s="19"/>
      <c r="L1703" s="26"/>
      <c r="M1703" s="19"/>
      <c r="N1703" s="26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19"/>
      <c r="B1704" s="99"/>
      <c r="C1704" s="26"/>
      <c r="D1704" s="19"/>
      <c r="E1704" s="26"/>
      <c r="F1704" s="26"/>
      <c r="G1704" s="26"/>
      <c r="H1704" s="26"/>
      <c r="I1704" s="26"/>
      <c r="J1704" s="26"/>
      <c r="K1704" s="19"/>
      <c r="L1704" s="26"/>
      <c r="M1704" s="19"/>
      <c r="N1704" s="26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19"/>
      <c r="B1705" s="99"/>
      <c r="C1705" s="26"/>
      <c r="D1705" s="19"/>
      <c r="E1705" s="26"/>
      <c r="F1705" s="26"/>
      <c r="G1705" s="26"/>
      <c r="H1705" s="26"/>
      <c r="I1705" s="26"/>
      <c r="J1705" s="26"/>
      <c r="K1705" s="19"/>
      <c r="L1705" s="26"/>
      <c r="M1705" s="19"/>
      <c r="N1705" s="26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19"/>
      <c r="B1706" s="99"/>
      <c r="C1706" s="26"/>
      <c r="D1706" s="19"/>
      <c r="E1706" s="26"/>
      <c r="F1706" s="26"/>
      <c r="G1706" s="26"/>
      <c r="H1706" s="26"/>
      <c r="I1706" s="26"/>
      <c r="J1706" s="26"/>
      <c r="K1706" s="19"/>
      <c r="L1706" s="26"/>
      <c r="M1706" s="19"/>
      <c r="N1706" s="26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19"/>
      <c r="B1707" s="99"/>
      <c r="C1707" s="26"/>
      <c r="D1707" s="19"/>
      <c r="E1707" s="26"/>
      <c r="F1707" s="26"/>
      <c r="G1707" s="26"/>
      <c r="H1707" s="26"/>
      <c r="I1707" s="26"/>
      <c r="J1707" s="26"/>
      <c r="K1707" s="19"/>
      <c r="L1707" s="26"/>
      <c r="M1707" s="19"/>
      <c r="N1707" s="26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19"/>
      <c r="B1708" s="99"/>
      <c r="C1708" s="26"/>
      <c r="D1708" s="19"/>
      <c r="E1708" s="26"/>
      <c r="F1708" s="26"/>
      <c r="G1708" s="26"/>
      <c r="H1708" s="26"/>
      <c r="I1708" s="26"/>
      <c r="J1708" s="26"/>
      <c r="K1708" s="19"/>
      <c r="L1708" s="26"/>
      <c r="M1708" s="19"/>
      <c r="N1708" s="26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19"/>
      <c r="B1709" s="99"/>
      <c r="C1709" s="26"/>
      <c r="D1709" s="19"/>
      <c r="E1709" s="26"/>
      <c r="F1709" s="26"/>
      <c r="G1709" s="26"/>
      <c r="H1709" s="26"/>
      <c r="I1709" s="26"/>
      <c r="J1709" s="26"/>
      <c r="K1709" s="19"/>
      <c r="L1709" s="26"/>
      <c r="M1709" s="19"/>
      <c r="N1709" s="26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19"/>
      <c r="B1710" s="99"/>
      <c r="C1710" s="26"/>
      <c r="D1710" s="19"/>
      <c r="E1710" s="26"/>
      <c r="F1710" s="26"/>
      <c r="G1710" s="26"/>
      <c r="H1710" s="26"/>
      <c r="I1710" s="26"/>
      <c r="J1710" s="26"/>
      <c r="K1710" s="19"/>
      <c r="L1710" s="26"/>
      <c r="M1710" s="19"/>
      <c r="N1710" s="26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19"/>
      <c r="B1711" s="99"/>
      <c r="C1711" s="26"/>
      <c r="D1711" s="19"/>
      <c r="E1711" s="26"/>
      <c r="F1711" s="26"/>
      <c r="G1711" s="26"/>
      <c r="H1711" s="26"/>
      <c r="I1711" s="26"/>
      <c r="J1711" s="26"/>
      <c r="K1711" s="19"/>
      <c r="L1711" s="26"/>
      <c r="M1711" s="19"/>
      <c r="N1711" s="26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19"/>
      <c r="B1712" s="99"/>
      <c r="C1712" s="26"/>
      <c r="D1712" s="19"/>
      <c r="E1712" s="26"/>
      <c r="F1712" s="26"/>
      <c r="G1712" s="26"/>
      <c r="H1712" s="26"/>
      <c r="I1712" s="26"/>
      <c r="J1712" s="26"/>
      <c r="K1712" s="19"/>
      <c r="L1712" s="26"/>
      <c r="M1712" s="19"/>
      <c r="N1712" s="26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19"/>
      <c r="B1713" s="99"/>
      <c r="C1713" s="26"/>
      <c r="D1713" s="19"/>
      <c r="E1713" s="26"/>
      <c r="F1713" s="26"/>
      <c r="G1713" s="26"/>
      <c r="H1713" s="26"/>
      <c r="I1713" s="26"/>
      <c r="J1713" s="26"/>
      <c r="K1713" s="19"/>
      <c r="L1713" s="26"/>
      <c r="M1713" s="19"/>
      <c r="N1713" s="26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19"/>
      <c r="B1714" s="99"/>
      <c r="C1714" s="26"/>
      <c r="D1714" s="19"/>
      <c r="E1714" s="26"/>
      <c r="F1714" s="26"/>
      <c r="G1714" s="26"/>
      <c r="H1714" s="26"/>
      <c r="I1714" s="26"/>
      <c r="J1714" s="26"/>
      <c r="K1714" s="19"/>
      <c r="L1714" s="26"/>
      <c r="M1714" s="19"/>
      <c r="N1714" s="26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19"/>
      <c r="B1715" s="99"/>
      <c r="C1715" s="26"/>
      <c r="D1715" s="19"/>
      <c r="E1715" s="26"/>
      <c r="F1715" s="26"/>
      <c r="G1715" s="26"/>
      <c r="H1715" s="26"/>
      <c r="I1715" s="26"/>
      <c r="J1715" s="26"/>
      <c r="K1715" s="19"/>
      <c r="L1715" s="26"/>
      <c r="M1715" s="19"/>
      <c r="N1715" s="26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19"/>
      <c r="B1716" s="99"/>
      <c r="C1716" s="26"/>
      <c r="D1716" s="19"/>
      <c r="E1716" s="26"/>
      <c r="F1716" s="26"/>
      <c r="G1716" s="26"/>
      <c r="H1716" s="26"/>
      <c r="I1716" s="26"/>
      <c r="J1716" s="26"/>
      <c r="K1716" s="19"/>
      <c r="L1716" s="26"/>
      <c r="M1716" s="19"/>
      <c r="N1716" s="26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19"/>
      <c r="B1717" s="99"/>
      <c r="C1717" s="26"/>
      <c r="D1717" s="19"/>
      <c r="E1717" s="26"/>
      <c r="F1717" s="26"/>
      <c r="G1717" s="26"/>
      <c r="H1717" s="26"/>
      <c r="I1717" s="26"/>
      <c r="J1717" s="26"/>
      <c r="K1717" s="19"/>
      <c r="L1717" s="26"/>
      <c r="M1717" s="19"/>
      <c r="N1717" s="26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19"/>
      <c r="B1718" s="99"/>
      <c r="C1718" s="26"/>
      <c r="D1718" s="19"/>
      <c r="E1718" s="26"/>
      <c r="F1718" s="26"/>
      <c r="G1718" s="26"/>
      <c r="H1718" s="26"/>
      <c r="I1718" s="26"/>
      <c r="J1718" s="26"/>
      <c r="K1718" s="19"/>
      <c r="L1718" s="26"/>
      <c r="M1718" s="19"/>
      <c r="N1718" s="26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19"/>
      <c r="B1719" s="99"/>
      <c r="C1719" s="26"/>
      <c r="D1719" s="19"/>
      <c r="E1719" s="26"/>
      <c r="F1719" s="26"/>
      <c r="G1719" s="26"/>
      <c r="H1719" s="26"/>
      <c r="I1719" s="26"/>
      <c r="J1719" s="26"/>
      <c r="K1719" s="19"/>
      <c r="L1719" s="26"/>
      <c r="M1719" s="19"/>
      <c r="N1719" s="26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19"/>
      <c r="B1720" s="99"/>
      <c r="C1720" s="26"/>
      <c r="D1720" s="19"/>
      <c r="E1720" s="26"/>
      <c r="F1720" s="26"/>
      <c r="G1720" s="26"/>
      <c r="H1720" s="26"/>
      <c r="I1720" s="26"/>
      <c r="J1720" s="26"/>
      <c r="K1720" s="19"/>
      <c r="L1720" s="26"/>
      <c r="M1720" s="19"/>
      <c r="N1720" s="26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19"/>
      <c r="B1721" s="99"/>
      <c r="C1721" s="26"/>
      <c r="D1721" s="19"/>
      <c r="E1721" s="26"/>
      <c r="F1721" s="26"/>
      <c r="G1721" s="26"/>
      <c r="H1721" s="26"/>
      <c r="I1721" s="26"/>
      <c r="J1721" s="26"/>
      <c r="K1721" s="19"/>
      <c r="L1721" s="26"/>
      <c r="M1721" s="19"/>
      <c r="N1721" s="26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19"/>
      <c r="B1722" s="99"/>
      <c r="C1722" s="26"/>
      <c r="D1722" s="19"/>
      <c r="E1722" s="26"/>
      <c r="F1722" s="26"/>
      <c r="G1722" s="26"/>
      <c r="H1722" s="26"/>
      <c r="I1722" s="26"/>
      <c r="J1722" s="26"/>
      <c r="K1722" s="19"/>
      <c r="L1722" s="26"/>
      <c r="M1722" s="19"/>
      <c r="N1722" s="26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19"/>
      <c r="B1723" s="99"/>
      <c r="C1723" s="26"/>
      <c r="D1723" s="19"/>
      <c r="E1723" s="26"/>
      <c r="F1723" s="26"/>
      <c r="G1723" s="26"/>
      <c r="H1723" s="26"/>
      <c r="I1723" s="26"/>
      <c r="J1723" s="26"/>
      <c r="K1723" s="19"/>
      <c r="L1723" s="26"/>
      <c r="M1723" s="19"/>
      <c r="N1723" s="26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19"/>
      <c r="B1724" s="99"/>
      <c r="C1724" s="26"/>
      <c r="D1724" s="19"/>
      <c r="E1724" s="26"/>
      <c r="F1724" s="26"/>
      <c r="G1724" s="26"/>
      <c r="H1724" s="26"/>
      <c r="I1724" s="26"/>
      <c r="J1724" s="26"/>
      <c r="K1724" s="19"/>
      <c r="L1724" s="26"/>
      <c r="M1724" s="19"/>
      <c r="N1724" s="26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19"/>
      <c r="B1725" s="99"/>
      <c r="C1725" s="26"/>
      <c r="D1725" s="19"/>
      <c r="E1725" s="26"/>
      <c r="F1725" s="26"/>
      <c r="G1725" s="26"/>
      <c r="H1725" s="26"/>
      <c r="I1725" s="26"/>
      <c r="J1725" s="26"/>
      <c r="K1725" s="19"/>
      <c r="L1725" s="26"/>
      <c r="M1725" s="19"/>
      <c r="N1725" s="26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19"/>
      <c r="B1726" s="99"/>
      <c r="C1726" s="26"/>
      <c r="D1726" s="19"/>
      <c r="E1726" s="26"/>
      <c r="F1726" s="26"/>
      <c r="G1726" s="26"/>
      <c r="H1726" s="26"/>
      <c r="I1726" s="26"/>
      <c r="J1726" s="26"/>
      <c r="K1726" s="19"/>
      <c r="L1726" s="26"/>
      <c r="M1726" s="19"/>
      <c r="N1726" s="26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19"/>
      <c r="B1727" s="99"/>
      <c r="C1727" s="26"/>
      <c r="D1727" s="19"/>
      <c r="E1727" s="26"/>
      <c r="F1727" s="26"/>
      <c r="G1727" s="26"/>
      <c r="H1727" s="26"/>
      <c r="I1727" s="26"/>
      <c r="J1727" s="26"/>
      <c r="K1727" s="19"/>
      <c r="L1727" s="26"/>
      <c r="M1727" s="19"/>
      <c r="N1727" s="26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19"/>
      <c r="B1728" s="99"/>
      <c r="C1728" s="26"/>
      <c r="D1728" s="19"/>
      <c r="E1728" s="26"/>
      <c r="F1728" s="26"/>
      <c r="G1728" s="26"/>
      <c r="H1728" s="26"/>
      <c r="I1728" s="26"/>
      <c r="J1728" s="26"/>
      <c r="K1728" s="19"/>
      <c r="L1728" s="26"/>
      <c r="M1728" s="19"/>
      <c r="N1728" s="26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19"/>
      <c r="B1729" s="99"/>
      <c r="C1729" s="26"/>
      <c r="D1729" s="19"/>
      <c r="E1729" s="26"/>
      <c r="F1729" s="26"/>
      <c r="G1729" s="26"/>
      <c r="H1729" s="26"/>
      <c r="I1729" s="26"/>
      <c r="J1729" s="26"/>
      <c r="K1729" s="19"/>
      <c r="L1729" s="26"/>
      <c r="M1729" s="19"/>
      <c r="N1729" s="26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19"/>
      <c r="B1730" s="99"/>
      <c r="C1730" s="26"/>
      <c r="D1730" s="19"/>
      <c r="E1730" s="26"/>
      <c r="F1730" s="26"/>
      <c r="G1730" s="26"/>
      <c r="H1730" s="26"/>
      <c r="I1730" s="26"/>
      <c r="J1730" s="26"/>
      <c r="K1730" s="19"/>
      <c r="L1730" s="26"/>
      <c r="M1730" s="19"/>
      <c r="N1730" s="26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19"/>
      <c r="B1731" s="99"/>
      <c r="C1731" s="26"/>
      <c r="D1731" s="19"/>
      <c r="E1731" s="26"/>
      <c r="F1731" s="26"/>
      <c r="G1731" s="26"/>
      <c r="H1731" s="26"/>
      <c r="I1731" s="26"/>
      <c r="J1731" s="26"/>
      <c r="K1731" s="19"/>
      <c r="L1731" s="26"/>
      <c r="M1731" s="19"/>
      <c r="N1731" s="26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19"/>
      <c r="B1732" s="99"/>
      <c r="C1732" s="26"/>
      <c r="D1732" s="19"/>
      <c r="E1732" s="26"/>
      <c r="F1732" s="26"/>
      <c r="G1732" s="26"/>
      <c r="H1732" s="26"/>
      <c r="I1732" s="26"/>
      <c r="J1732" s="26"/>
      <c r="K1732" s="19"/>
      <c r="L1732" s="26"/>
      <c r="M1732" s="19"/>
      <c r="N1732" s="26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19"/>
      <c r="B1733" s="99"/>
      <c r="C1733" s="26"/>
      <c r="D1733" s="19"/>
      <c r="E1733" s="26"/>
      <c r="F1733" s="26"/>
      <c r="G1733" s="26"/>
      <c r="H1733" s="26"/>
      <c r="I1733" s="26"/>
      <c r="J1733" s="26"/>
      <c r="K1733" s="19"/>
      <c r="L1733" s="26"/>
      <c r="M1733" s="19"/>
      <c r="N1733" s="26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19"/>
      <c r="B1734" s="99"/>
      <c r="C1734" s="26"/>
      <c r="D1734" s="19"/>
      <c r="E1734" s="26"/>
      <c r="F1734" s="26"/>
      <c r="G1734" s="26"/>
      <c r="H1734" s="26"/>
      <c r="I1734" s="26"/>
      <c r="J1734" s="26"/>
      <c r="K1734" s="19"/>
      <c r="L1734" s="26"/>
      <c r="M1734" s="19"/>
      <c r="N1734" s="26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19"/>
      <c r="B1735" s="99"/>
      <c r="C1735" s="26"/>
      <c r="D1735" s="19"/>
      <c r="E1735" s="26"/>
      <c r="F1735" s="26"/>
      <c r="G1735" s="26"/>
      <c r="H1735" s="26"/>
      <c r="I1735" s="26"/>
      <c r="J1735" s="26"/>
      <c r="K1735" s="19"/>
      <c r="L1735" s="26"/>
      <c r="M1735" s="19"/>
      <c r="N1735" s="26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19"/>
      <c r="B1736" s="99"/>
      <c r="C1736" s="26"/>
      <c r="D1736" s="19"/>
      <c r="E1736" s="26"/>
      <c r="F1736" s="26"/>
      <c r="G1736" s="26"/>
      <c r="H1736" s="26"/>
      <c r="I1736" s="26"/>
      <c r="J1736" s="26"/>
      <c r="K1736" s="19"/>
      <c r="L1736" s="26"/>
      <c r="M1736" s="19"/>
      <c r="N1736" s="26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19"/>
      <c r="B1737" s="99"/>
      <c r="C1737" s="26"/>
      <c r="D1737" s="19"/>
      <c r="E1737" s="26"/>
      <c r="F1737" s="26"/>
      <c r="G1737" s="26"/>
      <c r="H1737" s="26"/>
      <c r="I1737" s="26"/>
      <c r="J1737" s="26"/>
      <c r="K1737" s="19"/>
      <c r="L1737" s="26"/>
      <c r="M1737" s="19"/>
      <c r="N1737" s="26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19"/>
      <c r="B1738" s="99"/>
      <c r="C1738" s="26"/>
      <c r="D1738" s="19"/>
      <c r="E1738" s="26"/>
      <c r="F1738" s="26"/>
      <c r="G1738" s="26"/>
      <c r="H1738" s="26"/>
      <c r="I1738" s="26"/>
      <c r="J1738" s="26"/>
      <c r="K1738" s="19"/>
      <c r="L1738" s="26"/>
      <c r="M1738" s="19"/>
      <c r="N1738" s="26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19"/>
      <c r="B1739" s="99"/>
      <c r="C1739" s="26"/>
      <c r="D1739" s="19"/>
      <c r="E1739" s="26"/>
      <c r="F1739" s="26"/>
      <c r="G1739" s="26"/>
      <c r="H1739" s="26"/>
      <c r="I1739" s="26"/>
      <c r="J1739" s="26"/>
      <c r="K1739" s="19"/>
      <c r="L1739" s="26"/>
      <c r="M1739" s="19"/>
      <c r="N1739" s="26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19"/>
      <c r="B1740" s="99"/>
      <c r="C1740" s="26"/>
      <c r="D1740" s="19"/>
      <c r="E1740" s="26"/>
      <c r="F1740" s="26"/>
      <c r="G1740" s="26"/>
      <c r="H1740" s="26"/>
      <c r="I1740" s="26"/>
      <c r="J1740" s="26"/>
      <c r="K1740" s="19"/>
      <c r="L1740" s="26"/>
      <c r="M1740" s="19"/>
      <c r="N1740" s="26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19"/>
      <c r="B1741" s="99"/>
      <c r="C1741" s="26"/>
      <c r="D1741" s="19"/>
      <c r="E1741" s="26"/>
      <c r="F1741" s="26"/>
      <c r="G1741" s="26"/>
      <c r="H1741" s="26"/>
      <c r="I1741" s="26"/>
      <c r="J1741" s="26"/>
      <c r="K1741" s="19"/>
      <c r="L1741" s="26"/>
      <c r="M1741" s="19"/>
      <c r="N1741" s="26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19"/>
      <c r="B1742" s="99"/>
      <c r="C1742" s="26"/>
      <c r="D1742" s="19"/>
      <c r="E1742" s="26"/>
      <c r="F1742" s="26"/>
      <c r="G1742" s="26"/>
      <c r="H1742" s="26"/>
      <c r="I1742" s="26"/>
      <c r="J1742" s="26"/>
      <c r="K1742" s="19"/>
      <c r="L1742" s="26"/>
      <c r="M1742" s="19"/>
      <c r="N1742" s="26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19"/>
      <c r="B1743" s="99"/>
      <c r="C1743" s="26"/>
      <c r="D1743" s="19"/>
      <c r="E1743" s="26"/>
      <c r="F1743" s="26"/>
      <c r="G1743" s="26"/>
      <c r="H1743" s="26"/>
      <c r="I1743" s="26"/>
      <c r="J1743" s="26"/>
      <c r="K1743" s="19"/>
      <c r="L1743" s="26"/>
      <c r="M1743" s="19"/>
      <c r="N1743" s="26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19"/>
      <c r="B1744" s="99"/>
      <c r="C1744" s="26"/>
      <c r="D1744" s="19"/>
      <c r="E1744" s="26"/>
      <c r="F1744" s="26"/>
      <c r="G1744" s="26"/>
      <c r="H1744" s="26"/>
      <c r="I1744" s="26"/>
      <c r="J1744" s="26"/>
      <c r="K1744" s="19"/>
      <c r="L1744" s="26"/>
      <c r="M1744" s="19"/>
      <c r="N1744" s="26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19"/>
      <c r="B1745" s="99"/>
      <c r="C1745" s="26"/>
      <c r="D1745" s="19"/>
      <c r="E1745" s="26"/>
      <c r="F1745" s="26"/>
      <c r="G1745" s="26"/>
      <c r="H1745" s="26"/>
      <c r="I1745" s="26"/>
      <c r="J1745" s="26"/>
      <c r="K1745" s="19"/>
      <c r="L1745" s="26"/>
      <c r="M1745" s="19"/>
      <c r="N1745" s="26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19"/>
      <c r="B1746" s="99"/>
      <c r="C1746" s="26"/>
      <c r="D1746" s="19"/>
      <c r="E1746" s="26"/>
      <c r="F1746" s="26"/>
      <c r="G1746" s="26"/>
      <c r="H1746" s="26"/>
      <c r="I1746" s="26"/>
      <c r="J1746" s="26"/>
      <c r="K1746" s="19"/>
      <c r="L1746" s="26"/>
      <c r="M1746" s="19"/>
      <c r="N1746" s="26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19"/>
      <c r="B1747" s="99"/>
      <c r="C1747" s="26"/>
      <c r="D1747" s="19"/>
      <c r="E1747" s="26"/>
      <c r="F1747" s="26"/>
      <c r="G1747" s="26"/>
      <c r="H1747" s="26"/>
      <c r="I1747" s="26"/>
      <c r="J1747" s="26"/>
      <c r="K1747" s="19"/>
      <c r="L1747" s="26"/>
      <c r="M1747" s="19"/>
      <c r="N1747" s="26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19"/>
      <c r="B1748" s="99"/>
      <c r="C1748" s="26"/>
      <c r="D1748" s="19"/>
      <c r="E1748" s="26"/>
      <c r="F1748" s="26"/>
      <c r="G1748" s="26"/>
      <c r="H1748" s="26"/>
      <c r="I1748" s="26"/>
      <c r="J1748" s="26"/>
      <c r="K1748" s="19"/>
      <c r="L1748" s="26"/>
      <c r="M1748" s="19"/>
      <c r="N1748" s="26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19"/>
      <c r="B1749" s="99"/>
      <c r="C1749" s="26"/>
      <c r="D1749" s="19"/>
      <c r="E1749" s="26"/>
      <c r="F1749" s="26"/>
      <c r="G1749" s="26"/>
      <c r="H1749" s="26"/>
      <c r="I1749" s="26"/>
      <c r="J1749" s="26"/>
      <c r="K1749" s="19"/>
      <c r="L1749" s="26"/>
      <c r="M1749" s="19"/>
      <c r="N1749" s="26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19"/>
      <c r="B1750" s="99"/>
      <c r="C1750" s="26"/>
      <c r="D1750" s="19"/>
      <c r="E1750" s="26"/>
      <c r="F1750" s="26"/>
      <c r="G1750" s="26"/>
      <c r="H1750" s="26"/>
      <c r="I1750" s="26"/>
      <c r="J1750" s="26"/>
      <c r="K1750" s="19"/>
      <c r="L1750" s="26"/>
      <c r="M1750" s="19"/>
      <c r="N1750" s="26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19"/>
      <c r="B1751" s="99"/>
      <c r="C1751" s="26"/>
      <c r="D1751" s="19"/>
      <c r="E1751" s="26"/>
      <c r="F1751" s="26"/>
      <c r="G1751" s="26"/>
      <c r="H1751" s="26"/>
      <c r="I1751" s="26"/>
      <c r="J1751" s="26"/>
      <c r="K1751" s="19"/>
      <c r="L1751" s="26"/>
      <c r="M1751" s="19"/>
      <c r="N1751" s="26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19"/>
      <c r="B1752" s="99"/>
      <c r="C1752" s="26"/>
      <c r="D1752" s="19"/>
      <c r="E1752" s="26"/>
      <c r="F1752" s="26"/>
      <c r="G1752" s="26"/>
      <c r="H1752" s="26"/>
      <c r="I1752" s="26"/>
      <c r="J1752" s="26"/>
      <c r="K1752" s="19"/>
      <c r="L1752" s="26"/>
      <c r="M1752" s="19"/>
      <c r="N1752" s="26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19"/>
      <c r="B1753" s="99"/>
      <c r="C1753" s="26"/>
      <c r="D1753" s="19"/>
      <c r="E1753" s="26"/>
      <c r="F1753" s="26"/>
      <c r="G1753" s="26"/>
      <c r="H1753" s="26"/>
      <c r="I1753" s="26"/>
      <c r="J1753" s="26"/>
      <c r="K1753" s="19"/>
      <c r="L1753" s="26"/>
      <c r="M1753" s="19"/>
      <c r="N1753" s="26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19"/>
      <c r="B1754" s="99"/>
      <c r="C1754" s="26"/>
      <c r="D1754" s="19"/>
      <c r="E1754" s="26"/>
      <c r="F1754" s="26"/>
      <c r="G1754" s="26"/>
      <c r="H1754" s="26"/>
      <c r="I1754" s="26"/>
      <c r="J1754" s="26"/>
      <c r="K1754" s="19"/>
      <c r="L1754" s="26"/>
      <c r="M1754" s="19"/>
      <c r="N1754" s="26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19"/>
      <c r="B1755" s="99"/>
      <c r="C1755" s="26"/>
      <c r="D1755" s="19"/>
      <c r="E1755" s="26"/>
      <c r="F1755" s="26"/>
      <c r="G1755" s="26"/>
      <c r="H1755" s="26"/>
      <c r="I1755" s="26"/>
      <c r="J1755" s="26"/>
      <c r="K1755" s="19"/>
      <c r="L1755" s="26"/>
      <c r="M1755" s="19"/>
      <c r="N1755" s="26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19"/>
      <c r="B1756" s="99"/>
      <c r="C1756" s="26"/>
      <c r="D1756" s="19"/>
      <c r="E1756" s="26"/>
      <c r="F1756" s="26"/>
      <c r="G1756" s="26"/>
      <c r="H1756" s="26"/>
      <c r="I1756" s="26"/>
      <c r="J1756" s="26"/>
      <c r="K1756" s="19"/>
      <c r="L1756" s="26"/>
      <c r="M1756" s="19"/>
      <c r="N1756" s="26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19"/>
      <c r="B1757" s="99"/>
      <c r="C1757" s="26"/>
      <c r="D1757" s="19"/>
      <c r="E1757" s="26"/>
      <c r="F1757" s="26"/>
      <c r="G1757" s="26"/>
      <c r="H1757" s="26"/>
      <c r="I1757" s="26"/>
      <c r="J1757" s="26"/>
      <c r="K1757" s="19"/>
      <c r="L1757" s="26"/>
      <c r="M1757" s="19"/>
      <c r="N1757" s="26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19"/>
      <c r="B1758" s="99"/>
      <c r="C1758" s="26"/>
      <c r="D1758" s="19"/>
      <c r="E1758" s="26"/>
      <c r="F1758" s="26"/>
      <c r="G1758" s="26"/>
      <c r="H1758" s="26"/>
      <c r="I1758" s="26"/>
      <c r="J1758" s="26"/>
      <c r="K1758" s="19"/>
      <c r="L1758" s="26"/>
      <c r="M1758" s="19"/>
      <c r="N1758" s="26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19"/>
      <c r="B1759" s="99"/>
      <c r="C1759" s="26"/>
      <c r="D1759" s="19"/>
      <c r="E1759" s="26"/>
      <c r="F1759" s="26"/>
      <c r="G1759" s="26"/>
      <c r="H1759" s="26"/>
      <c r="I1759" s="26"/>
      <c r="J1759" s="26"/>
      <c r="K1759" s="19"/>
      <c r="L1759" s="26"/>
      <c r="M1759" s="19"/>
      <c r="N1759" s="26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19"/>
      <c r="B1760" s="99"/>
      <c r="C1760" s="26"/>
      <c r="D1760" s="19"/>
      <c r="E1760" s="26"/>
      <c r="F1760" s="26"/>
      <c r="G1760" s="26"/>
      <c r="H1760" s="26"/>
      <c r="I1760" s="26"/>
      <c r="J1760" s="26"/>
      <c r="K1760" s="19"/>
      <c r="L1760" s="26"/>
      <c r="M1760" s="19"/>
      <c r="N1760" s="26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19"/>
      <c r="B1761" s="99"/>
      <c r="C1761" s="26"/>
      <c r="D1761" s="19"/>
      <c r="E1761" s="26"/>
      <c r="F1761" s="26"/>
      <c r="G1761" s="26"/>
      <c r="H1761" s="26"/>
      <c r="I1761" s="26"/>
      <c r="J1761" s="26"/>
      <c r="K1761" s="19"/>
      <c r="L1761" s="26"/>
      <c r="M1761" s="19"/>
      <c r="N1761" s="26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19"/>
      <c r="B1762" s="99"/>
      <c r="C1762" s="26"/>
      <c r="D1762" s="19"/>
      <c r="E1762" s="26"/>
      <c r="F1762" s="26"/>
      <c r="G1762" s="26"/>
      <c r="H1762" s="26"/>
      <c r="I1762" s="26"/>
      <c r="J1762" s="26"/>
      <c r="K1762" s="19"/>
      <c r="L1762" s="26"/>
      <c r="M1762" s="19"/>
      <c r="N1762" s="26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19"/>
      <c r="B1763" s="99"/>
      <c r="C1763" s="26"/>
      <c r="D1763" s="19"/>
      <c r="E1763" s="26"/>
      <c r="F1763" s="26"/>
      <c r="G1763" s="26"/>
      <c r="H1763" s="26"/>
      <c r="I1763" s="26"/>
      <c r="J1763" s="26"/>
      <c r="K1763" s="19"/>
      <c r="L1763" s="26"/>
      <c r="M1763" s="19"/>
      <c r="N1763" s="26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19"/>
      <c r="B1764" s="99"/>
      <c r="C1764" s="26"/>
      <c r="D1764" s="19"/>
      <c r="E1764" s="26"/>
      <c r="F1764" s="26"/>
      <c r="G1764" s="26"/>
      <c r="H1764" s="26"/>
      <c r="I1764" s="26"/>
      <c r="J1764" s="26"/>
      <c r="K1764" s="19"/>
      <c r="L1764" s="26"/>
      <c r="M1764" s="19"/>
      <c r="N1764" s="26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19"/>
      <c r="B1765" s="99"/>
      <c r="C1765" s="26"/>
      <c r="D1765" s="19"/>
      <c r="E1765" s="26"/>
      <c r="F1765" s="26"/>
      <c r="G1765" s="26"/>
      <c r="H1765" s="26"/>
      <c r="I1765" s="26"/>
      <c r="J1765" s="26"/>
      <c r="K1765" s="19"/>
      <c r="L1765" s="26"/>
      <c r="M1765" s="19"/>
      <c r="N1765" s="26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19"/>
      <c r="B1766" s="99"/>
      <c r="C1766" s="26"/>
      <c r="D1766" s="19"/>
      <c r="E1766" s="26"/>
      <c r="F1766" s="26"/>
      <c r="G1766" s="26"/>
      <c r="H1766" s="26"/>
      <c r="I1766" s="26"/>
      <c r="J1766" s="26"/>
      <c r="K1766" s="19"/>
      <c r="L1766" s="26"/>
      <c r="M1766" s="19"/>
      <c r="N1766" s="26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19"/>
      <c r="B1767" s="99"/>
      <c r="C1767" s="26"/>
      <c r="D1767" s="19"/>
      <c r="E1767" s="26"/>
      <c r="F1767" s="26"/>
      <c r="G1767" s="26"/>
      <c r="H1767" s="26"/>
      <c r="I1767" s="26"/>
      <c r="J1767" s="26"/>
      <c r="K1767" s="19"/>
      <c r="L1767" s="26"/>
      <c r="M1767" s="19"/>
      <c r="N1767" s="26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19"/>
      <c r="B1768" s="99"/>
      <c r="C1768" s="26"/>
      <c r="D1768" s="19"/>
      <c r="E1768" s="26"/>
      <c r="F1768" s="26"/>
      <c r="G1768" s="26"/>
      <c r="H1768" s="26"/>
      <c r="I1768" s="26"/>
      <c r="J1768" s="26"/>
      <c r="K1768" s="19"/>
      <c r="L1768" s="26"/>
      <c r="M1768" s="19"/>
      <c r="N1768" s="26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19"/>
      <c r="B1769" s="99"/>
      <c r="C1769" s="26"/>
      <c r="D1769" s="19"/>
      <c r="E1769" s="26"/>
      <c r="F1769" s="26"/>
      <c r="G1769" s="26"/>
      <c r="H1769" s="26"/>
      <c r="I1769" s="26"/>
      <c r="J1769" s="26"/>
      <c r="K1769" s="19"/>
      <c r="L1769" s="26"/>
      <c r="M1769" s="19"/>
      <c r="N1769" s="26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19"/>
      <c r="B1770" s="99"/>
      <c r="C1770" s="26"/>
      <c r="D1770" s="19"/>
      <c r="E1770" s="26"/>
      <c r="F1770" s="26"/>
      <c r="G1770" s="26"/>
      <c r="H1770" s="26"/>
      <c r="I1770" s="26"/>
      <c r="J1770" s="26"/>
      <c r="K1770" s="19"/>
      <c r="L1770" s="26"/>
      <c r="M1770" s="19"/>
      <c r="N1770" s="26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19"/>
      <c r="B1771" s="99"/>
      <c r="C1771" s="26"/>
      <c r="D1771" s="19"/>
      <c r="E1771" s="26"/>
      <c r="F1771" s="26"/>
      <c r="G1771" s="26"/>
      <c r="H1771" s="26"/>
      <c r="I1771" s="26"/>
      <c r="J1771" s="26"/>
      <c r="K1771" s="19"/>
      <c r="L1771" s="26"/>
      <c r="M1771" s="19"/>
      <c r="N1771" s="26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19"/>
      <c r="B1772" s="99"/>
      <c r="C1772" s="26"/>
      <c r="D1772" s="19"/>
      <c r="E1772" s="26"/>
      <c r="F1772" s="26"/>
      <c r="G1772" s="26"/>
      <c r="H1772" s="26"/>
      <c r="I1772" s="26"/>
      <c r="J1772" s="26"/>
      <c r="K1772" s="19"/>
      <c r="L1772" s="26"/>
      <c r="M1772" s="19"/>
      <c r="N1772" s="26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19"/>
      <c r="B1773" s="99"/>
      <c r="C1773" s="26"/>
      <c r="D1773" s="19"/>
      <c r="E1773" s="26"/>
      <c r="F1773" s="26"/>
      <c r="G1773" s="26"/>
      <c r="H1773" s="26"/>
      <c r="I1773" s="26"/>
      <c r="J1773" s="26"/>
      <c r="K1773" s="19"/>
      <c r="L1773" s="26"/>
      <c r="M1773" s="19"/>
      <c r="N1773" s="26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19"/>
      <c r="B1774" s="99"/>
      <c r="C1774" s="26"/>
      <c r="D1774" s="19"/>
      <c r="E1774" s="26"/>
      <c r="F1774" s="26"/>
      <c r="G1774" s="26"/>
      <c r="H1774" s="26"/>
      <c r="I1774" s="26"/>
      <c r="J1774" s="26"/>
      <c r="K1774" s="19"/>
      <c r="L1774" s="26"/>
      <c r="M1774" s="19"/>
      <c r="N1774" s="26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19"/>
      <c r="B1775" s="99"/>
      <c r="C1775" s="26"/>
      <c r="D1775" s="19"/>
      <c r="E1775" s="26"/>
      <c r="F1775" s="26"/>
      <c r="G1775" s="26"/>
      <c r="H1775" s="26"/>
      <c r="I1775" s="26"/>
      <c r="J1775" s="26"/>
      <c r="K1775" s="19"/>
      <c r="L1775" s="26"/>
      <c r="M1775" s="19"/>
      <c r="N1775" s="26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19"/>
      <c r="B1776" s="99"/>
      <c r="C1776" s="26"/>
      <c r="D1776" s="19"/>
      <c r="E1776" s="26"/>
      <c r="F1776" s="26"/>
      <c r="G1776" s="26"/>
      <c r="H1776" s="26"/>
      <c r="I1776" s="26"/>
      <c r="J1776" s="26"/>
      <c r="K1776" s="19"/>
      <c r="L1776" s="26"/>
      <c r="M1776" s="19"/>
      <c r="N1776" s="26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19"/>
      <c r="B1777" s="99"/>
      <c r="C1777" s="26"/>
      <c r="D1777" s="19"/>
      <c r="E1777" s="26"/>
      <c r="F1777" s="26"/>
      <c r="G1777" s="26"/>
      <c r="H1777" s="26"/>
      <c r="I1777" s="26"/>
      <c r="J1777" s="26"/>
      <c r="K1777" s="19"/>
      <c r="L1777" s="26"/>
      <c r="M1777" s="19"/>
      <c r="N1777" s="26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19"/>
      <c r="B1778" s="99"/>
      <c r="C1778" s="26"/>
      <c r="D1778" s="19"/>
      <c r="E1778" s="26"/>
      <c r="F1778" s="26"/>
      <c r="G1778" s="26"/>
      <c r="H1778" s="26"/>
      <c r="I1778" s="26"/>
      <c r="J1778" s="26"/>
      <c r="K1778" s="19"/>
      <c r="L1778" s="26"/>
      <c r="M1778" s="19"/>
      <c r="N1778" s="26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19"/>
      <c r="B1779" s="99"/>
      <c r="C1779" s="26"/>
      <c r="D1779" s="19"/>
      <c r="E1779" s="26"/>
      <c r="F1779" s="26"/>
      <c r="G1779" s="26"/>
      <c r="H1779" s="26"/>
      <c r="I1779" s="26"/>
      <c r="J1779" s="26"/>
      <c r="K1779" s="19"/>
      <c r="L1779" s="26"/>
      <c r="M1779" s="19"/>
      <c r="N1779" s="26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19"/>
      <c r="B1780" s="99"/>
      <c r="C1780" s="26"/>
      <c r="D1780" s="19"/>
      <c r="E1780" s="26"/>
      <c r="F1780" s="26"/>
      <c r="G1780" s="26"/>
      <c r="H1780" s="26"/>
      <c r="I1780" s="26"/>
      <c r="J1780" s="26"/>
      <c r="K1780" s="19"/>
      <c r="L1780" s="26"/>
      <c r="M1780" s="19"/>
      <c r="N1780" s="26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19"/>
      <c r="B1781" s="99"/>
      <c r="C1781" s="26"/>
      <c r="D1781" s="19"/>
      <c r="E1781" s="26"/>
      <c r="F1781" s="26"/>
      <c r="G1781" s="26"/>
      <c r="H1781" s="26"/>
      <c r="I1781" s="26"/>
      <c r="J1781" s="26"/>
      <c r="K1781" s="19"/>
      <c r="L1781" s="26"/>
      <c r="M1781" s="19"/>
      <c r="N1781" s="26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19"/>
      <c r="B1782" s="99"/>
      <c r="C1782" s="26"/>
      <c r="D1782" s="19"/>
      <c r="E1782" s="26"/>
      <c r="F1782" s="26"/>
      <c r="G1782" s="26"/>
      <c r="H1782" s="26"/>
      <c r="I1782" s="26"/>
      <c r="J1782" s="26"/>
      <c r="K1782" s="19"/>
      <c r="L1782" s="26"/>
      <c r="M1782" s="19"/>
      <c r="N1782" s="26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19"/>
      <c r="B1783" s="99"/>
      <c r="C1783" s="26"/>
      <c r="D1783" s="19"/>
      <c r="E1783" s="26"/>
      <c r="F1783" s="26"/>
      <c r="G1783" s="26"/>
      <c r="H1783" s="26"/>
      <c r="I1783" s="26"/>
      <c r="J1783" s="26"/>
      <c r="K1783" s="19"/>
      <c r="L1783" s="26"/>
      <c r="M1783" s="19"/>
      <c r="N1783" s="26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19"/>
      <c r="B1784" s="99"/>
      <c r="C1784" s="26"/>
      <c r="D1784" s="19"/>
      <c r="E1784" s="26"/>
      <c r="F1784" s="26"/>
      <c r="G1784" s="26"/>
      <c r="H1784" s="26"/>
      <c r="I1784" s="26"/>
      <c r="J1784" s="26"/>
      <c r="K1784" s="19"/>
      <c r="L1784" s="26"/>
      <c r="M1784" s="19"/>
      <c r="N1784" s="26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19"/>
      <c r="B1785" s="99"/>
      <c r="C1785" s="26"/>
      <c r="D1785" s="19"/>
      <c r="E1785" s="26"/>
      <c r="F1785" s="26"/>
      <c r="G1785" s="26"/>
      <c r="H1785" s="26"/>
      <c r="I1785" s="26"/>
      <c r="J1785" s="26"/>
      <c r="K1785" s="19"/>
      <c r="L1785" s="26"/>
      <c r="M1785" s="19"/>
      <c r="N1785" s="26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19"/>
      <c r="B1786" s="99"/>
      <c r="C1786" s="26"/>
      <c r="D1786" s="19"/>
      <c r="E1786" s="26"/>
      <c r="F1786" s="26"/>
      <c r="G1786" s="26"/>
      <c r="H1786" s="26"/>
      <c r="I1786" s="26"/>
      <c r="J1786" s="26"/>
      <c r="K1786" s="19"/>
      <c r="L1786" s="26"/>
      <c r="M1786" s="19"/>
      <c r="N1786" s="26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19"/>
      <c r="B1787" s="99"/>
      <c r="C1787" s="26"/>
      <c r="D1787" s="19"/>
      <c r="E1787" s="26"/>
      <c r="F1787" s="26"/>
      <c r="G1787" s="26"/>
      <c r="H1787" s="26"/>
      <c r="I1787" s="26"/>
      <c r="J1787" s="26"/>
      <c r="K1787" s="19"/>
      <c r="L1787" s="26"/>
      <c r="M1787" s="19"/>
      <c r="N1787" s="26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19"/>
      <c r="B1788" s="99"/>
      <c r="C1788" s="26"/>
      <c r="D1788" s="19"/>
      <c r="E1788" s="26"/>
      <c r="F1788" s="26"/>
      <c r="G1788" s="26"/>
      <c r="H1788" s="26"/>
      <c r="I1788" s="26"/>
      <c r="J1788" s="26"/>
      <c r="K1788" s="19"/>
      <c r="L1788" s="26"/>
      <c r="M1788" s="19"/>
      <c r="N1788" s="26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19"/>
      <c r="B1789" s="99"/>
      <c r="C1789" s="26"/>
      <c r="D1789" s="19"/>
      <c r="E1789" s="26"/>
      <c r="F1789" s="26"/>
      <c r="G1789" s="26"/>
      <c r="H1789" s="26"/>
      <c r="I1789" s="26"/>
      <c r="J1789" s="26"/>
      <c r="K1789" s="19"/>
      <c r="L1789" s="26"/>
      <c r="M1789" s="19"/>
      <c r="N1789" s="26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19"/>
      <c r="B1790" s="99"/>
      <c r="C1790" s="26"/>
      <c r="D1790" s="19"/>
      <c r="E1790" s="26"/>
      <c r="F1790" s="26"/>
      <c r="G1790" s="26"/>
      <c r="H1790" s="26"/>
      <c r="I1790" s="26"/>
      <c r="J1790" s="26"/>
      <c r="K1790" s="19"/>
      <c r="L1790" s="26"/>
      <c r="M1790" s="19"/>
      <c r="N1790" s="26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19"/>
      <c r="B1791" s="99"/>
      <c r="C1791" s="26"/>
      <c r="D1791" s="19"/>
      <c r="E1791" s="26"/>
      <c r="F1791" s="26"/>
      <c r="G1791" s="26"/>
      <c r="H1791" s="26"/>
      <c r="I1791" s="26"/>
      <c r="J1791" s="26"/>
      <c r="K1791" s="19"/>
      <c r="L1791" s="26"/>
      <c r="M1791" s="19"/>
      <c r="N1791" s="26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19"/>
      <c r="B1792" s="99"/>
      <c r="C1792" s="26"/>
      <c r="D1792" s="19"/>
      <c r="E1792" s="26"/>
      <c r="F1792" s="26"/>
      <c r="G1792" s="26"/>
      <c r="H1792" s="26"/>
      <c r="I1792" s="26"/>
      <c r="J1792" s="26"/>
      <c r="K1792" s="19"/>
      <c r="L1792" s="26"/>
      <c r="M1792" s="19"/>
      <c r="N1792" s="26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19"/>
      <c r="B1793" s="99"/>
      <c r="C1793" s="26"/>
      <c r="D1793" s="19"/>
      <c r="E1793" s="26"/>
      <c r="F1793" s="26"/>
      <c r="G1793" s="26"/>
      <c r="H1793" s="26"/>
      <c r="I1793" s="26"/>
      <c r="J1793" s="26"/>
      <c r="K1793" s="19"/>
      <c r="L1793" s="26"/>
      <c r="M1793" s="19"/>
      <c r="N1793" s="26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19"/>
      <c r="B1794" s="99"/>
      <c r="C1794" s="26"/>
      <c r="D1794" s="19"/>
      <c r="E1794" s="26"/>
      <c r="F1794" s="26"/>
      <c r="G1794" s="26"/>
      <c r="H1794" s="26"/>
      <c r="I1794" s="26"/>
      <c r="J1794" s="26"/>
      <c r="K1794" s="19"/>
      <c r="L1794" s="26"/>
      <c r="M1794" s="19"/>
      <c r="N1794" s="26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19"/>
      <c r="B1795" s="99"/>
      <c r="C1795" s="26"/>
      <c r="D1795" s="19"/>
      <c r="E1795" s="26"/>
      <c r="F1795" s="26"/>
      <c r="G1795" s="26"/>
      <c r="H1795" s="26"/>
      <c r="I1795" s="26"/>
      <c r="J1795" s="26"/>
      <c r="K1795" s="19"/>
      <c r="L1795" s="26"/>
      <c r="M1795" s="19"/>
      <c r="N1795" s="26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19"/>
      <c r="B1796" s="99"/>
      <c r="C1796" s="26"/>
      <c r="D1796" s="19"/>
      <c r="E1796" s="26"/>
      <c r="F1796" s="26"/>
      <c r="G1796" s="26"/>
      <c r="H1796" s="26"/>
      <c r="I1796" s="26"/>
      <c r="J1796" s="26"/>
      <c r="K1796" s="19"/>
      <c r="L1796" s="26"/>
      <c r="M1796" s="19"/>
      <c r="N1796" s="26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19"/>
      <c r="B1797" s="99"/>
      <c r="C1797" s="26"/>
      <c r="D1797" s="19"/>
      <c r="E1797" s="26"/>
      <c r="F1797" s="26"/>
      <c r="G1797" s="26"/>
      <c r="H1797" s="26"/>
      <c r="I1797" s="26"/>
      <c r="J1797" s="26"/>
      <c r="K1797" s="19"/>
      <c r="L1797" s="26"/>
      <c r="M1797" s="19"/>
      <c r="N1797" s="26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19"/>
      <c r="B1798" s="99"/>
      <c r="C1798" s="26"/>
      <c r="D1798" s="19"/>
      <c r="E1798" s="26"/>
      <c r="F1798" s="26"/>
      <c r="G1798" s="26"/>
      <c r="H1798" s="26"/>
      <c r="I1798" s="26"/>
      <c r="J1798" s="26"/>
      <c r="K1798" s="19"/>
      <c r="L1798" s="26"/>
      <c r="M1798" s="19"/>
      <c r="N1798" s="26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19"/>
      <c r="B1799" s="99"/>
      <c r="C1799" s="26"/>
      <c r="D1799" s="19"/>
      <c r="E1799" s="26"/>
      <c r="F1799" s="26"/>
      <c r="G1799" s="26"/>
      <c r="H1799" s="26"/>
      <c r="I1799" s="26"/>
      <c r="J1799" s="26"/>
      <c r="K1799" s="19"/>
      <c r="L1799" s="26"/>
      <c r="M1799" s="19"/>
      <c r="N1799" s="26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19"/>
      <c r="B1800" s="99"/>
      <c r="C1800" s="26"/>
      <c r="D1800" s="19"/>
      <c r="E1800" s="26"/>
      <c r="F1800" s="26"/>
      <c r="G1800" s="26"/>
      <c r="H1800" s="26"/>
      <c r="I1800" s="26"/>
      <c r="J1800" s="26"/>
      <c r="K1800" s="19"/>
      <c r="L1800" s="26"/>
      <c r="M1800" s="19"/>
      <c r="N1800" s="26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19"/>
      <c r="B1801" s="99"/>
      <c r="C1801" s="26"/>
      <c r="D1801" s="19"/>
      <c r="E1801" s="26"/>
      <c r="F1801" s="26"/>
      <c r="G1801" s="26"/>
      <c r="H1801" s="26"/>
      <c r="I1801" s="26"/>
      <c r="J1801" s="26"/>
      <c r="K1801" s="19"/>
      <c r="L1801" s="26"/>
      <c r="M1801" s="19"/>
      <c r="N1801" s="26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19"/>
      <c r="B1802" s="99"/>
      <c r="C1802" s="26"/>
      <c r="D1802" s="19"/>
      <c r="E1802" s="26"/>
      <c r="F1802" s="26"/>
      <c r="G1802" s="26"/>
      <c r="H1802" s="26"/>
      <c r="I1802" s="26"/>
      <c r="J1802" s="26"/>
      <c r="K1802" s="19"/>
      <c r="L1802" s="26"/>
      <c r="M1802" s="19"/>
      <c r="N1802" s="26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19"/>
      <c r="B1803" s="99"/>
      <c r="C1803" s="26"/>
      <c r="D1803" s="19"/>
      <c r="E1803" s="26"/>
      <c r="F1803" s="26"/>
      <c r="G1803" s="26"/>
      <c r="H1803" s="26"/>
      <c r="I1803" s="26"/>
      <c r="J1803" s="26"/>
      <c r="K1803" s="19"/>
      <c r="L1803" s="26"/>
      <c r="M1803" s="19"/>
      <c r="N1803" s="26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19"/>
      <c r="B1804" s="99"/>
      <c r="C1804" s="26"/>
      <c r="D1804" s="19"/>
      <c r="E1804" s="26"/>
      <c r="F1804" s="26"/>
      <c r="G1804" s="26"/>
      <c r="H1804" s="26"/>
      <c r="I1804" s="26"/>
      <c r="J1804" s="26"/>
      <c r="K1804" s="19"/>
      <c r="L1804" s="26"/>
      <c r="M1804" s="19"/>
      <c r="N1804" s="26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19"/>
      <c r="B1805" s="99"/>
      <c r="C1805" s="26"/>
      <c r="D1805" s="19"/>
      <c r="E1805" s="26"/>
      <c r="F1805" s="26"/>
      <c r="G1805" s="26"/>
      <c r="H1805" s="26"/>
      <c r="I1805" s="26"/>
      <c r="J1805" s="26"/>
      <c r="K1805" s="19"/>
      <c r="L1805" s="26"/>
      <c r="M1805" s="19"/>
      <c r="N1805" s="26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19"/>
      <c r="B1806" s="99"/>
      <c r="C1806" s="26"/>
      <c r="D1806" s="19"/>
      <c r="E1806" s="26"/>
      <c r="F1806" s="26"/>
      <c r="G1806" s="26"/>
      <c r="H1806" s="26"/>
      <c r="I1806" s="26"/>
      <c r="J1806" s="26"/>
      <c r="K1806" s="19"/>
      <c r="L1806" s="26"/>
      <c r="M1806" s="19"/>
      <c r="N1806" s="26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19"/>
      <c r="B1807" s="99"/>
      <c r="C1807" s="26"/>
      <c r="D1807" s="19"/>
      <c r="E1807" s="26"/>
      <c r="F1807" s="26"/>
      <c r="G1807" s="26"/>
      <c r="H1807" s="26"/>
      <c r="I1807" s="26"/>
      <c r="J1807" s="26"/>
      <c r="K1807" s="19"/>
      <c r="L1807" s="26"/>
      <c r="M1807" s="19"/>
      <c r="N1807" s="26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19"/>
      <c r="B1808" s="99"/>
      <c r="C1808" s="26"/>
      <c r="D1808" s="19"/>
      <c r="E1808" s="26"/>
      <c r="F1808" s="26"/>
      <c r="G1808" s="26"/>
      <c r="H1808" s="26"/>
      <c r="I1808" s="26"/>
      <c r="J1808" s="26"/>
      <c r="K1808" s="19"/>
      <c r="L1808" s="26"/>
      <c r="M1808" s="19"/>
      <c r="N1808" s="26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19"/>
      <c r="B1809" s="99"/>
      <c r="C1809" s="26"/>
      <c r="D1809" s="19"/>
      <c r="E1809" s="26"/>
      <c r="F1809" s="26"/>
      <c r="G1809" s="26"/>
      <c r="H1809" s="26"/>
      <c r="I1809" s="26"/>
      <c r="J1809" s="26"/>
      <c r="K1809" s="19"/>
      <c r="L1809" s="26"/>
      <c r="M1809" s="19"/>
      <c r="N1809" s="26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19"/>
      <c r="B1810" s="99"/>
      <c r="C1810" s="26"/>
      <c r="D1810" s="19"/>
      <c r="E1810" s="26"/>
      <c r="F1810" s="26"/>
      <c r="G1810" s="26"/>
      <c r="H1810" s="26"/>
      <c r="I1810" s="26"/>
      <c r="J1810" s="26"/>
      <c r="K1810" s="19"/>
      <c r="L1810" s="26"/>
      <c r="M1810" s="19"/>
      <c r="N1810" s="26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19"/>
      <c r="B1811" s="99"/>
      <c r="C1811" s="26"/>
      <c r="D1811" s="19"/>
      <c r="E1811" s="26"/>
      <c r="F1811" s="26"/>
      <c r="G1811" s="26"/>
      <c r="H1811" s="26"/>
      <c r="I1811" s="26"/>
      <c r="J1811" s="26"/>
      <c r="K1811" s="19"/>
      <c r="L1811" s="26"/>
      <c r="M1811" s="19"/>
      <c r="N1811" s="26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19"/>
      <c r="B1812" s="99"/>
      <c r="C1812" s="26"/>
      <c r="D1812" s="19"/>
      <c r="E1812" s="26"/>
      <c r="F1812" s="26"/>
      <c r="G1812" s="26"/>
      <c r="H1812" s="26"/>
      <c r="I1812" s="26"/>
      <c r="J1812" s="26"/>
      <c r="K1812" s="19"/>
      <c r="L1812" s="26"/>
      <c r="M1812" s="19"/>
      <c r="N1812" s="26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19"/>
      <c r="B1813" s="99"/>
      <c r="C1813" s="26"/>
      <c r="D1813" s="19"/>
      <c r="E1813" s="26"/>
      <c r="F1813" s="26"/>
      <c r="G1813" s="26"/>
      <c r="H1813" s="26"/>
      <c r="I1813" s="26"/>
      <c r="J1813" s="26"/>
      <c r="K1813" s="19"/>
      <c r="L1813" s="26"/>
      <c r="M1813" s="19"/>
      <c r="N1813" s="26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19"/>
      <c r="B1814" s="99"/>
      <c r="C1814" s="26"/>
      <c r="D1814" s="19"/>
      <c r="E1814" s="26"/>
      <c r="F1814" s="26"/>
      <c r="G1814" s="26"/>
      <c r="H1814" s="26"/>
      <c r="I1814" s="26"/>
      <c r="J1814" s="26"/>
      <c r="K1814" s="19"/>
      <c r="L1814" s="26"/>
      <c r="M1814" s="19"/>
      <c r="N1814" s="26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19"/>
      <c r="B1815" s="99"/>
      <c r="C1815" s="26"/>
      <c r="D1815" s="19"/>
      <c r="E1815" s="26"/>
      <c r="F1815" s="26"/>
      <c r="G1815" s="26"/>
      <c r="H1815" s="26"/>
      <c r="I1815" s="26"/>
      <c r="J1815" s="26"/>
      <c r="K1815" s="19"/>
      <c r="L1815" s="26"/>
      <c r="M1815" s="19"/>
      <c r="N1815" s="26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19"/>
      <c r="B1816" s="99"/>
      <c r="C1816" s="26"/>
      <c r="D1816" s="19"/>
      <c r="E1816" s="26"/>
      <c r="F1816" s="26"/>
      <c r="G1816" s="26"/>
      <c r="H1816" s="26"/>
      <c r="I1816" s="26"/>
      <c r="J1816" s="26"/>
      <c r="K1816" s="19"/>
      <c r="L1816" s="26"/>
      <c r="M1816" s="19"/>
      <c r="N1816" s="26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19"/>
      <c r="B1817" s="99"/>
      <c r="C1817" s="26"/>
      <c r="D1817" s="19"/>
      <c r="E1817" s="26"/>
      <c r="F1817" s="26"/>
      <c r="G1817" s="26"/>
      <c r="H1817" s="26"/>
      <c r="I1817" s="26"/>
      <c r="J1817" s="26"/>
      <c r="K1817" s="19"/>
      <c r="L1817" s="26"/>
      <c r="M1817" s="19"/>
      <c r="N1817" s="26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19"/>
      <c r="B1818" s="99"/>
      <c r="C1818" s="26"/>
      <c r="D1818" s="19"/>
      <c r="E1818" s="26"/>
      <c r="F1818" s="26"/>
      <c r="G1818" s="26"/>
      <c r="H1818" s="26"/>
      <c r="I1818" s="26"/>
      <c r="J1818" s="26"/>
      <c r="K1818" s="19"/>
      <c r="L1818" s="26"/>
      <c r="M1818" s="19"/>
      <c r="N1818" s="26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19"/>
      <c r="B1819" s="99"/>
      <c r="C1819" s="26"/>
      <c r="D1819" s="19"/>
      <c r="E1819" s="26"/>
      <c r="F1819" s="26"/>
      <c r="G1819" s="26"/>
      <c r="H1819" s="26"/>
      <c r="I1819" s="26"/>
      <c r="J1819" s="26"/>
      <c r="K1819" s="19"/>
      <c r="L1819" s="26"/>
      <c r="M1819" s="19"/>
      <c r="N1819" s="26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19"/>
      <c r="B1820" s="99"/>
      <c r="C1820" s="26"/>
      <c r="D1820" s="19"/>
      <c r="E1820" s="26"/>
      <c r="F1820" s="26"/>
      <c r="G1820" s="26"/>
      <c r="H1820" s="26"/>
      <c r="I1820" s="26"/>
      <c r="J1820" s="26"/>
      <c r="K1820" s="19"/>
      <c r="L1820" s="26"/>
      <c r="M1820" s="19"/>
      <c r="N1820" s="26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19"/>
      <c r="B1821" s="99"/>
      <c r="C1821" s="26"/>
      <c r="D1821" s="19"/>
      <c r="E1821" s="26"/>
      <c r="F1821" s="26"/>
      <c r="G1821" s="26"/>
      <c r="H1821" s="26"/>
      <c r="I1821" s="26"/>
      <c r="J1821" s="26"/>
      <c r="K1821" s="19"/>
      <c r="L1821" s="26"/>
      <c r="M1821" s="19"/>
      <c r="N1821" s="26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19"/>
      <c r="B1822" s="99"/>
      <c r="C1822" s="26"/>
      <c r="D1822" s="19"/>
      <c r="E1822" s="26"/>
      <c r="F1822" s="26"/>
      <c r="G1822" s="26"/>
      <c r="H1822" s="26"/>
      <c r="I1822" s="26"/>
      <c r="J1822" s="26"/>
      <c r="K1822" s="19"/>
      <c r="L1822" s="26"/>
      <c r="M1822" s="19"/>
      <c r="N1822" s="26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19"/>
      <c r="B1823" s="99"/>
      <c r="C1823" s="26"/>
      <c r="D1823" s="19"/>
      <c r="E1823" s="26"/>
      <c r="F1823" s="26"/>
      <c r="G1823" s="26"/>
      <c r="H1823" s="26"/>
      <c r="I1823" s="26"/>
      <c r="J1823" s="26"/>
      <c r="K1823" s="19"/>
      <c r="L1823" s="26"/>
      <c r="M1823" s="19"/>
      <c r="N1823" s="26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19"/>
      <c r="B1824" s="99"/>
      <c r="C1824" s="26"/>
      <c r="D1824" s="19"/>
      <c r="E1824" s="26"/>
      <c r="F1824" s="26"/>
      <c r="G1824" s="26"/>
      <c r="H1824" s="26"/>
      <c r="I1824" s="26"/>
      <c r="J1824" s="26"/>
      <c r="K1824" s="19"/>
      <c r="L1824" s="26"/>
      <c r="M1824" s="19"/>
      <c r="N1824" s="26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19"/>
      <c r="B1825" s="99"/>
      <c r="C1825" s="26"/>
      <c r="D1825" s="19"/>
      <c r="E1825" s="26"/>
      <c r="F1825" s="26"/>
      <c r="G1825" s="26"/>
      <c r="H1825" s="26"/>
      <c r="I1825" s="26"/>
      <c r="J1825" s="26"/>
      <c r="K1825" s="19"/>
      <c r="L1825" s="26"/>
      <c r="M1825" s="19"/>
      <c r="N1825" s="26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19"/>
      <c r="B1826" s="99"/>
      <c r="C1826" s="26"/>
      <c r="D1826" s="19"/>
      <c r="E1826" s="26"/>
      <c r="F1826" s="26"/>
      <c r="G1826" s="26"/>
      <c r="H1826" s="26"/>
      <c r="I1826" s="26"/>
      <c r="J1826" s="26"/>
      <c r="K1826" s="19"/>
      <c r="L1826" s="26"/>
      <c r="M1826" s="19"/>
      <c r="N1826" s="26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19"/>
      <c r="B1827" s="99"/>
      <c r="C1827" s="26"/>
      <c r="D1827" s="19"/>
      <c r="E1827" s="26"/>
      <c r="F1827" s="26"/>
      <c r="G1827" s="26"/>
      <c r="H1827" s="26"/>
      <c r="I1827" s="26"/>
      <c r="J1827" s="26"/>
      <c r="K1827" s="19"/>
      <c r="L1827" s="26"/>
      <c r="M1827" s="19"/>
      <c r="N1827" s="26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19"/>
      <c r="B1828" s="99"/>
      <c r="C1828" s="26"/>
      <c r="D1828" s="19"/>
      <c r="E1828" s="26"/>
      <c r="F1828" s="26"/>
      <c r="G1828" s="26"/>
      <c r="H1828" s="26"/>
      <c r="I1828" s="26"/>
      <c r="J1828" s="26"/>
      <c r="K1828" s="19"/>
      <c r="L1828" s="26"/>
      <c r="M1828" s="19"/>
      <c r="N1828" s="26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19"/>
      <c r="B1829" s="99"/>
      <c r="C1829" s="26"/>
      <c r="D1829" s="19"/>
      <c r="E1829" s="26"/>
      <c r="F1829" s="26"/>
      <c r="G1829" s="26"/>
      <c r="H1829" s="26"/>
      <c r="I1829" s="26"/>
      <c r="J1829" s="26"/>
      <c r="K1829" s="19"/>
      <c r="L1829" s="26"/>
      <c r="M1829" s="19"/>
      <c r="N1829" s="26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19"/>
      <c r="B1830" s="99"/>
      <c r="C1830" s="26"/>
      <c r="D1830" s="19"/>
      <c r="E1830" s="26"/>
      <c r="F1830" s="26"/>
      <c r="G1830" s="26"/>
      <c r="H1830" s="26"/>
      <c r="I1830" s="26"/>
      <c r="J1830" s="26"/>
      <c r="K1830" s="19"/>
      <c r="L1830" s="26"/>
      <c r="M1830" s="19"/>
      <c r="N1830" s="26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19"/>
      <c r="B1831" s="99"/>
      <c r="C1831" s="26"/>
      <c r="D1831" s="19"/>
      <c r="E1831" s="26"/>
      <c r="F1831" s="26"/>
      <c r="G1831" s="26"/>
      <c r="H1831" s="26"/>
      <c r="I1831" s="26"/>
      <c r="J1831" s="26"/>
      <c r="K1831" s="19"/>
      <c r="L1831" s="26"/>
      <c r="M1831" s="19"/>
      <c r="N1831" s="26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19"/>
      <c r="B1832" s="99"/>
      <c r="C1832" s="26"/>
      <c r="D1832" s="19"/>
      <c r="E1832" s="26"/>
      <c r="F1832" s="26"/>
      <c r="G1832" s="26"/>
      <c r="H1832" s="26"/>
      <c r="I1832" s="26"/>
      <c r="J1832" s="26"/>
      <c r="K1832" s="19"/>
      <c r="L1832" s="26"/>
      <c r="M1832" s="19"/>
      <c r="N1832" s="26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19"/>
      <c r="B1833" s="99"/>
      <c r="C1833" s="26"/>
      <c r="D1833" s="19"/>
      <c r="E1833" s="26"/>
      <c r="F1833" s="26"/>
      <c r="G1833" s="26"/>
      <c r="H1833" s="26"/>
      <c r="I1833" s="26"/>
      <c r="J1833" s="26"/>
      <c r="K1833" s="19"/>
      <c r="L1833" s="26"/>
      <c r="M1833" s="19"/>
      <c r="N1833" s="26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19"/>
      <c r="B1834" s="99"/>
      <c r="C1834" s="26"/>
      <c r="D1834" s="19"/>
      <c r="E1834" s="26"/>
      <c r="F1834" s="26"/>
      <c r="G1834" s="26"/>
      <c r="H1834" s="26"/>
      <c r="I1834" s="26"/>
      <c r="J1834" s="26"/>
      <c r="K1834" s="19"/>
      <c r="L1834" s="26"/>
      <c r="M1834" s="19"/>
      <c r="N1834" s="26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19"/>
      <c r="B1835" s="99"/>
      <c r="C1835" s="26"/>
      <c r="D1835" s="19"/>
      <c r="E1835" s="26"/>
      <c r="F1835" s="26"/>
      <c r="G1835" s="26"/>
      <c r="H1835" s="26"/>
      <c r="I1835" s="26"/>
      <c r="J1835" s="26"/>
      <c r="K1835" s="19"/>
      <c r="L1835" s="26"/>
      <c r="M1835" s="19"/>
      <c r="N1835" s="26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19"/>
      <c r="B1836" s="99"/>
      <c r="C1836" s="26"/>
      <c r="D1836" s="19"/>
      <c r="E1836" s="26"/>
      <c r="F1836" s="26"/>
      <c r="G1836" s="26"/>
      <c r="H1836" s="26"/>
      <c r="I1836" s="26"/>
      <c r="J1836" s="26"/>
      <c r="K1836" s="19"/>
      <c r="L1836" s="26"/>
      <c r="M1836" s="19"/>
      <c r="N1836" s="26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19"/>
      <c r="B1837" s="99"/>
      <c r="C1837" s="26"/>
      <c r="D1837" s="19"/>
      <c r="E1837" s="26"/>
      <c r="F1837" s="26"/>
      <c r="G1837" s="26"/>
      <c r="H1837" s="26"/>
      <c r="I1837" s="26"/>
      <c r="J1837" s="26"/>
      <c r="K1837" s="19"/>
      <c r="L1837" s="26"/>
      <c r="M1837" s="19"/>
      <c r="N1837" s="26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19"/>
      <c r="B1838" s="99"/>
      <c r="C1838" s="26"/>
      <c r="D1838" s="19"/>
      <c r="E1838" s="26"/>
      <c r="F1838" s="26"/>
      <c r="G1838" s="26"/>
      <c r="H1838" s="26"/>
      <c r="I1838" s="26"/>
      <c r="J1838" s="26"/>
      <c r="K1838" s="19"/>
      <c r="L1838" s="26"/>
      <c r="M1838" s="19"/>
      <c r="N1838" s="26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19"/>
      <c r="B1839" s="99"/>
      <c r="C1839" s="26"/>
      <c r="D1839" s="19"/>
      <c r="E1839" s="26"/>
      <c r="F1839" s="26"/>
      <c r="G1839" s="26"/>
      <c r="H1839" s="26"/>
      <c r="I1839" s="26"/>
      <c r="J1839" s="26"/>
      <c r="K1839" s="19"/>
      <c r="L1839" s="26"/>
      <c r="M1839" s="19"/>
      <c r="N1839" s="26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19"/>
      <c r="B1840" s="99"/>
      <c r="C1840" s="26"/>
      <c r="D1840" s="19"/>
      <c r="E1840" s="26"/>
      <c r="F1840" s="26"/>
      <c r="G1840" s="26"/>
      <c r="H1840" s="26"/>
      <c r="I1840" s="26"/>
      <c r="J1840" s="26"/>
      <c r="K1840" s="19"/>
      <c r="L1840" s="26"/>
      <c r="M1840" s="19"/>
      <c r="N1840" s="26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19"/>
      <c r="B1841" s="99"/>
      <c r="C1841" s="26"/>
      <c r="D1841" s="19"/>
      <c r="E1841" s="26"/>
      <c r="F1841" s="26"/>
      <c r="G1841" s="26"/>
      <c r="H1841" s="26"/>
      <c r="I1841" s="26"/>
      <c r="J1841" s="26"/>
      <c r="K1841" s="19"/>
      <c r="L1841" s="26"/>
      <c r="M1841" s="19"/>
      <c r="N1841" s="26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19"/>
      <c r="B1842" s="99"/>
      <c r="C1842" s="26"/>
      <c r="D1842" s="19"/>
      <c r="E1842" s="26"/>
      <c r="F1842" s="26"/>
      <c r="G1842" s="26"/>
      <c r="H1842" s="26"/>
      <c r="I1842" s="26"/>
      <c r="J1842" s="26"/>
      <c r="K1842" s="19"/>
      <c r="L1842" s="26"/>
      <c r="M1842" s="19"/>
      <c r="N1842" s="26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19"/>
      <c r="B1843" s="99"/>
      <c r="C1843" s="26"/>
      <c r="D1843" s="19"/>
      <c r="E1843" s="26"/>
      <c r="F1843" s="26"/>
      <c r="G1843" s="26"/>
      <c r="H1843" s="26"/>
      <c r="I1843" s="26"/>
      <c r="J1843" s="26"/>
      <c r="K1843" s="19"/>
      <c r="L1843" s="26"/>
      <c r="M1843" s="19"/>
      <c r="N1843" s="26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19"/>
      <c r="B1844" s="99"/>
      <c r="C1844" s="26"/>
      <c r="D1844" s="19"/>
      <c r="E1844" s="26"/>
      <c r="F1844" s="26"/>
      <c r="G1844" s="26"/>
      <c r="H1844" s="26"/>
      <c r="I1844" s="26"/>
      <c r="J1844" s="26"/>
      <c r="K1844" s="19"/>
      <c r="L1844" s="26"/>
      <c r="M1844" s="19"/>
      <c r="N1844" s="26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19"/>
      <c r="B1845" s="99"/>
      <c r="C1845" s="26"/>
      <c r="D1845" s="19"/>
      <c r="E1845" s="26"/>
      <c r="F1845" s="26"/>
      <c r="G1845" s="26"/>
      <c r="H1845" s="26"/>
      <c r="I1845" s="26"/>
      <c r="J1845" s="26"/>
      <c r="K1845" s="19"/>
      <c r="L1845" s="26"/>
      <c r="M1845" s="19"/>
      <c r="N1845" s="26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19"/>
      <c r="B1846" s="99"/>
      <c r="C1846" s="26"/>
      <c r="D1846" s="19"/>
      <c r="E1846" s="26"/>
      <c r="F1846" s="26"/>
      <c r="G1846" s="26"/>
      <c r="H1846" s="26"/>
      <c r="I1846" s="26"/>
      <c r="J1846" s="26"/>
      <c r="K1846" s="19"/>
      <c r="L1846" s="26"/>
      <c r="M1846" s="19"/>
      <c r="N1846" s="26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19"/>
      <c r="B1847" s="99"/>
      <c r="C1847" s="26"/>
      <c r="D1847" s="19"/>
      <c r="E1847" s="26"/>
      <c r="F1847" s="26"/>
      <c r="G1847" s="26"/>
      <c r="H1847" s="26"/>
      <c r="I1847" s="26"/>
      <c r="J1847" s="26"/>
      <c r="K1847" s="19"/>
      <c r="L1847" s="26"/>
      <c r="M1847" s="19"/>
      <c r="N1847" s="26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19"/>
      <c r="B1848" s="99"/>
      <c r="C1848" s="26"/>
      <c r="D1848" s="19"/>
      <c r="E1848" s="26"/>
      <c r="F1848" s="26"/>
      <c r="G1848" s="26"/>
      <c r="H1848" s="26"/>
      <c r="I1848" s="26"/>
      <c r="J1848" s="26"/>
      <c r="K1848" s="19"/>
      <c r="L1848" s="26"/>
      <c r="M1848" s="19"/>
      <c r="N1848" s="26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19"/>
      <c r="B1849" s="99"/>
      <c r="C1849" s="26"/>
      <c r="D1849" s="19"/>
      <c r="E1849" s="26"/>
      <c r="F1849" s="26"/>
      <c r="G1849" s="26"/>
      <c r="H1849" s="26"/>
      <c r="I1849" s="26"/>
      <c r="J1849" s="26"/>
      <c r="K1849" s="19"/>
      <c r="L1849" s="26"/>
      <c r="M1849" s="19"/>
      <c r="N1849" s="26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19"/>
      <c r="B1850" s="99"/>
      <c r="C1850" s="26"/>
      <c r="D1850" s="19"/>
      <c r="E1850" s="26"/>
      <c r="F1850" s="26"/>
      <c r="G1850" s="26"/>
      <c r="H1850" s="26"/>
      <c r="I1850" s="26"/>
      <c r="J1850" s="26"/>
      <c r="K1850" s="19"/>
      <c r="L1850" s="26"/>
      <c r="M1850" s="19"/>
      <c r="N1850" s="26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19"/>
      <c r="B1851" s="99"/>
      <c r="C1851" s="26"/>
      <c r="D1851" s="19"/>
      <c r="E1851" s="26"/>
      <c r="F1851" s="26"/>
      <c r="G1851" s="26"/>
      <c r="H1851" s="26"/>
      <c r="I1851" s="26"/>
      <c r="J1851" s="26"/>
      <c r="K1851" s="19"/>
      <c r="L1851" s="26"/>
      <c r="M1851" s="19"/>
      <c r="N1851" s="26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19"/>
      <c r="B1852" s="99"/>
      <c r="C1852" s="26"/>
      <c r="D1852" s="19"/>
      <c r="E1852" s="26"/>
      <c r="F1852" s="26"/>
      <c r="G1852" s="26"/>
      <c r="H1852" s="26"/>
      <c r="I1852" s="26"/>
      <c r="J1852" s="26"/>
      <c r="K1852" s="19"/>
      <c r="L1852" s="26"/>
      <c r="M1852" s="19"/>
      <c r="N1852" s="26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19"/>
      <c r="B1853" s="99"/>
      <c r="C1853" s="26"/>
      <c r="D1853" s="19"/>
      <c r="E1853" s="26"/>
      <c r="F1853" s="26"/>
      <c r="G1853" s="26"/>
      <c r="H1853" s="26"/>
      <c r="I1853" s="26"/>
      <c r="J1853" s="26"/>
      <c r="K1853" s="19"/>
      <c r="L1853" s="26"/>
      <c r="M1853" s="19"/>
      <c r="N1853" s="26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19"/>
      <c r="B1854" s="99"/>
      <c r="C1854" s="26"/>
      <c r="D1854" s="19"/>
      <c r="E1854" s="26"/>
      <c r="F1854" s="26"/>
      <c r="G1854" s="26"/>
      <c r="H1854" s="26"/>
      <c r="I1854" s="26"/>
      <c r="J1854" s="26"/>
      <c r="K1854" s="19"/>
      <c r="L1854" s="26"/>
      <c r="M1854" s="19"/>
      <c r="N1854" s="26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19"/>
      <c r="B1855" s="99"/>
      <c r="C1855" s="26"/>
      <c r="D1855" s="19"/>
      <c r="E1855" s="26"/>
      <c r="F1855" s="26"/>
      <c r="G1855" s="26"/>
      <c r="H1855" s="26"/>
      <c r="I1855" s="26"/>
      <c r="J1855" s="26"/>
      <c r="K1855" s="19"/>
      <c r="L1855" s="26"/>
      <c r="M1855" s="19"/>
      <c r="N1855" s="26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19"/>
      <c r="B1856" s="99"/>
      <c r="C1856" s="26"/>
      <c r="D1856" s="19"/>
      <c r="E1856" s="26"/>
      <c r="F1856" s="26"/>
      <c r="G1856" s="26"/>
      <c r="H1856" s="26"/>
      <c r="I1856" s="26"/>
      <c r="J1856" s="26"/>
      <c r="K1856" s="19"/>
      <c r="L1856" s="26"/>
      <c r="M1856" s="19"/>
      <c r="N1856" s="26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19"/>
      <c r="B1857" s="99"/>
      <c r="C1857" s="26"/>
      <c r="D1857" s="19"/>
      <c r="E1857" s="26"/>
      <c r="F1857" s="26"/>
      <c r="G1857" s="26"/>
      <c r="H1857" s="26"/>
      <c r="I1857" s="26"/>
      <c r="J1857" s="26"/>
      <c r="K1857" s="19"/>
      <c r="L1857" s="26"/>
      <c r="M1857" s="19"/>
      <c r="N1857" s="26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19"/>
      <c r="B1858" s="99"/>
      <c r="C1858" s="26"/>
      <c r="D1858" s="19"/>
      <c r="E1858" s="26"/>
      <c r="F1858" s="26"/>
      <c r="G1858" s="26"/>
      <c r="H1858" s="26"/>
      <c r="I1858" s="26"/>
      <c r="J1858" s="26"/>
      <c r="K1858" s="19"/>
      <c r="L1858" s="26"/>
      <c r="M1858" s="19"/>
      <c r="N1858" s="26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19"/>
      <c r="B1859" s="99"/>
      <c r="C1859" s="26"/>
      <c r="D1859" s="19"/>
      <c r="E1859" s="26"/>
      <c r="F1859" s="26"/>
      <c r="G1859" s="26"/>
      <c r="H1859" s="26"/>
      <c r="I1859" s="26"/>
      <c r="J1859" s="26"/>
      <c r="K1859" s="19"/>
      <c r="L1859" s="26"/>
      <c r="M1859" s="19"/>
      <c r="N1859" s="26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19"/>
      <c r="B1860" s="99"/>
      <c r="C1860" s="26"/>
      <c r="D1860" s="19"/>
      <c r="E1860" s="26"/>
      <c r="F1860" s="26"/>
      <c r="G1860" s="26"/>
      <c r="H1860" s="26"/>
      <c r="I1860" s="26"/>
      <c r="J1860" s="26"/>
      <c r="K1860" s="19"/>
      <c r="L1860" s="26"/>
      <c r="M1860" s="19"/>
      <c r="N1860" s="26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19"/>
      <c r="B1861" s="99"/>
      <c r="C1861" s="26"/>
      <c r="D1861" s="19"/>
      <c r="E1861" s="26"/>
      <c r="F1861" s="26"/>
      <c r="G1861" s="26"/>
      <c r="H1861" s="26"/>
      <c r="I1861" s="26"/>
      <c r="J1861" s="26"/>
      <c r="K1861" s="19"/>
      <c r="L1861" s="26"/>
      <c r="M1861" s="19"/>
      <c r="N1861" s="26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19"/>
      <c r="B1862" s="99"/>
      <c r="C1862" s="26"/>
      <c r="D1862" s="19"/>
      <c r="E1862" s="26"/>
      <c r="F1862" s="26"/>
      <c r="G1862" s="26"/>
      <c r="H1862" s="26"/>
      <c r="I1862" s="26"/>
      <c r="J1862" s="26"/>
      <c r="K1862" s="19"/>
      <c r="L1862" s="26"/>
      <c r="M1862" s="19"/>
      <c r="N1862" s="26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19"/>
      <c r="B1863" s="99"/>
      <c r="C1863" s="26"/>
      <c r="D1863" s="19"/>
      <c r="E1863" s="26"/>
      <c r="F1863" s="26"/>
      <c r="G1863" s="26"/>
      <c r="H1863" s="26"/>
      <c r="I1863" s="26"/>
      <c r="J1863" s="26"/>
      <c r="K1863" s="19"/>
      <c r="L1863" s="26"/>
      <c r="M1863" s="19"/>
      <c r="N1863" s="26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19"/>
      <c r="B1864" s="99"/>
      <c r="C1864" s="26"/>
      <c r="D1864" s="19"/>
      <c r="E1864" s="26"/>
      <c r="F1864" s="26"/>
      <c r="G1864" s="26"/>
      <c r="H1864" s="26"/>
      <c r="I1864" s="26"/>
      <c r="J1864" s="26"/>
      <c r="K1864" s="19"/>
      <c r="L1864" s="26"/>
      <c r="M1864" s="19"/>
      <c r="N1864" s="26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19"/>
      <c r="B1865" s="99"/>
      <c r="C1865" s="26"/>
      <c r="D1865" s="19"/>
      <c r="E1865" s="26"/>
      <c r="F1865" s="26"/>
      <c r="G1865" s="26"/>
      <c r="H1865" s="26"/>
      <c r="I1865" s="26"/>
      <c r="J1865" s="26"/>
      <c r="K1865" s="19"/>
      <c r="L1865" s="26"/>
      <c r="M1865" s="19"/>
      <c r="N1865" s="26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19"/>
      <c r="B1866" s="99"/>
      <c r="C1866" s="26"/>
      <c r="D1866" s="19"/>
      <c r="E1866" s="26"/>
      <c r="F1866" s="26"/>
      <c r="G1866" s="26"/>
      <c r="H1866" s="26"/>
      <c r="I1866" s="26"/>
      <c r="J1866" s="26"/>
      <c r="K1866" s="19"/>
      <c r="L1866" s="26"/>
      <c r="M1866" s="19"/>
      <c r="N1866" s="26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19"/>
      <c r="B1867" s="99"/>
      <c r="C1867" s="26"/>
      <c r="D1867" s="19"/>
      <c r="E1867" s="26"/>
      <c r="F1867" s="26"/>
      <c r="G1867" s="26"/>
      <c r="H1867" s="26"/>
      <c r="I1867" s="26"/>
      <c r="J1867" s="26"/>
      <c r="K1867" s="19"/>
      <c r="L1867" s="26"/>
      <c r="M1867" s="19"/>
      <c r="N1867" s="26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19"/>
      <c r="B1868" s="99"/>
      <c r="C1868" s="26"/>
      <c r="D1868" s="19"/>
      <c r="E1868" s="26"/>
      <c r="F1868" s="26"/>
      <c r="G1868" s="26"/>
      <c r="H1868" s="26"/>
      <c r="I1868" s="26"/>
      <c r="J1868" s="26"/>
      <c r="K1868" s="19"/>
      <c r="L1868" s="26"/>
      <c r="M1868" s="19"/>
      <c r="N1868" s="26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19"/>
      <c r="B1869" s="99"/>
      <c r="C1869" s="26"/>
      <c r="D1869" s="19"/>
      <c r="E1869" s="26"/>
      <c r="F1869" s="26"/>
      <c r="G1869" s="26"/>
      <c r="H1869" s="26"/>
      <c r="I1869" s="26"/>
      <c r="J1869" s="26"/>
      <c r="K1869" s="19"/>
      <c r="L1869" s="26"/>
      <c r="M1869" s="19"/>
      <c r="N1869" s="26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19"/>
      <c r="B1870" s="99"/>
      <c r="C1870" s="26"/>
      <c r="D1870" s="19"/>
      <c r="E1870" s="26"/>
      <c r="F1870" s="26"/>
      <c r="G1870" s="26"/>
      <c r="H1870" s="26"/>
      <c r="I1870" s="26"/>
      <c r="J1870" s="26"/>
      <c r="K1870" s="19"/>
      <c r="L1870" s="26"/>
      <c r="M1870" s="19"/>
      <c r="N1870" s="26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19"/>
      <c r="B1871" s="99"/>
      <c r="C1871" s="26"/>
      <c r="D1871" s="19"/>
      <c r="E1871" s="26"/>
      <c r="F1871" s="26"/>
      <c r="G1871" s="26"/>
      <c r="H1871" s="26"/>
      <c r="I1871" s="26"/>
      <c r="J1871" s="26"/>
      <c r="K1871" s="19"/>
      <c r="L1871" s="26"/>
      <c r="M1871" s="19"/>
      <c r="N1871" s="26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19"/>
      <c r="B1872" s="99"/>
      <c r="C1872" s="26"/>
      <c r="D1872" s="19"/>
      <c r="E1872" s="26"/>
      <c r="F1872" s="26"/>
      <c r="G1872" s="26"/>
      <c r="H1872" s="26"/>
      <c r="I1872" s="26"/>
      <c r="J1872" s="26"/>
      <c r="K1872" s="19"/>
      <c r="L1872" s="26"/>
      <c r="M1872" s="19"/>
      <c r="N1872" s="26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19"/>
      <c r="B1873" s="99"/>
      <c r="C1873" s="26"/>
      <c r="D1873" s="19"/>
      <c r="E1873" s="26"/>
      <c r="F1873" s="26"/>
      <c r="G1873" s="26"/>
      <c r="H1873" s="26"/>
      <c r="I1873" s="26"/>
      <c r="J1873" s="26"/>
      <c r="K1873" s="19"/>
      <c r="L1873" s="26"/>
      <c r="M1873" s="19"/>
      <c r="N1873" s="26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19"/>
      <c r="B1874" s="99"/>
      <c r="C1874" s="26"/>
      <c r="D1874" s="19"/>
      <c r="E1874" s="26"/>
      <c r="F1874" s="26"/>
      <c r="G1874" s="26"/>
      <c r="H1874" s="26"/>
      <c r="I1874" s="26"/>
      <c r="J1874" s="26"/>
      <c r="K1874" s="19"/>
      <c r="L1874" s="26"/>
      <c r="M1874" s="19"/>
      <c r="N1874" s="26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19"/>
      <c r="B1875" s="99"/>
      <c r="C1875" s="26"/>
      <c r="D1875" s="19"/>
      <c r="E1875" s="26"/>
      <c r="F1875" s="26"/>
      <c r="G1875" s="26"/>
      <c r="H1875" s="26"/>
      <c r="I1875" s="26"/>
      <c r="J1875" s="26"/>
      <c r="K1875" s="19"/>
      <c r="L1875" s="26"/>
      <c r="M1875" s="19"/>
      <c r="N1875" s="26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19"/>
      <c r="B1876" s="99"/>
      <c r="C1876" s="26"/>
      <c r="D1876" s="19"/>
      <c r="E1876" s="26"/>
      <c r="F1876" s="26"/>
      <c r="G1876" s="26"/>
      <c r="H1876" s="26"/>
      <c r="I1876" s="26"/>
      <c r="J1876" s="26"/>
      <c r="K1876" s="19"/>
      <c r="L1876" s="26"/>
      <c r="M1876" s="19"/>
      <c r="N1876" s="26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19"/>
      <c r="B1877" s="99"/>
      <c r="C1877" s="26"/>
      <c r="D1877" s="19"/>
      <c r="E1877" s="26"/>
      <c r="F1877" s="26"/>
      <c r="G1877" s="26"/>
      <c r="H1877" s="26"/>
      <c r="I1877" s="26"/>
      <c r="J1877" s="26"/>
      <c r="K1877" s="19"/>
      <c r="L1877" s="26"/>
      <c r="M1877" s="19"/>
      <c r="N1877" s="26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19"/>
      <c r="B1878" s="99"/>
      <c r="C1878" s="26"/>
      <c r="D1878" s="19"/>
      <c r="E1878" s="26"/>
      <c r="F1878" s="26"/>
      <c r="G1878" s="26"/>
      <c r="H1878" s="26"/>
      <c r="I1878" s="26"/>
      <c r="J1878" s="26"/>
      <c r="K1878" s="19"/>
      <c r="L1878" s="26"/>
      <c r="M1878" s="19"/>
      <c r="N1878" s="26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19"/>
      <c r="B1879" s="99"/>
      <c r="C1879" s="26"/>
      <c r="D1879" s="19"/>
      <c r="E1879" s="26"/>
      <c r="F1879" s="26"/>
      <c r="G1879" s="26"/>
      <c r="H1879" s="26"/>
      <c r="I1879" s="26"/>
      <c r="J1879" s="26"/>
      <c r="K1879" s="19"/>
      <c r="L1879" s="26"/>
      <c r="M1879" s="19"/>
      <c r="N1879" s="26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19"/>
      <c r="B1880" s="99"/>
      <c r="C1880" s="26"/>
      <c r="D1880" s="19"/>
      <c r="E1880" s="26"/>
      <c r="F1880" s="26"/>
      <c r="G1880" s="26"/>
      <c r="H1880" s="26"/>
      <c r="I1880" s="26"/>
      <c r="J1880" s="26"/>
      <c r="K1880" s="19"/>
      <c r="L1880" s="26"/>
      <c r="M1880" s="19"/>
      <c r="N1880" s="26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19"/>
      <c r="B1881" s="99"/>
      <c r="C1881" s="26"/>
      <c r="D1881" s="19"/>
      <c r="E1881" s="26"/>
      <c r="F1881" s="26"/>
      <c r="G1881" s="26"/>
      <c r="H1881" s="26"/>
      <c r="I1881" s="26"/>
      <c r="J1881" s="26"/>
      <c r="K1881" s="19"/>
      <c r="L1881" s="26"/>
      <c r="M1881" s="19"/>
      <c r="N1881" s="26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19"/>
      <c r="B1882" s="99"/>
      <c r="C1882" s="26"/>
      <c r="D1882" s="19"/>
      <c r="E1882" s="26"/>
      <c r="F1882" s="26"/>
      <c r="G1882" s="26"/>
      <c r="H1882" s="26"/>
      <c r="I1882" s="26"/>
      <c r="J1882" s="26"/>
      <c r="K1882" s="19"/>
      <c r="L1882" s="26"/>
      <c r="M1882" s="19"/>
      <c r="N1882" s="26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19"/>
      <c r="B1883" s="99"/>
      <c r="C1883" s="26"/>
      <c r="D1883" s="19"/>
      <c r="E1883" s="26"/>
      <c r="F1883" s="26"/>
      <c r="G1883" s="26"/>
      <c r="H1883" s="26"/>
      <c r="I1883" s="26"/>
      <c r="J1883" s="26"/>
      <c r="K1883" s="19"/>
      <c r="L1883" s="26"/>
      <c r="M1883" s="19"/>
      <c r="N1883" s="26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19"/>
      <c r="B1884" s="99"/>
      <c r="C1884" s="26"/>
      <c r="D1884" s="19"/>
      <c r="E1884" s="26"/>
      <c r="F1884" s="26"/>
      <c r="G1884" s="26"/>
      <c r="H1884" s="26"/>
      <c r="I1884" s="26"/>
      <c r="J1884" s="26"/>
      <c r="K1884" s="19"/>
      <c r="L1884" s="26"/>
      <c r="M1884" s="19"/>
      <c r="N1884" s="26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19"/>
      <c r="B1885" s="99"/>
      <c r="C1885" s="26"/>
      <c r="D1885" s="19"/>
      <c r="E1885" s="26"/>
      <c r="F1885" s="26"/>
      <c r="G1885" s="26"/>
      <c r="H1885" s="26"/>
      <c r="I1885" s="26"/>
      <c r="J1885" s="26"/>
      <c r="K1885" s="19"/>
      <c r="L1885" s="26"/>
      <c r="M1885" s="19"/>
      <c r="N1885" s="26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19"/>
      <c r="B1886" s="99"/>
      <c r="C1886" s="26"/>
      <c r="D1886" s="19"/>
      <c r="E1886" s="26"/>
      <c r="F1886" s="26"/>
      <c r="G1886" s="26"/>
      <c r="H1886" s="26"/>
      <c r="I1886" s="26"/>
      <c r="J1886" s="26"/>
      <c r="K1886" s="19"/>
      <c r="L1886" s="26"/>
      <c r="M1886" s="19"/>
      <c r="N1886" s="26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19"/>
      <c r="B1887" s="99"/>
      <c r="C1887" s="26"/>
      <c r="D1887" s="19"/>
      <c r="E1887" s="26"/>
      <c r="F1887" s="26"/>
      <c r="G1887" s="26"/>
      <c r="H1887" s="26"/>
      <c r="I1887" s="26"/>
      <c r="J1887" s="26"/>
      <c r="K1887" s="19"/>
      <c r="L1887" s="26"/>
      <c r="M1887" s="19"/>
      <c r="N1887" s="26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19"/>
      <c r="B1888" s="99"/>
      <c r="C1888" s="26"/>
      <c r="D1888" s="19"/>
      <c r="E1888" s="26"/>
      <c r="F1888" s="26"/>
      <c r="G1888" s="26"/>
      <c r="H1888" s="26"/>
      <c r="I1888" s="26"/>
      <c r="J1888" s="26"/>
      <c r="K1888" s="19"/>
      <c r="L1888" s="26"/>
      <c r="M1888" s="19"/>
      <c r="N1888" s="26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19"/>
      <c r="B1889" s="99"/>
      <c r="C1889" s="26"/>
      <c r="D1889" s="19"/>
      <c r="E1889" s="26"/>
      <c r="F1889" s="26"/>
      <c r="G1889" s="26"/>
      <c r="H1889" s="26"/>
      <c r="I1889" s="26"/>
      <c r="J1889" s="26"/>
      <c r="K1889" s="19"/>
      <c r="L1889" s="26"/>
      <c r="M1889" s="19"/>
      <c r="N1889" s="26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19"/>
      <c r="B1890" s="99"/>
      <c r="C1890" s="26"/>
      <c r="D1890" s="19"/>
      <c r="E1890" s="26"/>
      <c r="F1890" s="26"/>
      <c r="G1890" s="26"/>
      <c r="H1890" s="26"/>
      <c r="I1890" s="26"/>
      <c r="J1890" s="26"/>
      <c r="K1890" s="19"/>
      <c r="L1890" s="26"/>
      <c r="M1890" s="19"/>
      <c r="N1890" s="26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19"/>
      <c r="B1891" s="99"/>
      <c r="C1891" s="26"/>
      <c r="D1891" s="19"/>
      <c r="E1891" s="26"/>
      <c r="F1891" s="26"/>
      <c r="G1891" s="26"/>
      <c r="H1891" s="26"/>
      <c r="I1891" s="26"/>
      <c r="J1891" s="26"/>
      <c r="K1891" s="19"/>
      <c r="L1891" s="26"/>
      <c r="M1891" s="19"/>
      <c r="N1891" s="26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19"/>
      <c r="B1892" s="99"/>
      <c r="C1892" s="26"/>
      <c r="D1892" s="19"/>
      <c r="E1892" s="26"/>
      <c r="F1892" s="26"/>
      <c r="G1892" s="26"/>
      <c r="H1892" s="26"/>
      <c r="I1892" s="26"/>
      <c r="J1892" s="26"/>
      <c r="K1892" s="19"/>
      <c r="L1892" s="26"/>
      <c r="M1892" s="19"/>
      <c r="N1892" s="26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19"/>
      <c r="B1893" s="99"/>
      <c r="C1893" s="26"/>
      <c r="D1893" s="19"/>
      <c r="E1893" s="26"/>
      <c r="F1893" s="26"/>
      <c r="G1893" s="26"/>
      <c r="H1893" s="26"/>
      <c r="I1893" s="26"/>
      <c r="J1893" s="26"/>
      <c r="K1893" s="19"/>
      <c r="L1893" s="26"/>
      <c r="M1893" s="19"/>
      <c r="N1893" s="26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19"/>
      <c r="B1894" s="99"/>
      <c r="C1894" s="26"/>
      <c r="D1894" s="19"/>
      <c r="E1894" s="26"/>
      <c r="F1894" s="26"/>
      <c r="G1894" s="26"/>
      <c r="H1894" s="26"/>
      <c r="I1894" s="26"/>
      <c r="J1894" s="26"/>
      <c r="K1894" s="19"/>
      <c r="L1894" s="26"/>
      <c r="M1894" s="19"/>
      <c r="N1894" s="26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19"/>
      <c r="B1895" s="99"/>
      <c r="C1895" s="26"/>
      <c r="D1895" s="19"/>
      <c r="E1895" s="26"/>
      <c r="F1895" s="26"/>
      <c r="G1895" s="26"/>
      <c r="H1895" s="26"/>
      <c r="I1895" s="26"/>
      <c r="J1895" s="26"/>
      <c r="K1895" s="19"/>
      <c r="L1895" s="26"/>
      <c r="M1895" s="19"/>
      <c r="N1895" s="26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19"/>
      <c r="B1896" s="99"/>
      <c r="C1896" s="26"/>
      <c r="D1896" s="19"/>
      <c r="E1896" s="26"/>
      <c r="F1896" s="26"/>
      <c r="G1896" s="26"/>
      <c r="H1896" s="26"/>
      <c r="I1896" s="26"/>
      <c r="J1896" s="26"/>
      <c r="K1896" s="19"/>
      <c r="L1896" s="26"/>
      <c r="M1896" s="19"/>
      <c r="N1896" s="26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19"/>
      <c r="B1897" s="99"/>
      <c r="C1897" s="26"/>
      <c r="D1897" s="19"/>
      <c r="E1897" s="26"/>
      <c r="F1897" s="26"/>
      <c r="G1897" s="26"/>
      <c r="H1897" s="26"/>
      <c r="I1897" s="26"/>
      <c r="J1897" s="26"/>
      <c r="K1897" s="19"/>
      <c r="L1897" s="26"/>
      <c r="M1897" s="19"/>
      <c r="N1897" s="26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19"/>
      <c r="B1898" s="99"/>
      <c r="C1898" s="26"/>
      <c r="D1898" s="19"/>
      <c r="E1898" s="26"/>
      <c r="F1898" s="26"/>
      <c r="G1898" s="26"/>
      <c r="H1898" s="26"/>
      <c r="I1898" s="26"/>
      <c r="J1898" s="26"/>
      <c r="K1898" s="19"/>
      <c r="L1898" s="26"/>
      <c r="M1898" s="19"/>
      <c r="N1898" s="26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19"/>
      <c r="B1899" s="99"/>
      <c r="C1899" s="26"/>
      <c r="D1899" s="19"/>
      <c r="E1899" s="26"/>
      <c r="F1899" s="26"/>
      <c r="G1899" s="26"/>
      <c r="H1899" s="26"/>
      <c r="I1899" s="26"/>
      <c r="J1899" s="26"/>
      <c r="K1899" s="19"/>
      <c r="L1899" s="26"/>
      <c r="M1899" s="19"/>
      <c r="N1899" s="26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19"/>
      <c r="B1900" s="99"/>
      <c r="C1900" s="26"/>
      <c r="D1900" s="19"/>
      <c r="E1900" s="26"/>
      <c r="F1900" s="26"/>
      <c r="G1900" s="26"/>
      <c r="H1900" s="26"/>
      <c r="I1900" s="26"/>
      <c r="J1900" s="26"/>
      <c r="K1900" s="19"/>
      <c r="L1900" s="26"/>
      <c r="M1900" s="19"/>
      <c r="N1900" s="26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19"/>
      <c r="B1901" s="99"/>
      <c r="C1901" s="26"/>
      <c r="D1901" s="19"/>
      <c r="E1901" s="26"/>
      <c r="F1901" s="26"/>
      <c r="G1901" s="26"/>
      <c r="H1901" s="26"/>
      <c r="I1901" s="26"/>
      <c r="J1901" s="26"/>
      <c r="K1901" s="19"/>
      <c r="L1901" s="26"/>
      <c r="M1901" s="19"/>
      <c r="N1901" s="26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19"/>
      <c r="B1902" s="99"/>
      <c r="C1902" s="26"/>
      <c r="D1902" s="19"/>
      <c r="E1902" s="26"/>
      <c r="F1902" s="26"/>
      <c r="G1902" s="26"/>
      <c r="H1902" s="26"/>
      <c r="I1902" s="26"/>
      <c r="J1902" s="26"/>
      <c r="K1902" s="19"/>
      <c r="L1902" s="26"/>
      <c r="M1902" s="19"/>
      <c r="N1902" s="26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19"/>
      <c r="B1903" s="99"/>
      <c r="C1903" s="26"/>
      <c r="D1903" s="19"/>
      <c r="E1903" s="26"/>
      <c r="F1903" s="26"/>
      <c r="G1903" s="26"/>
      <c r="H1903" s="26"/>
      <c r="I1903" s="26"/>
      <c r="J1903" s="26"/>
      <c r="K1903" s="19"/>
      <c r="L1903" s="26"/>
      <c r="M1903" s="19"/>
      <c r="N1903" s="26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19"/>
      <c r="B1904" s="99"/>
      <c r="C1904" s="26"/>
      <c r="D1904" s="19"/>
      <c r="E1904" s="26"/>
      <c r="F1904" s="26"/>
      <c r="G1904" s="26"/>
      <c r="H1904" s="26"/>
      <c r="I1904" s="26"/>
      <c r="J1904" s="26"/>
      <c r="K1904" s="19"/>
      <c r="L1904" s="26"/>
      <c r="M1904" s="19"/>
      <c r="N1904" s="26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19"/>
      <c r="B1905" s="99"/>
      <c r="C1905" s="26"/>
      <c r="D1905" s="19"/>
      <c r="E1905" s="26"/>
      <c r="F1905" s="26"/>
      <c r="G1905" s="26"/>
      <c r="H1905" s="26"/>
      <c r="I1905" s="26"/>
      <c r="J1905" s="26"/>
      <c r="K1905" s="19"/>
      <c r="L1905" s="26"/>
      <c r="M1905" s="19"/>
      <c r="N1905" s="26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19"/>
      <c r="B1906" s="99"/>
      <c r="C1906" s="26"/>
      <c r="D1906" s="19"/>
      <c r="E1906" s="26"/>
      <c r="F1906" s="26"/>
      <c r="G1906" s="26"/>
      <c r="H1906" s="26"/>
      <c r="I1906" s="26"/>
      <c r="J1906" s="26"/>
      <c r="K1906" s="19"/>
      <c r="L1906" s="26"/>
      <c r="M1906" s="19"/>
      <c r="N1906" s="26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19"/>
      <c r="B1907" s="99"/>
      <c r="C1907" s="26"/>
      <c r="D1907" s="19"/>
      <c r="E1907" s="26"/>
      <c r="F1907" s="26"/>
      <c r="G1907" s="26"/>
      <c r="H1907" s="26"/>
      <c r="I1907" s="26"/>
      <c r="J1907" s="26"/>
      <c r="K1907" s="19"/>
      <c r="L1907" s="26"/>
      <c r="M1907" s="19"/>
      <c r="N1907" s="26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19"/>
      <c r="B1908" s="99"/>
      <c r="C1908" s="26"/>
      <c r="D1908" s="19"/>
      <c r="E1908" s="26"/>
      <c r="F1908" s="26"/>
      <c r="G1908" s="26"/>
      <c r="H1908" s="26"/>
      <c r="I1908" s="26"/>
      <c r="J1908" s="26"/>
      <c r="K1908" s="19"/>
      <c r="L1908" s="26"/>
      <c r="M1908" s="19"/>
      <c r="N1908" s="26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19"/>
      <c r="B1909" s="99"/>
      <c r="C1909" s="26"/>
      <c r="D1909" s="19"/>
      <c r="E1909" s="26"/>
      <c r="F1909" s="26"/>
      <c r="G1909" s="26"/>
      <c r="H1909" s="26"/>
      <c r="I1909" s="26"/>
      <c r="J1909" s="26"/>
      <c r="K1909" s="19"/>
      <c r="L1909" s="26"/>
      <c r="M1909" s="19"/>
      <c r="N1909" s="26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19"/>
      <c r="B1910" s="99"/>
      <c r="C1910" s="26"/>
      <c r="D1910" s="19"/>
      <c r="E1910" s="26"/>
      <c r="F1910" s="26"/>
      <c r="G1910" s="26"/>
      <c r="H1910" s="26"/>
      <c r="I1910" s="26"/>
      <c r="J1910" s="26"/>
      <c r="K1910" s="19"/>
      <c r="L1910" s="26"/>
      <c r="M1910" s="19"/>
      <c r="N1910" s="26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19"/>
      <c r="B1911" s="99"/>
      <c r="C1911" s="26"/>
      <c r="D1911" s="19"/>
      <c r="E1911" s="26"/>
      <c r="F1911" s="26"/>
      <c r="G1911" s="26"/>
      <c r="H1911" s="26"/>
      <c r="I1911" s="26"/>
      <c r="J1911" s="26"/>
      <c r="K1911" s="19"/>
      <c r="L1911" s="26"/>
      <c r="M1911" s="19"/>
      <c r="N1911" s="26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19"/>
      <c r="B1912" s="99"/>
      <c r="C1912" s="26"/>
      <c r="D1912" s="19"/>
      <c r="E1912" s="26"/>
      <c r="F1912" s="26"/>
      <c r="G1912" s="26"/>
      <c r="H1912" s="26"/>
      <c r="I1912" s="26"/>
      <c r="J1912" s="26"/>
      <c r="K1912" s="19"/>
      <c r="L1912" s="26"/>
      <c r="M1912" s="19"/>
      <c r="N1912" s="26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19"/>
      <c r="B1913" s="99"/>
      <c r="C1913" s="26"/>
      <c r="D1913" s="19"/>
      <c r="E1913" s="26"/>
      <c r="F1913" s="26"/>
      <c r="G1913" s="26"/>
      <c r="H1913" s="26"/>
      <c r="I1913" s="26"/>
      <c r="J1913" s="26"/>
      <c r="K1913" s="19"/>
      <c r="L1913" s="26"/>
      <c r="M1913" s="19"/>
      <c r="N1913" s="26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19"/>
      <c r="B1914" s="99"/>
      <c r="C1914" s="26"/>
      <c r="D1914" s="19"/>
      <c r="E1914" s="26"/>
      <c r="F1914" s="26"/>
      <c r="G1914" s="26"/>
      <c r="H1914" s="26"/>
      <c r="I1914" s="26"/>
      <c r="J1914" s="26"/>
      <c r="K1914" s="19"/>
      <c r="L1914" s="26"/>
      <c r="M1914" s="19"/>
      <c r="N1914" s="26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19"/>
      <c r="B1915" s="99"/>
      <c r="C1915" s="26"/>
      <c r="D1915" s="19"/>
      <c r="E1915" s="26"/>
      <c r="F1915" s="26"/>
      <c r="G1915" s="26"/>
      <c r="H1915" s="26"/>
      <c r="I1915" s="26"/>
      <c r="J1915" s="26"/>
      <c r="K1915" s="19"/>
      <c r="L1915" s="26"/>
      <c r="M1915" s="19"/>
      <c r="N1915" s="26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19"/>
      <c r="B1916" s="99"/>
      <c r="C1916" s="26"/>
      <c r="D1916" s="19"/>
      <c r="E1916" s="26"/>
      <c r="F1916" s="26"/>
      <c r="G1916" s="26"/>
      <c r="H1916" s="26"/>
      <c r="I1916" s="26"/>
      <c r="J1916" s="26"/>
      <c r="K1916" s="19"/>
      <c r="L1916" s="26"/>
      <c r="M1916" s="19"/>
      <c r="N1916" s="26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19"/>
      <c r="B1917" s="99"/>
      <c r="C1917" s="26"/>
      <c r="D1917" s="19"/>
      <c r="E1917" s="26"/>
      <c r="F1917" s="26"/>
      <c r="G1917" s="26"/>
      <c r="H1917" s="26"/>
      <c r="I1917" s="26"/>
      <c r="J1917" s="26"/>
      <c r="K1917" s="19"/>
      <c r="L1917" s="26"/>
      <c r="M1917" s="19"/>
      <c r="N1917" s="26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19"/>
      <c r="B1918" s="99"/>
      <c r="C1918" s="26"/>
      <c r="D1918" s="19"/>
      <c r="E1918" s="26"/>
      <c r="F1918" s="26"/>
      <c r="G1918" s="26"/>
      <c r="H1918" s="26"/>
      <c r="I1918" s="26"/>
      <c r="J1918" s="26"/>
      <c r="K1918" s="19"/>
      <c r="L1918" s="26"/>
      <c r="M1918" s="19"/>
      <c r="N1918" s="26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19"/>
      <c r="B1919" s="99"/>
      <c r="C1919" s="26"/>
      <c r="D1919" s="19"/>
      <c r="E1919" s="26"/>
      <c r="F1919" s="26"/>
      <c r="G1919" s="26"/>
      <c r="H1919" s="26"/>
      <c r="I1919" s="26"/>
      <c r="J1919" s="26"/>
      <c r="K1919" s="19"/>
      <c r="L1919" s="26"/>
      <c r="M1919" s="19"/>
      <c r="N1919" s="26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19"/>
      <c r="B1920" s="99"/>
      <c r="C1920" s="26"/>
      <c r="D1920" s="19"/>
      <c r="E1920" s="26"/>
      <c r="F1920" s="26"/>
      <c r="G1920" s="26"/>
      <c r="H1920" s="26"/>
      <c r="I1920" s="26"/>
      <c r="J1920" s="26"/>
      <c r="K1920" s="19"/>
      <c r="L1920" s="26"/>
      <c r="M1920" s="19"/>
      <c r="N1920" s="26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19"/>
      <c r="B1921" s="99"/>
      <c r="C1921" s="26"/>
      <c r="D1921" s="19"/>
      <c r="E1921" s="26"/>
      <c r="F1921" s="26"/>
      <c r="G1921" s="26"/>
      <c r="H1921" s="26"/>
      <c r="I1921" s="26"/>
      <c r="J1921" s="26"/>
      <c r="K1921" s="19"/>
      <c r="L1921" s="26"/>
      <c r="M1921" s="19"/>
      <c r="N1921" s="26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19"/>
      <c r="B1922" s="99"/>
      <c r="C1922" s="26"/>
      <c r="D1922" s="19"/>
      <c r="E1922" s="26"/>
      <c r="F1922" s="26"/>
      <c r="G1922" s="26"/>
      <c r="H1922" s="26"/>
      <c r="I1922" s="26"/>
      <c r="J1922" s="26"/>
      <c r="K1922" s="19"/>
      <c r="L1922" s="26"/>
      <c r="M1922" s="19"/>
      <c r="N1922" s="26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19"/>
      <c r="B1923" s="99"/>
      <c r="C1923" s="26"/>
      <c r="D1923" s="19"/>
      <c r="E1923" s="26"/>
      <c r="F1923" s="26"/>
      <c r="G1923" s="26"/>
      <c r="H1923" s="26"/>
      <c r="I1923" s="26"/>
      <c r="J1923" s="26"/>
      <c r="K1923" s="19"/>
      <c r="L1923" s="26"/>
      <c r="M1923" s="19"/>
      <c r="N1923" s="26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19"/>
      <c r="B1924" s="99"/>
      <c r="C1924" s="26"/>
      <c r="D1924" s="19"/>
      <c r="E1924" s="26"/>
      <c r="F1924" s="26"/>
      <c r="G1924" s="26"/>
      <c r="H1924" s="26"/>
      <c r="I1924" s="26"/>
      <c r="J1924" s="26"/>
      <c r="K1924" s="19"/>
      <c r="L1924" s="26"/>
      <c r="M1924" s="19"/>
      <c r="N1924" s="26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19"/>
      <c r="B1925" s="99"/>
      <c r="C1925" s="26"/>
      <c r="D1925" s="19"/>
      <c r="E1925" s="26"/>
      <c r="F1925" s="26"/>
      <c r="G1925" s="26"/>
      <c r="H1925" s="26"/>
      <c r="I1925" s="26"/>
      <c r="J1925" s="26"/>
      <c r="K1925" s="19"/>
      <c r="L1925" s="26"/>
      <c r="M1925" s="19"/>
      <c r="N1925" s="26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19"/>
      <c r="B1926" s="99"/>
      <c r="C1926" s="26"/>
      <c r="D1926" s="19"/>
      <c r="E1926" s="26"/>
      <c r="F1926" s="26"/>
      <c r="G1926" s="26"/>
      <c r="H1926" s="26"/>
      <c r="I1926" s="26"/>
      <c r="J1926" s="26"/>
      <c r="K1926" s="19"/>
      <c r="L1926" s="26"/>
      <c r="M1926" s="19"/>
      <c r="N1926" s="26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19"/>
      <c r="B1927" s="99"/>
      <c r="C1927" s="26"/>
      <c r="D1927" s="19"/>
      <c r="E1927" s="26"/>
      <c r="F1927" s="26"/>
      <c r="G1927" s="26"/>
      <c r="H1927" s="26"/>
      <c r="I1927" s="26"/>
      <c r="J1927" s="26"/>
      <c r="K1927" s="19"/>
      <c r="L1927" s="26"/>
      <c r="M1927" s="19"/>
      <c r="N1927" s="26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19"/>
      <c r="B1928" s="99"/>
      <c r="C1928" s="26"/>
      <c r="D1928" s="19"/>
      <c r="E1928" s="26"/>
      <c r="F1928" s="26"/>
      <c r="G1928" s="26"/>
      <c r="H1928" s="26"/>
      <c r="I1928" s="26"/>
      <c r="J1928" s="26"/>
      <c r="K1928" s="19"/>
      <c r="L1928" s="26"/>
      <c r="M1928" s="19"/>
      <c r="N1928" s="26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19"/>
      <c r="B1929" s="99"/>
      <c r="C1929" s="26"/>
      <c r="D1929" s="19"/>
      <c r="E1929" s="26"/>
      <c r="F1929" s="26"/>
      <c r="G1929" s="26"/>
      <c r="H1929" s="26"/>
      <c r="I1929" s="26"/>
      <c r="J1929" s="26"/>
      <c r="K1929" s="19"/>
      <c r="L1929" s="26"/>
      <c r="M1929" s="19"/>
      <c r="N1929" s="26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19"/>
      <c r="B1930" s="99"/>
      <c r="C1930" s="26"/>
      <c r="D1930" s="19"/>
      <c r="E1930" s="26"/>
      <c r="F1930" s="26"/>
      <c r="G1930" s="26"/>
      <c r="H1930" s="26"/>
      <c r="I1930" s="26"/>
      <c r="J1930" s="26"/>
      <c r="K1930" s="19"/>
      <c r="L1930" s="26"/>
      <c r="M1930" s="19"/>
      <c r="N1930" s="26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19"/>
      <c r="B1931" s="99"/>
      <c r="C1931" s="26"/>
      <c r="D1931" s="19"/>
      <c r="E1931" s="26"/>
      <c r="F1931" s="26"/>
      <c r="G1931" s="26"/>
      <c r="H1931" s="26"/>
      <c r="I1931" s="26"/>
      <c r="J1931" s="26"/>
      <c r="K1931" s="19"/>
      <c r="L1931" s="26"/>
      <c r="M1931" s="19"/>
      <c r="N1931" s="26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19"/>
      <c r="B1932" s="99"/>
      <c r="C1932" s="26"/>
      <c r="D1932" s="19"/>
      <c r="E1932" s="26"/>
      <c r="F1932" s="26"/>
      <c r="G1932" s="26"/>
      <c r="H1932" s="26"/>
      <c r="I1932" s="26"/>
      <c r="J1932" s="26"/>
      <c r="K1932" s="19"/>
      <c r="L1932" s="26"/>
      <c r="M1932" s="19"/>
      <c r="N1932" s="26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19"/>
      <c r="B1933" s="99"/>
      <c r="C1933" s="26"/>
      <c r="D1933" s="19"/>
      <c r="E1933" s="26"/>
      <c r="F1933" s="26"/>
      <c r="G1933" s="26"/>
      <c r="H1933" s="26"/>
      <c r="I1933" s="26"/>
      <c r="J1933" s="26"/>
      <c r="K1933" s="19"/>
      <c r="L1933" s="26"/>
      <c r="M1933" s="19"/>
      <c r="N1933" s="26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19"/>
      <c r="B1934" s="99"/>
      <c r="C1934" s="26"/>
      <c r="D1934" s="19"/>
      <c r="E1934" s="26"/>
      <c r="F1934" s="26"/>
      <c r="G1934" s="26"/>
      <c r="H1934" s="26"/>
      <c r="I1934" s="26"/>
      <c r="J1934" s="26"/>
      <c r="K1934" s="19"/>
      <c r="L1934" s="26"/>
      <c r="M1934" s="19"/>
      <c r="N1934" s="26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19"/>
      <c r="B1935" s="99"/>
      <c r="C1935" s="26"/>
      <c r="D1935" s="19"/>
      <c r="E1935" s="26"/>
      <c r="F1935" s="26"/>
      <c r="G1935" s="26"/>
      <c r="H1935" s="26"/>
      <c r="I1935" s="26"/>
      <c r="J1935" s="26"/>
      <c r="K1935" s="19"/>
      <c r="L1935" s="26"/>
      <c r="M1935" s="19"/>
      <c r="N1935" s="26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19"/>
      <c r="B1936" s="99"/>
      <c r="C1936" s="26"/>
      <c r="D1936" s="19"/>
      <c r="E1936" s="26"/>
      <c r="F1936" s="26"/>
      <c r="G1936" s="26"/>
      <c r="H1936" s="26"/>
      <c r="I1936" s="26"/>
      <c r="J1936" s="26"/>
      <c r="K1936" s="19"/>
      <c r="L1936" s="26"/>
      <c r="M1936" s="19"/>
      <c r="N1936" s="26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19"/>
      <c r="B1937" s="99"/>
      <c r="C1937" s="26"/>
      <c r="D1937" s="19"/>
      <c r="E1937" s="26"/>
      <c r="F1937" s="26"/>
      <c r="G1937" s="26"/>
      <c r="H1937" s="26"/>
      <c r="I1937" s="26"/>
      <c r="J1937" s="26"/>
      <c r="K1937" s="19"/>
      <c r="L1937" s="26"/>
      <c r="M1937" s="19"/>
      <c r="N1937" s="26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19"/>
      <c r="B1938" s="99"/>
      <c r="C1938" s="26"/>
      <c r="D1938" s="19"/>
      <c r="E1938" s="26"/>
      <c r="F1938" s="26"/>
      <c r="G1938" s="26"/>
      <c r="H1938" s="26"/>
      <c r="I1938" s="26"/>
      <c r="J1938" s="26"/>
      <c r="K1938" s="19"/>
      <c r="L1938" s="26"/>
      <c r="M1938" s="19"/>
      <c r="N1938" s="26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19"/>
      <c r="B1939" s="99"/>
      <c r="C1939" s="26"/>
      <c r="D1939" s="19"/>
      <c r="E1939" s="26"/>
      <c r="F1939" s="26"/>
      <c r="G1939" s="26"/>
      <c r="H1939" s="26"/>
      <c r="I1939" s="26"/>
      <c r="J1939" s="26"/>
      <c r="K1939" s="19"/>
      <c r="L1939" s="26"/>
      <c r="M1939" s="19"/>
      <c r="N1939" s="26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19"/>
      <c r="B1940" s="99"/>
      <c r="C1940" s="26"/>
      <c r="D1940" s="19"/>
      <c r="E1940" s="26"/>
      <c r="F1940" s="26"/>
      <c r="G1940" s="26"/>
      <c r="H1940" s="26"/>
      <c r="I1940" s="26"/>
      <c r="J1940" s="26"/>
      <c r="K1940" s="19"/>
      <c r="L1940" s="26"/>
      <c r="M1940" s="19"/>
      <c r="N1940" s="26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19"/>
      <c r="B1941" s="99"/>
      <c r="C1941" s="26"/>
      <c r="D1941" s="19"/>
      <c r="E1941" s="26"/>
      <c r="F1941" s="26"/>
      <c r="G1941" s="26"/>
      <c r="H1941" s="26"/>
      <c r="I1941" s="26"/>
      <c r="J1941" s="26"/>
      <c r="K1941" s="19"/>
      <c r="L1941" s="26"/>
      <c r="M1941" s="19"/>
      <c r="N1941" s="26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19"/>
      <c r="B1942" s="99"/>
      <c r="C1942" s="26"/>
      <c r="D1942" s="19"/>
      <c r="E1942" s="26"/>
      <c r="F1942" s="26"/>
      <c r="G1942" s="26"/>
      <c r="H1942" s="26"/>
      <c r="I1942" s="26"/>
      <c r="J1942" s="26"/>
      <c r="K1942" s="19"/>
      <c r="L1942" s="26"/>
      <c r="M1942" s="19"/>
      <c r="N1942" s="26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19"/>
      <c r="B1943" s="99"/>
      <c r="C1943" s="26"/>
      <c r="D1943" s="19"/>
      <c r="E1943" s="26"/>
      <c r="F1943" s="26"/>
      <c r="G1943" s="26"/>
      <c r="H1943" s="26"/>
      <c r="I1943" s="26"/>
      <c r="J1943" s="26"/>
      <c r="K1943" s="19"/>
      <c r="L1943" s="26"/>
      <c r="M1943" s="19"/>
      <c r="N1943" s="26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19"/>
      <c r="B1944" s="99"/>
      <c r="C1944" s="26"/>
      <c r="D1944" s="19"/>
      <c r="E1944" s="26"/>
      <c r="F1944" s="26"/>
      <c r="G1944" s="26"/>
      <c r="H1944" s="26"/>
      <c r="I1944" s="26"/>
      <c r="J1944" s="26"/>
      <c r="K1944" s="19"/>
      <c r="L1944" s="26"/>
      <c r="M1944" s="19"/>
      <c r="N1944" s="26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19"/>
      <c r="B1945" s="99"/>
      <c r="C1945" s="26"/>
      <c r="D1945" s="19"/>
      <c r="E1945" s="26"/>
      <c r="F1945" s="26"/>
      <c r="G1945" s="26"/>
      <c r="H1945" s="26"/>
      <c r="I1945" s="26"/>
      <c r="J1945" s="26"/>
      <c r="K1945" s="19"/>
      <c r="L1945" s="26"/>
      <c r="M1945" s="19"/>
      <c r="N1945" s="26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19"/>
      <c r="B1946" s="99"/>
      <c r="C1946" s="26"/>
      <c r="D1946" s="19"/>
      <c r="E1946" s="26"/>
      <c r="F1946" s="26"/>
      <c r="G1946" s="26"/>
      <c r="H1946" s="26"/>
      <c r="I1946" s="26"/>
      <c r="J1946" s="26"/>
      <c r="K1946" s="19"/>
      <c r="L1946" s="26"/>
      <c r="M1946" s="19"/>
      <c r="N1946" s="26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19"/>
      <c r="B1947" s="99"/>
      <c r="C1947" s="26"/>
      <c r="D1947" s="19"/>
      <c r="E1947" s="26"/>
      <c r="F1947" s="26"/>
      <c r="G1947" s="26"/>
      <c r="H1947" s="26"/>
      <c r="I1947" s="26"/>
      <c r="J1947" s="26"/>
      <c r="K1947" s="19"/>
      <c r="L1947" s="26"/>
      <c r="M1947" s="19"/>
      <c r="N1947" s="26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19"/>
      <c r="B1948" s="99"/>
      <c r="C1948" s="26"/>
      <c r="D1948" s="19"/>
      <c r="E1948" s="26"/>
      <c r="F1948" s="26"/>
      <c r="G1948" s="26"/>
      <c r="H1948" s="26"/>
      <c r="I1948" s="26"/>
      <c r="J1948" s="26"/>
      <c r="K1948" s="19"/>
      <c r="L1948" s="26"/>
      <c r="M1948" s="19"/>
      <c r="N1948" s="26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19"/>
      <c r="B1949" s="99"/>
      <c r="C1949" s="26"/>
      <c r="D1949" s="19"/>
      <c r="E1949" s="26"/>
      <c r="F1949" s="26"/>
      <c r="G1949" s="26"/>
      <c r="H1949" s="26"/>
      <c r="I1949" s="26"/>
      <c r="J1949" s="26"/>
      <c r="K1949" s="19"/>
      <c r="L1949" s="26"/>
      <c r="M1949" s="19"/>
      <c r="N1949" s="26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19"/>
      <c r="B1950" s="99"/>
      <c r="C1950" s="26"/>
      <c r="D1950" s="19"/>
      <c r="E1950" s="26"/>
      <c r="F1950" s="26"/>
      <c r="G1950" s="26"/>
      <c r="H1950" s="26"/>
      <c r="I1950" s="26"/>
      <c r="J1950" s="26"/>
      <c r="K1950" s="19"/>
      <c r="L1950" s="26"/>
      <c r="M1950" s="19"/>
      <c r="N1950" s="26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19"/>
      <c r="B1951" s="99"/>
      <c r="C1951" s="26"/>
      <c r="D1951" s="19"/>
      <c r="E1951" s="26"/>
      <c r="F1951" s="26"/>
      <c r="G1951" s="26"/>
      <c r="H1951" s="26"/>
      <c r="I1951" s="26"/>
      <c r="J1951" s="26"/>
      <c r="K1951" s="19"/>
      <c r="L1951" s="26"/>
      <c r="M1951" s="19"/>
      <c r="N1951" s="26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19"/>
      <c r="B1952" s="99"/>
      <c r="C1952" s="26"/>
      <c r="D1952" s="19"/>
      <c r="E1952" s="26"/>
      <c r="F1952" s="26"/>
      <c r="G1952" s="26"/>
      <c r="H1952" s="26"/>
      <c r="I1952" s="26"/>
      <c r="J1952" s="26"/>
      <c r="K1952" s="19"/>
      <c r="L1952" s="26"/>
      <c r="M1952" s="19"/>
      <c r="N1952" s="26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19"/>
      <c r="B1953" s="99"/>
      <c r="C1953" s="26"/>
      <c r="D1953" s="19"/>
      <c r="E1953" s="26"/>
      <c r="F1953" s="26"/>
      <c r="G1953" s="26"/>
      <c r="H1953" s="26"/>
      <c r="I1953" s="26"/>
      <c r="J1953" s="26"/>
      <c r="K1953" s="19"/>
      <c r="L1953" s="26"/>
      <c r="M1953" s="19"/>
      <c r="N1953" s="26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19"/>
      <c r="B1954" s="99"/>
      <c r="C1954" s="26"/>
      <c r="D1954" s="19"/>
      <c r="E1954" s="26"/>
      <c r="F1954" s="26"/>
      <c r="G1954" s="26"/>
      <c r="H1954" s="26"/>
      <c r="I1954" s="26"/>
      <c r="J1954" s="26"/>
      <c r="K1954" s="19"/>
      <c r="L1954" s="26"/>
      <c r="M1954" s="19"/>
      <c r="N1954" s="26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19"/>
      <c r="B1955" s="99"/>
      <c r="C1955" s="26"/>
      <c r="D1955" s="19"/>
      <c r="E1955" s="26"/>
      <c r="F1955" s="26"/>
      <c r="G1955" s="26"/>
      <c r="H1955" s="26"/>
      <c r="I1955" s="26"/>
      <c r="J1955" s="26"/>
      <c r="K1955" s="19"/>
      <c r="L1955" s="26"/>
      <c r="M1955" s="19"/>
      <c r="N1955" s="26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19"/>
      <c r="B1956" s="99"/>
      <c r="C1956" s="26"/>
      <c r="D1956" s="19"/>
      <c r="E1956" s="26"/>
      <c r="F1956" s="26"/>
      <c r="G1956" s="26"/>
      <c r="H1956" s="26"/>
      <c r="I1956" s="26"/>
      <c r="J1956" s="26"/>
      <c r="K1956" s="19"/>
      <c r="L1956" s="26"/>
      <c r="M1956" s="19"/>
      <c r="N1956" s="26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19"/>
      <c r="B1957" s="99"/>
      <c r="C1957" s="26"/>
      <c r="D1957" s="19"/>
      <c r="E1957" s="26"/>
      <c r="F1957" s="26"/>
      <c r="G1957" s="26"/>
      <c r="H1957" s="26"/>
      <c r="I1957" s="26"/>
      <c r="J1957" s="26"/>
      <c r="K1957" s="19"/>
      <c r="L1957" s="26"/>
      <c r="M1957" s="19"/>
      <c r="N1957" s="26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19"/>
      <c r="B1958" s="99"/>
      <c r="C1958" s="26"/>
      <c r="D1958" s="19"/>
      <c r="E1958" s="26"/>
      <c r="F1958" s="26"/>
      <c r="G1958" s="26"/>
      <c r="H1958" s="26"/>
      <c r="I1958" s="26"/>
      <c r="J1958" s="26"/>
      <c r="K1958" s="19"/>
      <c r="L1958" s="26"/>
      <c r="M1958" s="19"/>
      <c r="N1958" s="26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19"/>
      <c r="B1959" s="99"/>
      <c r="C1959" s="26"/>
      <c r="D1959" s="19"/>
      <c r="E1959" s="26"/>
      <c r="F1959" s="26"/>
      <c r="G1959" s="26"/>
      <c r="H1959" s="26"/>
      <c r="I1959" s="26"/>
      <c r="J1959" s="26"/>
      <c r="K1959" s="19"/>
      <c r="L1959" s="26"/>
      <c r="M1959" s="19"/>
      <c r="N1959" s="26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19"/>
      <c r="B1960" s="99"/>
      <c r="C1960" s="26"/>
      <c r="D1960" s="19"/>
      <c r="E1960" s="26"/>
      <c r="F1960" s="26"/>
      <c r="G1960" s="26"/>
      <c r="H1960" s="26"/>
      <c r="I1960" s="26"/>
      <c r="J1960" s="26"/>
      <c r="K1960" s="19"/>
      <c r="L1960" s="26"/>
      <c r="M1960" s="19"/>
      <c r="N1960" s="26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19"/>
      <c r="B1961" s="99"/>
      <c r="C1961" s="26"/>
      <c r="D1961" s="19"/>
      <c r="E1961" s="26"/>
      <c r="F1961" s="26"/>
      <c r="G1961" s="26"/>
      <c r="H1961" s="26"/>
      <c r="I1961" s="26"/>
      <c r="J1961" s="26"/>
      <c r="K1961" s="19"/>
      <c r="L1961" s="26"/>
      <c r="M1961" s="19"/>
      <c r="N1961" s="26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19"/>
      <c r="B1962" s="99"/>
      <c r="C1962" s="26"/>
      <c r="D1962" s="19"/>
      <c r="E1962" s="26"/>
      <c r="F1962" s="26"/>
      <c r="G1962" s="26"/>
      <c r="H1962" s="26"/>
      <c r="I1962" s="26"/>
      <c r="J1962" s="26"/>
      <c r="K1962" s="19"/>
      <c r="L1962" s="26"/>
      <c r="M1962" s="19"/>
      <c r="N1962" s="26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19"/>
      <c r="B1963" s="99"/>
      <c r="C1963" s="26"/>
      <c r="D1963" s="19"/>
      <c r="E1963" s="26"/>
      <c r="F1963" s="26"/>
      <c r="G1963" s="26"/>
      <c r="H1963" s="26"/>
      <c r="I1963" s="26"/>
      <c r="J1963" s="26"/>
      <c r="K1963" s="19"/>
      <c r="L1963" s="26"/>
      <c r="M1963" s="19"/>
      <c r="N1963" s="26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19"/>
      <c r="B1964" s="99"/>
      <c r="C1964" s="26"/>
      <c r="D1964" s="19"/>
      <c r="E1964" s="26"/>
      <c r="F1964" s="26"/>
      <c r="G1964" s="26"/>
      <c r="H1964" s="26"/>
      <c r="I1964" s="26"/>
      <c r="J1964" s="26"/>
      <c r="K1964" s="19"/>
      <c r="L1964" s="26"/>
      <c r="M1964" s="19"/>
      <c r="N1964" s="26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19"/>
      <c r="B1965" s="99"/>
      <c r="C1965" s="26"/>
      <c r="D1965" s="19"/>
      <c r="E1965" s="26"/>
      <c r="F1965" s="26"/>
      <c r="G1965" s="26"/>
      <c r="H1965" s="26"/>
      <c r="I1965" s="26"/>
      <c r="J1965" s="26"/>
      <c r="K1965" s="19"/>
      <c r="L1965" s="26"/>
      <c r="M1965" s="19"/>
      <c r="N1965" s="26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19"/>
      <c r="B1966" s="99"/>
      <c r="C1966" s="26"/>
      <c r="D1966" s="19"/>
      <c r="E1966" s="26"/>
      <c r="F1966" s="26"/>
      <c r="G1966" s="26"/>
      <c r="H1966" s="26"/>
      <c r="I1966" s="26"/>
      <c r="J1966" s="26"/>
      <c r="K1966" s="19"/>
      <c r="L1966" s="26"/>
      <c r="M1966" s="19"/>
      <c r="N1966" s="26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19"/>
      <c r="B1967" s="99"/>
      <c r="C1967" s="26"/>
      <c r="D1967" s="19"/>
      <c r="E1967" s="26"/>
      <c r="F1967" s="26"/>
      <c r="G1967" s="26"/>
      <c r="H1967" s="26"/>
      <c r="I1967" s="26"/>
      <c r="J1967" s="26"/>
      <c r="K1967" s="19"/>
      <c r="L1967" s="26"/>
      <c r="M1967" s="19"/>
      <c r="N1967" s="26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19"/>
      <c r="B1968" s="99"/>
      <c r="C1968" s="26"/>
      <c r="D1968" s="19"/>
      <c r="E1968" s="26"/>
      <c r="F1968" s="26"/>
      <c r="G1968" s="26"/>
      <c r="H1968" s="26"/>
      <c r="I1968" s="26"/>
      <c r="J1968" s="26"/>
      <c r="K1968" s="19"/>
      <c r="L1968" s="26"/>
      <c r="M1968" s="19"/>
      <c r="N1968" s="26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19"/>
      <c r="B1969" s="99"/>
      <c r="C1969" s="26"/>
      <c r="D1969" s="19"/>
      <c r="E1969" s="26"/>
      <c r="F1969" s="26"/>
      <c r="G1969" s="26"/>
      <c r="H1969" s="26"/>
      <c r="I1969" s="26"/>
      <c r="J1969" s="26"/>
      <c r="K1969" s="19"/>
      <c r="L1969" s="26"/>
      <c r="M1969" s="19"/>
      <c r="N1969" s="26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19"/>
      <c r="B1970" s="99"/>
      <c r="C1970" s="26"/>
      <c r="D1970" s="19"/>
      <c r="E1970" s="26"/>
      <c r="F1970" s="26"/>
      <c r="G1970" s="26"/>
      <c r="H1970" s="26"/>
      <c r="I1970" s="26"/>
      <c r="J1970" s="26"/>
      <c r="K1970" s="19"/>
      <c r="L1970" s="26"/>
      <c r="M1970" s="19"/>
      <c r="N1970" s="26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19"/>
      <c r="B1971" s="99"/>
      <c r="C1971" s="26"/>
      <c r="D1971" s="19"/>
      <c r="E1971" s="26"/>
      <c r="F1971" s="26"/>
      <c r="G1971" s="26"/>
      <c r="H1971" s="26"/>
      <c r="I1971" s="26"/>
      <c r="J1971" s="26"/>
      <c r="K1971" s="19"/>
      <c r="L1971" s="26"/>
      <c r="M1971" s="19"/>
      <c r="N1971" s="26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19"/>
      <c r="B1972" s="99"/>
      <c r="C1972" s="26"/>
      <c r="D1972" s="19"/>
      <c r="E1972" s="26"/>
      <c r="F1972" s="26"/>
      <c r="G1972" s="26"/>
      <c r="H1972" s="26"/>
      <c r="I1972" s="26"/>
      <c r="J1972" s="26"/>
      <c r="K1972" s="19"/>
      <c r="L1972" s="26"/>
      <c r="M1972" s="19"/>
      <c r="N1972" s="26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19"/>
      <c r="B1973" s="99"/>
      <c r="C1973" s="26"/>
      <c r="D1973" s="19"/>
      <c r="E1973" s="26"/>
      <c r="F1973" s="26"/>
      <c r="G1973" s="26"/>
      <c r="H1973" s="26"/>
      <c r="I1973" s="26"/>
      <c r="J1973" s="26"/>
      <c r="K1973" s="19"/>
      <c r="L1973" s="26"/>
      <c r="M1973" s="19"/>
      <c r="N1973" s="26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19"/>
      <c r="B1974" s="99"/>
      <c r="C1974" s="26"/>
      <c r="D1974" s="19"/>
      <c r="E1974" s="26"/>
      <c r="F1974" s="26"/>
      <c r="G1974" s="26"/>
      <c r="H1974" s="26"/>
      <c r="I1974" s="26"/>
      <c r="J1974" s="26"/>
      <c r="K1974" s="19"/>
      <c r="L1974" s="26"/>
      <c r="M1974" s="19"/>
      <c r="N1974" s="26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19"/>
      <c r="B1975" s="99"/>
      <c r="C1975" s="26"/>
      <c r="D1975" s="19"/>
      <c r="E1975" s="26"/>
      <c r="F1975" s="26"/>
      <c r="G1975" s="26"/>
      <c r="H1975" s="26"/>
      <c r="I1975" s="26"/>
      <c r="J1975" s="26"/>
      <c r="K1975" s="19"/>
      <c r="L1975" s="26"/>
      <c r="M1975" s="19"/>
      <c r="N1975" s="26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19"/>
      <c r="B1976" s="99"/>
      <c r="C1976" s="26"/>
      <c r="D1976" s="19"/>
      <c r="E1976" s="26"/>
      <c r="F1976" s="26"/>
      <c r="G1976" s="26"/>
      <c r="H1976" s="26"/>
      <c r="I1976" s="26"/>
      <c r="J1976" s="26"/>
      <c r="K1976" s="19"/>
      <c r="L1976" s="26"/>
      <c r="M1976" s="19"/>
      <c r="N1976" s="26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19"/>
      <c r="B1977" s="99"/>
      <c r="C1977" s="26"/>
      <c r="D1977" s="19"/>
      <c r="E1977" s="26"/>
      <c r="F1977" s="26"/>
      <c r="G1977" s="26"/>
      <c r="H1977" s="26"/>
      <c r="I1977" s="26"/>
      <c r="J1977" s="26"/>
      <c r="K1977" s="19"/>
      <c r="L1977" s="26"/>
      <c r="M1977" s="19"/>
      <c r="N1977" s="26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19"/>
      <c r="B1978" s="99"/>
      <c r="C1978" s="26"/>
      <c r="D1978" s="19"/>
      <c r="E1978" s="26"/>
      <c r="F1978" s="26"/>
      <c r="G1978" s="26"/>
      <c r="H1978" s="26"/>
      <c r="I1978" s="26"/>
      <c r="J1978" s="26"/>
      <c r="K1978" s="19"/>
      <c r="L1978" s="26"/>
      <c r="M1978" s="19"/>
      <c r="N1978" s="26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19"/>
      <c r="B1979" s="99"/>
      <c r="C1979" s="26"/>
      <c r="D1979" s="19"/>
      <c r="E1979" s="26"/>
      <c r="F1979" s="26"/>
      <c r="G1979" s="26"/>
      <c r="H1979" s="26"/>
      <c r="I1979" s="26"/>
      <c r="J1979" s="26"/>
      <c r="K1979" s="19"/>
      <c r="L1979" s="26"/>
      <c r="M1979" s="19"/>
      <c r="N1979" s="26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19"/>
      <c r="B1980" s="99"/>
      <c r="C1980" s="26"/>
      <c r="D1980" s="19"/>
      <c r="E1980" s="26"/>
      <c r="F1980" s="26"/>
      <c r="G1980" s="26"/>
      <c r="H1980" s="26"/>
      <c r="I1980" s="26"/>
      <c r="J1980" s="26"/>
      <c r="K1980" s="19"/>
      <c r="L1980" s="26"/>
      <c r="M1980" s="19"/>
      <c r="N1980" s="26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19"/>
      <c r="B1981" s="99"/>
      <c r="C1981" s="26"/>
      <c r="D1981" s="19"/>
      <c r="E1981" s="26"/>
      <c r="F1981" s="26"/>
      <c r="G1981" s="26"/>
      <c r="H1981" s="26"/>
      <c r="I1981" s="26"/>
      <c r="J1981" s="26"/>
      <c r="K1981" s="19"/>
      <c r="L1981" s="26"/>
      <c r="M1981" s="19"/>
      <c r="N1981" s="26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19"/>
      <c r="B1982" s="99"/>
      <c r="C1982" s="26"/>
      <c r="D1982" s="19"/>
      <c r="E1982" s="26"/>
      <c r="F1982" s="26"/>
      <c r="G1982" s="26"/>
      <c r="H1982" s="26"/>
      <c r="I1982" s="26"/>
      <c r="J1982" s="26"/>
      <c r="K1982" s="19"/>
      <c r="L1982" s="26"/>
      <c r="M1982" s="19"/>
      <c r="N1982" s="26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19"/>
      <c r="B1983" s="99"/>
      <c r="C1983" s="26"/>
      <c r="D1983" s="19"/>
      <c r="E1983" s="26"/>
      <c r="F1983" s="26"/>
      <c r="G1983" s="26"/>
      <c r="H1983" s="26"/>
      <c r="I1983" s="26"/>
      <c r="J1983" s="26"/>
      <c r="K1983" s="19"/>
      <c r="L1983" s="26"/>
      <c r="M1983" s="19"/>
      <c r="N1983" s="26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19"/>
      <c r="B1984" s="99"/>
      <c r="C1984" s="26"/>
      <c r="D1984" s="19"/>
      <c r="E1984" s="26"/>
      <c r="F1984" s="26"/>
      <c r="G1984" s="26"/>
      <c r="H1984" s="26"/>
      <c r="I1984" s="26"/>
      <c r="J1984" s="26"/>
      <c r="K1984" s="19"/>
      <c r="L1984" s="26"/>
      <c r="M1984" s="19"/>
      <c r="N1984" s="26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19"/>
      <c r="B1985" s="99"/>
      <c r="C1985" s="26"/>
      <c r="D1985" s="19"/>
      <c r="E1985" s="26"/>
      <c r="F1985" s="26"/>
      <c r="G1985" s="26"/>
      <c r="H1985" s="26"/>
      <c r="I1985" s="26"/>
      <c r="J1985" s="26"/>
      <c r="K1985" s="19"/>
      <c r="L1985" s="26"/>
      <c r="M1985" s="19"/>
      <c r="N1985" s="26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19"/>
      <c r="B1986" s="99"/>
      <c r="C1986" s="26"/>
      <c r="D1986" s="19"/>
      <c r="E1986" s="26"/>
      <c r="F1986" s="26"/>
      <c r="G1986" s="26"/>
      <c r="H1986" s="26"/>
      <c r="I1986" s="26"/>
      <c r="J1986" s="26"/>
      <c r="K1986" s="19"/>
      <c r="L1986" s="26"/>
      <c r="M1986" s="19"/>
      <c r="N1986" s="26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19"/>
      <c r="B1987" s="99"/>
      <c r="C1987" s="26"/>
      <c r="D1987" s="19"/>
      <c r="E1987" s="26"/>
      <c r="F1987" s="26"/>
      <c r="G1987" s="26"/>
      <c r="H1987" s="26"/>
      <c r="I1987" s="26"/>
      <c r="J1987" s="26"/>
      <c r="K1987" s="19"/>
      <c r="L1987" s="26"/>
      <c r="M1987" s="19"/>
      <c r="N1987" s="26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19"/>
      <c r="B1988" s="99"/>
      <c r="C1988" s="26"/>
      <c r="D1988" s="19"/>
      <c r="E1988" s="26"/>
      <c r="F1988" s="26"/>
      <c r="G1988" s="26"/>
      <c r="H1988" s="26"/>
      <c r="I1988" s="26"/>
      <c r="J1988" s="26"/>
      <c r="K1988" s="19"/>
      <c r="L1988" s="26"/>
      <c r="M1988" s="19"/>
      <c r="N1988" s="26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19"/>
      <c r="B1989" s="99"/>
      <c r="C1989" s="26"/>
      <c r="D1989" s="19"/>
      <c r="E1989" s="26"/>
      <c r="F1989" s="26"/>
      <c r="G1989" s="26"/>
      <c r="H1989" s="26"/>
      <c r="I1989" s="26"/>
      <c r="J1989" s="26"/>
      <c r="K1989" s="19"/>
      <c r="L1989" s="26"/>
      <c r="M1989" s="19"/>
      <c r="N1989" s="26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19"/>
      <c r="B1990" s="99"/>
      <c r="C1990" s="26"/>
      <c r="D1990" s="19"/>
      <c r="E1990" s="26"/>
      <c r="F1990" s="26"/>
      <c r="G1990" s="26"/>
      <c r="H1990" s="26"/>
      <c r="I1990" s="26"/>
      <c r="J1990" s="26"/>
      <c r="K1990" s="19"/>
      <c r="L1990" s="26"/>
      <c r="M1990" s="19"/>
      <c r="N1990" s="26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19"/>
      <c r="B1991" s="99"/>
      <c r="C1991" s="26"/>
      <c r="D1991" s="19"/>
      <c r="E1991" s="26"/>
      <c r="F1991" s="26"/>
      <c r="G1991" s="26"/>
      <c r="H1991" s="26"/>
      <c r="I1991" s="26"/>
      <c r="J1991" s="26"/>
      <c r="K1991" s="19"/>
      <c r="L1991" s="26"/>
      <c r="M1991" s="19"/>
      <c r="N1991" s="26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19"/>
      <c r="B1992" s="99"/>
      <c r="C1992" s="26"/>
      <c r="D1992" s="19"/>
      <c r="E1992" s="26"/>
      <c r="F1992" s="26"/>
      <c r="G1992" s="26"/>
      <c r="H1992" s="26"/>
      <c r="I1992" s="26"/>
      <c r="J1992" s="26"/>
      <c r="K1992" s="19"/>
      <c r="L1992" s="26"/>
      <c r="M1992" s="19"/>
      <c r="N1992" s="26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19"/>
      <c r="B1993" s="99"/>
      <c r="C1993" s="26"/>
      <c r="D1993" s="19"/>
      <c r="E1993" s="26"/>
      <c r="F1993" s="26"/>
      <c r="G1993" s="26"/>
      <c r="H1993" s="26"/>
      <c r="I1993" s="26"/>
      <c r="J1993" s="26"/>
      <c r="K1993" s="19"/>
      <c r="L1993" s="26"/>
      <c r="M1993" s="19"/>
      <c r="N1993" s="26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19"/>
      <c r="B1994" s="99"/>
      <c r="C1994" s="26"/>
      <c r="D1994" s="19"/>
      <c r="E1994" s="26"/>
      <c r="F1994" s="26"/>
      <c r="G1994" s="26"/>
      <c r="H1994" s="26"/>
      <c r="I1994" s="26"/>
      <c r="J1994" s="26"/>
      <c r="K1994" s="19"/>
      <c r="L1994" s="26"/>
      <c r="M1994" s="19"/>
      <c r="N1994" s="26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19"/>
      <c r="B1995" s="99"/>
      <c r="C1995" s="26"/>
      <c r="D1995" s="19"/>
      <c r="E1995" s="26"/>
      <c r="F1995" s="26"/>
      <c r="G1995" s="26"/>
      <c r="H1995" s="26"/>
      <c r="I1995" s="26"/>
      <c r="J1995" s="26"/>
      <c r="K1995" s="19"/>
      <c r="L1995" s="26"/>
      <c r="M1995" s="19"/>
      <c r="N1995" s="26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19"/>
      <c r="B1996" s="99"/>
      <c r="C1996" s="26"/>
      <c r="D1996" s="19"/>
      <c r="E1996" s="26"/>
      <c r="F1996" s="26"/>
      <c r="G1996" s="26"/>
      <c r="H1996" s="26"/>
      <c r="I1996" s="26"/>
      <c r="J1996" s="26"/>
      <c r="K1996" s="19"/>
      <c r="L1996" s="26"/>
      <c r="M1996" s="19"/>
      <c r="N1996" s="26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19"/>
      <c r="B1997" s="99"/>
      <c r="C1997" s="26"/>
      <c r="D1997" s="19"/>
      <c r="E1997" s="26"/>
      <c r="F1997" s="26"/>
      <c r="G1997" s="26"/>
      <c r="H1997" s="26"/>
      <c r="I1997" s="26"/>
      <c r="J1997" s="26"/>
      <c r="K1997" s="19"/>
      <c r="L1997" s="26"/>
      <c r="M1997" s="19"/>
      <c r="N1997" s="26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</sheetData>
  <autoFilter ref="$A$1:$O$997"/>
  <conditionalFormatting sqref="D2:D1997">
    <cfRule type="containsText" dxfId="0" priority="1" operator="containsText" text="IX">
      <formula>NOT(ISERROR(SEARCH(("IX"),(D2))))</formula>
    </cfRule>
  </conditionalFormatting>
  <conditionalFormatting sqref="D2:D1997">
    <cfRule type="containsText" dxfId="1" priority="2" operator="containsText" text="VIII">
      <formula>NOT(ISERROR(SEARCH(("VIII"),(D2))))</formula>
    </cfRule>
  </conditionalFormatting>
  <conditionalFormatting sqref="D2:D1997">
    <cfRule type="containsText" dxfId="2" priority="3" operator="containsText" text="VII">
      <formula>NOT(ISERROR(SEARCH(("VII"),(D2))))</formula>
    </cfRule>
  </conditionalFormatting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H128"/>
    <hyperlink r:id="rId128" ref="O128"/>
    <hyperlink r:id="rId129" ref="G129"/>
    <hyperlink r:id="rId130" ref="H129"/>
    <hyperlink r:id="rId131" ref="O129"/>
    <hyperlink r:id="rId132" ref="H130"/>
    <hyperlink r:id="rId133" ref="O130"/>
    <hyperlink r:id="rId134" ref="O131"/>
    <hyperlink r:id="rId135" ref="H132"/>
    <hyperlink r:id="rId136" ref="O132"/>
    <hyperlink r:id="rId137" ref="O133"/>
    <hyperlink r:id="rId138" ref="O134"/>
    <hyperlink r:id="rId139" ref="O135"/>
    <hyperlink r:id="rId140" ref="O136"/>
    <hyperlink r:id="rId141" ref="O137"/>
    <hyperlink r:id="rId142" ref="O138"/>
    <hyperlink r:id="rId143" ref="O139"/>
    <hyperlink r:id="rId144" ref="O140"/>
    <hyperlink r:id="rId145" ref="O141"/>
    <hyperlink r:id="rId146" ref="O142"/>
    <hyperlink r:id="rId147" ref="O143"/>
    <hyperlink r:id="rId148" ref="O145"/>
    <hyperlink r:id="rId149" ref="O146"/>
    <hyperlink r:id="rId150" ref="O147"/>
    <hyperlink r:id="rId151" ref="O148"/>
    <hyperlink r:id="rId152" ref="O149"/>
    <hyperlink r:id="rId153" ref="O150"/>
    <hyperlink r:id="rId154" ref="O151"/>
    <hyperlink r:id="rId155" ref="O152"/>
    <hyperlink r:id="rId156" ref="O153"/>
    <hyperlink r:id="rId157" ref="O154"/>
    <hyperlink r:id="rId158" ref="O155"/>
    <hyperlink r:id="rId159" ref="O156"/>
    <hyperlink r:id="rId160" ref="O157"/>
    <hyperlink r:id="rId161" ref="O158"/>
    <hyperlink r:id="rId162" ref="O159"/>
    <hyperlink r:id="rId163" ref="O160"/>
    <hyperlink r:id="rId164" ref="O163"/>
    <hyperlink r:id="rId165" ref="O164"/>
    <hyperlink r:id="rId166" ref="O169"/>
    <hyperlink r:id="rId167" ref="O170"/>
    <hyperlink r:id="rId168" ref="O171"/>
  </hyperlinks>
  <drawing r:id="rId1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28" t="s">
        <v>190</v>
      </c>
    </row>
    <row r="2">
      <c r="A2" s="29" t="s">
        <v>193</v>
      </c>
      <c r="B2" s="29" t="s">
        <v>208</v>
      </c>
    </row>
    <row r="3">
      <c r="A3" s="30" t="s">
        <v>31</v>
      </c>
      <c r="B3" s="32">
        <f>COUNTIF('BUKU FIKSI&amp;NON FIKSI'!$C$2:$C$1749,$A3)</f>
        <v>28</v>
      </c>
    </row>
    <row r="4">
      <c r="A4" s="30" t="s">
        <v>225</v>
      </c>
      <c r="B4" s="32">
        <f>COUNTIF('BUKU FIKSI&amp;NON FIKSI'!$C$2:$C$1749,$A4)</f>
        <v>63</v>
      </c>
    </row>
    <row r="5">
      <c r="A5" s="30" t="s">
        <v>226</v>
      </c>
      <c r="B5" s="32">
        <f>COUNTIF('BUKU FIKSI&amp;NON FIKSI'!$C$2:$C$1749,$A5)</f>
        <v>101</v>
      </c>
    </row>
    <row r="6">
      <c r="A6" s="30" t="s">
        <v>229</v>
      </c>
      <c r="B6" s="32">
        <f>COUNTIF('BUKU FIKSI&amp;NON FIKSI'!$C$2:$C$1749,$A6)</f>
        <v>323</v>
      </c>
    </row>
    <row r="7">
      <c r="A7" s="30" t="s">
        <v>235</v>
      </c>
      <c r="B7" s="32">
        <f>COUNTIF('BUKU FIKSI&amp;NON FIKSI'!$C$2:$C$1749,$A7)</f>
        <v>64</v>
      </c>
    </row>
    <row r="8">
      <c r="A8" s="30" t="s">
        <v>246</v>
      </c>
      <c r="B8" s="32">
        <f>COUNTIF('BUKU FIKSI&amp;NON FIKSI'!$C$2:$C$1749,$A8)</f>
        <v>271</v>
      </c>
    </row>
    <row r="9">
      <c r="A9" s="30" t="s">
        <v>249</v>
      </c>
      <c r="B9" s="32">
        <f>COUNTIF('BUKU FIKSI&amp;NON FIKSI'!$C$2:$C$1749,$A9)</f>
        <v>232</v>
      </c>
    </row>
    <row r="10">
      <c r="A10" s="30" t="s">
        <v>84</v>
      </c>
      <c r="B10" s="32">
        <f>COUNTIF('BUKU FIKSI&amp;NON FIKSI'!$C$2:$C$1749,$A10)</f>
        <v>108</v>
      </c>
    </row>
    <row r="11">
      <c r="A11" s="30" t="s">
        <v>38</v>
      </c>
      <c r="B11" s="32">
        <f>COUNTIF('BUKU FIKSI&amp;NON FIKSI'!$C$2:$C$1749,$A11)</f>
        <v>406</v>
      </c>
    </row>
    <row r="12">
      <c r="A12" s="30" t="s">
        <v>262</v>
      </c>
      <c r="B12" s="32">
        <f>COUNTIF('BUKU FIKSI&amp;NON FIKSI'!$C$2:$C$1749,$A12)</f>
        <v>142</v>
      </c>
    </row>
    <row r="13">
      <c r="A13" s="33" t="s">
        <v>263</v>
      </c>
      <c r="B13" s="34">
        <f>SUM(B3:B12)</f>
        <v>1738</v>
      </c>
    </row>
  </sheetData>
  <drawing r:id="rId1"/>
</worksheet>
</file>